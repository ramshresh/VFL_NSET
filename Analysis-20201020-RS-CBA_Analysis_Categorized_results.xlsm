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2.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0490" windowHeight="7755" tabRatio="888" activeTab="3"/>
  </bookViews>
  <sheets>
    <sheet name="AgeWise" sheetId="25" r:id="rId1"/>
    <sheet name="list_C_B_A" sheetId="23" r:id="rId2"/>
    <sheet name="CBA_Analysis_Major_Threats" sheetId="30" r:id="rId3"/>
    <sheet name="charts_CBA" sheetId="32" r:id="rId4"/>
    <sheet name="Sheet2" sheetId="31" r:id="rId5"/>
    <sheet name="Sheet1" sheetId="1" r:id="rId6"/>
    <sheet name="Study Area and FGD" sheetId="13" r:id="rId7"/>
    <sheet name="Threats_Analysis" sheetId="9" r:id="rId8"/>
    <sheet name="UniqueHazards_Names" sheetId="26" r:id="rId9"/>
    <sheet name="Sheet9" sheetId="22" r:id="rId10"/>
    <sheet name="PivotCategorizedThreatsAnalysis" sheetId="20" r:id="rId11"/>
    <sheet name="CategorizedThreatsAnalysis" sheetId="17" r:id="rId12"/>
    <sheet name="Threat_Category" sheetId="15" r:id="rId13"/>
    <sheet name="List_of_Area" sheetId="14" r:id="rId14"/>
    <sheet name="Consequences_Analysis_Threat1" sheetId="12" r:id="rId15"/>
    <sheet name="List of Consequences" sheetId="10" r:id="rId16"/>
    <sheet name="List_of_Threats" sheetId="2" r:id="rId17"/>
    <sheet name="List_of_FocusedGroups" sheetId="4" r:id="rId18"/>
  </sheets>
  <functionGroups builtInGroupCount="18"/>
  <definedNames>
    <definedName name="_xlnm._FilterDatabase" localSheetId="11" hidden="1">CategorizedThreatsAnalysis!$A$1:$N$1</definedName>
    <definedName name="_xlnm._FilterDatabase" localSheetId="7" hidden="1">Threats_Analysis!#REF!</definedName>
  </definedNames>
  <calcPr calcId="152511"/>
  <pivotCaches>
    <pivotCache cacheId="2" r:id="rId19"/>
    <pivotCache cacheId="3"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30" l="1"/>
  <c r="M216" i="30"/>
  <c r="M215" i="30"/>
  <c r="M214" i="30"/>
  <c r="M213" i="30"/>
  <c r="M212" i="30"/>
  <c r="M211" i="30"/>
  <c r="M209" i="30"/>
  <c r="L209" i="30"/>
  <c r="L208" i="30"/>
  <c r="L207" i="30"/>
  <c r="L206" i="30"/>
  <c r="L205" i="30"/>
  <c r="K209" i="30"/>
  <c r="K208" i="30"/>
  <c r="K207" i="30"/>
  <c r="M207" i="30" s="1"/>
  <c r="K206" i="30"/>
  <c r="K205" i="30"/>
  <c r="J209" i="30"/>
  <c r="J208" i="30"/>
  <c r="M208" i="30" s="1"/>
  <c r="J207" i="30"/>
  <c r="J206" i="30"/>
  <c r="M206" i="30" s="1"/>
  <c r="J205" i="30"/>
  <c r="M205" i="30" s="1"/>
  <c r="K204" i="30"/>
  <c r="L204" i="30"/>
  <c r="M204" i="30" l="1"/>
  <c r="B73" i="9" l="1"/>
  <c r="BQ115" i="30"/>
  <c r="BQ116" i="30"/>
  <c r="BQ117" i="30"/>
  <c r="BQ118" i="30"/>
  <c r="BQ119" i="30"/>
  <c r="BQ120" i="30"/>
  <c r="BQ121" i="30"/>
  <c r="BQ122" i="30"/>
  <c r="BQ123" i="30"/>
  <c r="BQ124" i="30"/>
  <c r="BQ125" i="30"/>
  <c r="BQ126" i="30"/>
  <c r="BQ127" i="30"/>
  <c r="BQ128" i="30"/>
  <c r="BQ129" i="30"/>
  <c r="BQ130" i="30"/>
  <c r="BQ131" i="30"/>
  <c r="BQ132" i="30"/>
  <c r="BQ133" i="30"/>
  <c r="BQ134" i="30"/>
  <c r="BQ135" i="30"/>
  <c r="BQ136" i="30"/>
  <c r="BQ137" i="30"/>
  <c r="BQ138" i="30"/>
  <c r="BQ139" i="30"/>
  <c r="BQ140" i="30"/>
  <c r="BQ141" i="30"/>
  <c r="BQ142" i="30"/>
  <c r="BQ143" i="30"/>
  <c r="BQ144" i="30"/>
  <c r="BQ145" i="30"/>
  <c r="BQ146" i="30"/>
  <c r="BQ147" i="30"/>
  <c r="BQ148" i="30"/>
  <c r="BQ149" i="30"/>
  <c r="BQ150" i="30"/>
  <c r="BQ151" i="30"/>
  <c r="BQ152" i="30"/>
  <c r="BQ153" i="30"/>
  <c r="BQ154" i="30"/>
  <c r="BQ155" i="30"/>
  <c r="BQ156" i="30"/>
  <c r="BQ157" i="30"/>
  <c r="BQ158" i="30"/>
  <c r="BQ159" i="30"/>
  <c r="BQ160" i="30"/>
  <c r="BQ161" i="30"/>
  <c r="BQ162" i="30"/>
  <c r="BQ163" i="30"/>
  <c r="BQ164" i="30"/>
  <c r="BQ165" i="30"/>
  <c r="BQ114" i="30"/>
  <c r="BQ57" i="30"/>
  <c r="BQ58" i="30"/>
  <c r="BQ59" i="30"/>
  <c r="BQ60" i="30"/>
  <c r="BQ61" i="30"/>
  <c r="BQ62" i="30"/>
  <c r="BQ63" i="30"/>
  <c r="BQ64" i="30"/>
  <c r="BQ65" i="30"/>
  <c r="BQ66" i="30"/>
  <c r="BQ67" i="30"/>
  <c r="BQ68" i="30"/>
  <c r="BQ69" i="30"/>
  <c r="BQ70" i="30"/>
  <c r="BQ71" i="30"/>
  <c r="BQ72" i="30"/>
  <c r="BQ73" i="30"/>
  <c r="BQ74" i="30"/>
  <c r="BQ75" i="30"/>
  <c r="BQ76" i="30"/>
  <c r="BQ77" i="30"/>
  <c r="BQ78" i="30"/>
  <c r="BQ79" i="30"/>
  <c r="BQ80" i="30"/>
  <c r="BQ81" i="30"/>
  <c r="BQ82" i="30"/>
  <c r="BQ83" i="30"/>
  <c r="BQ84" i="30"/>
  <c r="BQ85" i="30"/>
  <c r="BQ86" i="30"/>
  <c r="BQ87" i="30"/>
  <c r="BQ88" i="30"/>
  <c r="BQ89" i="30"/>
  <c r="BQ90" i="30"/>
  <c r="BQ91" i="30"/>
  <c r="BQ92" i="30"/>
  <c r="BQ93" i="30"/>
  <c r="BQ94" i="30"/>
  <c r="BQ95" i="30"/>
  <c r="BQ96" i="30"/>
  <c r="BQ97" i="30"/>
  <c r="BQ98" i="30"/>
  <c r="BQ99" i="30"/>
  <c r="BQ100" i="30"/>
  <c r="BQ101" i="30"/>
  <c r="BQ102" i="30"/>
  <c r="BQ103" i="30"/>
  <c r="BQ104" i="30"/>
  <c r="BQ105" i="30"/>
  <c r="BQ106" i="30"/>
  <c r="BQ107" i="30"/>
  <c r="BQ56" i="30"/>
  <c r="BQ11" i="30"/>
  <c r="BQ12" i="30"/>
  <c r="BQ13" i="30"/>
  <c r="BQ14" i="30"/>
  <c r="BQ15" i="30"/>
  <c r="BQ16" i="30"/>
  <c r="BQ17" i="30"/>
  <c r="BQ18" i="30"/>
  <c r="BQ19" i="30"/>
  <c r="BQ20" i="30"/>
  <c r="BQ21" i="30"/>
  <c r="BQ22" i="30"/>
  <c r="BQ23" i="30"/>
  <c r="BQ24" i="30"/>
  <c r="BQ25" i="30"/>
  <c r="BQ26" i="30"/>
  <c r="BQ27" i="30"/>
  <c r="BQ28" i="30"/>
  <c r="BQ29" i="30"/>
  <c r="BQ30" i="30"/>
  <c r="BQ31" i="30"/>
  <c r="BQ32" i="30"/>
  <c r="BQ33" i="30"/>
  <c r="BQ34" i="30"/>
  <c r="BQ35" i="30"/>
  <c r="BQ36" i="30"/>
  <c r="BQ37" i="30"/>
  <c r="BQ38" i="30"/>
  <c r="BQ39" i="30"/>
  <c r="BQ40" i="30"/>
  <c r="BQ41" i="30"/>
  <c r="BQ42" i="30"/>
  <c r="BQ43" i="30"/>
  <c r="BQ44" i="30"/>
  <c r="BQ45" i="30"/>
  <c r="BQ46" i="30"/>
  <c r="BQ47" i="30"/>
  <c r="BQ48" i="30"/>
  <c r="BQ49" i="30"/>
  <c r="BQ10" i="30"/>
  <c r="B115" i="30" l="1"/>
  <c r="C115" i="30"/>
  <c r="D115" i="30"/>
  <c r="E115" i="30"/>
  <c r="F115" i="30"/>
  <c r="G115" i="30"/>
  <c r="H115" i="30"/>
  <c r="I115" i="30"/>
  <c r="J115" i="30"/>
  <c r="M115" i="30"/>
  <c r="N115" i="30"/>
  <c r="O115" i="30"/>
  <c r="P115" i="30"/>
  <c r="Q115" i="30"/>
  <c r="R115" i="30"/>
  <c r="S115" i="30"/>
  <c r="T115" i="30"/>
  <c r="U115" i="30"/>
  <c r="X115" i="30"/>
  <c r="Y115" i="30"/>
  <c r="Z115" i="30"/>
  <c r="AA115" i="30"/>
  <c r="AB115" i="30"/>
  <c r="AC115" i="30"/>
  <c r="AD115" i="30"/>
  <c r="AE115" i="30"/>
  <c r="AF115" i="30"/>
  <c r="AI115" i="30"/>
  <c r="AJ115" i="30"/>
  <c r="AK115" i="30"/>
  <c r="AL115" i="30"/>
  <c r="AM115" i="30"/>
  <c r="AN115" i="30"/>
  <c r="AO115" i="30"/>
  <c r="AP115" i="30"/>
  <c r="AQ115" i="30"/>
  <c r="AT115" i="30"/>
  <c r="AU115" i="30"/>
  <c r="AV115" i="30"/>
  <c r="AW115" i="30"/>
  <c r="AX115" i="30"/>
  <c r="AY115" i="30"/>
  <c r="AZ115" i="30"/>
  <c r="BA115" i="30"/>
  <c r="BB115" i="30"/>
  <c r="BE115" i="30"/>
  <c r="BF115" i="30"/>
  <c r="BG115" i="30"/>
  <c r="BH115" i="30"/>
  <c r="BI115" i="30"/>
  <c r="BJ115" i="30"/>
  <c r="BK115" i="30"/>
  <c r="BL115" i="30"/>
  <c r="BM115" i="30"/>
  <c r="B116" i="30"/>
  <c r="C116" i="30"/>
  <c r="D116" i="30"/>
  <c r="E116" i="30"/>
  <c r="F116" i="30"/>
  <c r="G116" i="30"/>
  <c r="H116" i="30"/>
  <c r="I116" i="30"/>
  <c r="J116" i="30"/>
  <c r="M116" i="30"/>
  <c r="N116" i="30"/>
  <c r="O116" i="30"/>
  <c r="P116" i="30"/>
  <c r="Q116" i="30"/>
  <c r="R116" i="30"/>
  <c r="S116" i="30"/>
  <c r="T116" i="30"/>
  <c r="U116" i="30"/>
  <c r="X116" i="30"/>
  <c r="Y116" i="30"/>
  <c r="Z116" i="30"/>
  <c r="AA116" i="30"/>
  <c r="AB116" i="30"/>
  <c r="AC116" i="30"/>
  <c r="AD116" i="30"/>
  <c r="AE116" i="30"/>
  <c r="AF116" i="30"/>
  <c r="AI116" i="30"/>
  <c r="AJ116" i="30"/>
  <c r="AK116" i="30"/>
  <c r="AL116" i="30"/>
  <c r="AM116" i="30"/>
  <c r="AN116" i="30"/>
  <c r="AO116" i="30"/>
  <c r="AP116" i="30"/>
  <c r="AQ116" i="30"/>
  <c r="AT116" i="30"/>
  <c r="AU116" i="30"/>
  <c r="AV116" i="30"/>
  <c r="AW116" i="30"/>
  <c r="AX116" i="30"/>
  <c r="AY116" i="30"/>
  <c r="AZ116" i="30"/>
  <c r="BA116" i="30"/>
  <c r="BB116" i="30"/>
  <c r="BE116" i="30"/>
  <c r="BF116" i="30"/>
  <c r="BG116" i="30"/>
  <c r="BH116" i="30"/>
  <c r="BI116" i="30"/>
  <c r="BJ116" i="30"/>
  <c r="BK116" i="30"/>
  <c r="BL116" i="30"/>
  <c r="BM116" i="30"/>
  <c r="B117" i="30"/>
  <c r="C117" i="30"/>
  <c r="D117" i="30"/>
  <c r="E117" i="30"/>
  <c r="F117" i="30"/>
  <c r="G117" i="30"/>
  <c r="H117" i="30"/>
  <c r="I117" i="30"/>
  <c r="J117" i="30"/>
  <c r="M117" i="30"/>
  <c r="N117" i="30"/>
  <c r="O117" i="30"/>
  <c r="P117" i="30"/>
  <c r="Q117" i="30"/>
  <c r="R117" i="30"/>
  <c r="S117" i="30"/>
  <c r="T117" i="30"/>
  <c r="U117" i="30"/>
  <c r="X117" i="30"/>
  <c r="Y117" i="30"/>
  <c r="Z117" i="30"/>
  <c r="AA117" i="30"/>
  <c r="AB117" i="30"/>
  <c r="AC117" i="30"/>
  <c r="AD117" i="30"/>
  <c r="AE117" i="30"/>
  <c r="AF117" i="30"/>
  <c r="AI117" i="30"/>
  <c r="AJ117" i="30"/>
  <c r="AK117" i="30"/>
  <c r="AL117" i="30"/>
  <c r="AM117" i="30"/>
  <c r="AN117" i="30"/>
  <c r="AO117" i="30"/>
  <c r="AP117" i="30"/>
  <c r="AQ117" i="30"/>
  <c r="AT117" i="30"/>
  <c r="AU117" i="30"/>
  <c r="AV117" i="30"/>
  <c r="AW117" i="30"/>
  <c r="AX117" i="30"/>
  <c r="AY117" i="30"/>
  <c r="AZ117" i="30"/>
  <c r="BA117" i="30"/>
  <c r="BB117" i="30"/>
  <c r="BE117" i="30"/>
  <c r="BF117" i="30"/>
  <c r="BG117" i="30"/>
  <c r="BH117" i="30"/>
  <c r="BI117" i="30"/>
  <c r="BJ117" i="30"/>
  <c r="BK117" i="30"/>
  <c r="BL117" i="30"/>
  <c r="BM117" i="30"/>
  <c r="B118" i="30"/>
  <c r="C118" i="30"/>
  <c r="D118" i="30"/>
  <c r="E118" i="30"/>
  <c r="F118" i="30"/>
  <c r="G118" i="30"/>
  <c r="H118" i="30"/>
  <c r="I118" i="30"/>
  <c r="J118" i="30"/>
  <c r="M118" i="30"/>
  <c r="N118" i="30"/>
  <c r="O118" i="30"/>
  <c r="P118" i="30"/>
  <c r="Q118" i="30"/>
  <c r="R118" i="30"/>
  <c r="S118" i="30"/>
  <c r="T118" i="30"/>
  <c r="U118" i="30"/>
  <c r="X118" i="30"/>
  <c r="Y118" i="30"/>
  <c r="Z118" i="30"/>
  <c r="AA118" i="30"/>
  <c r="AB118" i="30"/>
  <c r="AC118" i="30"/>
  <c r="AD118" i="30"/>
  <c r="AE118" i="30"/>
  <c r="AF118" i="30"/>
  <c r="AI118" i="30"/>
  <c r="AJ118" i="30"/>
  <c r="AK118" i="30"/>
  <c r="AL118" i="30"/>
  <c r="AM118" i="30"/>
  <c r="AN118" i="30"/>
  <c r="AO118" i="30"/>
  <c r="AP118" i="30"/>
  <c r="AQ118" i="30"/>
  <c r="AT118" i="30"/>
  <c r="AU118" i="30"/>
  <c r="AV118" i="30"/>
  <c r="AW118" i="30"/>
  <c r="AX118" i="30"/>
  <c r="AY118" i="30"/>
  <c r="AZ118" i="30"/>
  <c r="BA118" i="30"/>
  <c r="BB118" i="30"/>
  <c r="BE118" i="30"/>
  <c r="BF118" i="30"/>
  <c r="BG118" i="30"/>
  <c r="BH118" i="30"/>
  <c r="BI118" i="30"/>
  <c r="BJ118" i="30"/>
  <c r="BK118" i="30"/>
  <c r="BL118" i="30"/>
  <c r="BM118" i="30"/>
  <c r="B119" i="30"/>
  <c r="C119" i="30"/>
  <c r="D119" i="30"/>
  <c r="E119" i="30"/>
  <c r="F119" i="30"/>
  <c r="G119" i="30"/>
  <c r="H119" i="30"/>
  <c r="I119" i="30"/>
  <c r="J119" i="30"/>
  <c r="M119" i="30"/>
  <c r="N119" i="30"/>
  <c r="O119" i="30"/>
  <c r="P119" i="30"/>
  <c r="Q119" i="30"/>
  <c r="R119" i="30"/>
  <c r="S119" i="30"/>
  <c r="T119" i="30"/>
  <c r="U119" i="30"/>
  <c r="X119" i="30"/>
  <c r="Y119" i="30"/>
  <c r="Z119" i="30"/>
  <c r="AA119" i="30"/>
  <c r="AB119" i="30"/>
  <c r="AC119" i="30"/>
  <c r="AD119" i="30"/>
  <c r="AE119" i="30"/>
  <c r="AF119" i="30"/>
  <c r="AI119" i="30"/>
  <c r="AJ119" i="30"/>
  <c r="AK119" i="30"/>
  <c r="AL119" i="30"/>
  <c r="AM119" i="30"/>
  <c r="AN119" i="30"/>
  <c r="AO119" i="30"/>
  <c r="AP119" i="30"/>
  <c r="AQ119" i="30"/>
  <c r="AT119" i="30"/>
  <c r="AU119" i="30"/>
  <c r="AV119" i="30"/>
  <c r="AW119" i="30"/>
  <c r="AX119" i="30"/>
  <c r="AY119" i="30"/>
  <c r="AZ119" i="30"/>
  <c r="BA119" i="30"/>
  <c r="BB119" i="30"/>
  <c r="BE119" i="30"/>
  <c r="BF119" i="30"/>
  <c r="BG119" i="30"/>
  <c r="BH119" i="30"/>
  <c r="BI119" i="30"/>
  <c r="BJ119" i="30"/>
  <c r="BK119" i="30"/>
  <c r="BL119" i="30"/>
  <c r="BM119" i="30"/>
  <c r="B120" i="30"/>
  <c r="C120" i="30"/>
  <c r="D120" i="30"/>
  <c r="E120" i="30"/>
  <c r="F120" i="30"/>
  <c r="G120" i="30"/>
  <c r="H120" i="30"/>
  <c r="I120" i="30"/>
  <c r="J120" i="30"/>
  <c r="M120" i="30"/>
  <c r="N120" i="30"/>
  <c r="O120" i="30"/>
  <c r="P120" i="30"/>
  <c r="Q120" i="30"/>
  <c r="R120" i="30"/>
  <c r="S120" i="30"/>
  <c r="T120" i="30"/>
  <c r="U120" i="30"/>
  <c r="X120" i="30"/>
  <c r="Y120" i="30"/>
  <c r="Z120" i="30"/>
  <c r="AA120" i="30"/>
  <c r="AB120" i="30"/>
  <c r="AC120" i="30"/>
  <c r="AD120" i="30"/>
  <c r="AE120" i="30"/>
  <c r="AF120" i="30"/>
  <c r="AI120" i="30"/>
  <c r="AJ120" i="30"/>
  <c r="AK120" i="30"/>
  <c r="AL120" i="30"/>
  <c r="AM120" i="30"/>
  <c r="AN120" i="30"/>
  <c r="AO120" i="30"/>
  <c r="AP120" i="30"/>
  <c r="AQ120" i="30"/>
  <c r="AT120" i="30"/>
  <c r="AU120" i="30"/>
  <c r="AV120" i="30"/>
  <c r="AW120" i="30"/>
  <c r="AX120" i="30"/>
  <c r="AY120" i="30"/>
  <c r="AZ120" i="30"/>
  <c r="BA120" i="30"/>
  <c r="BB120" i="30"/>
  <c r="BE120" i="30"/>
  <c r="BF120" i="30"/>
  <c r="BG120" i="30"/>
  <c r="BH120" i="30"/>
  <c r="BI120" i="30"/>
  <c r="BJ120" i="30"/>
  <c r="BK120" i="30"/>
  <c r="BL120" i="30"/>
  <c r="BM120" i="30"/>
  <c r="B121" i="30"/>
  <c r="C121" i="30"/>
  <c r="D121" i="30"/>
  <c r="E121" i="30"/>
  <c r="F121" i="30"/>
  <c r="G121" i="30"/>
  <c r="H121" i="30"/>
  <c r="I121" i="30"/>
  <c r="J121" i="30"/>
  <c r="M121" i="30"/>
  <c r="N121" i="30"/>
  <c r="O121" i="30"/>
  <c r="P121" i="30"/>
  <c r="Q121" i="30"/>
  <c r="R121" i="30"/>
  <c r="S121" i="30"/>
  <c r="T121" i="30"/>
  <c r="U121" i="30"/>
  <c r="X121" i="30"/>
  <c r="Y121" i="30"/>
  <c r="Z121" i="30"/>
  <c r="AA121" i="30"/>
  <c r="AB121" i="30"/>
  <c r="AC121" i="30"/>
  <c r="AD121" i="30"/>
  <c r="AE121" i="30"/>
  <c r="AF121" i="30"/>
  <c r="AI121" i="30"/>
  <c r="AJ121" i="30"/>
  <c r="AK121" i="30"/>
  <c r="AL121" i="30"/>
  <c r="AM121" i="30"/>
  <c r="AN121" i="30"/>
  <c r="AO121" i="30"/>
  <c r="AP121" i="30"/>
  <c r="AQ121" i="30"/>
  <c r="AT121" i="30"/>
  <c r="AU121" i="30"/>
  <c r="AV121" i="30"/>
  <c r="AW121" i="30"/>
  <c r="AX121" i="30"/>
  <c r="AY121" i="30"/>
  <c r="AZ121" i="30"/>
  <c r="BA121" i="30"/>
  <c r="BB121" i="30"/>
  <c r="BE121" i="30"/>
  <c r="BF121" i="30"/>
  <c r="BG121" i="30"/>
  <c r="BH121" i="30"/>
  <c r="BI121" i="30"/>
  <c r="BJ121" i="30"/>
  <c r="BK121" i="30"/>
  <c r="BL121" i="30"/>
  <c r="BM121" i="30"/>
  <c r="B122" i="30"/>
  <c r="C122" i="30"/>
  <c r="D122" i="30"/>
  <c r="E122" i="30"/>
  <c r="F122" i="30"/>
  <c r="G122" i="30"/>
  <c r="H122" i="30"/>
  <c r="I122" i="30"/>
  <c r="J122" i="30"/>
  <c r="M122" i="30"/>
  <c r="N122" i="30"/>
  <c r="O122" i="30"/>
  <c r="P122" i="30"/>
  <c r="Q122" i="30"/>
  <c r="R122" i="30"/>
  <c r="S122" i="30"/>
  <c r="T122" i="30"/>
  <c r="U122" i="30"/>
  <c r="X122" i="30"/>
  <c r="Y122" i="30"/>
  <c r="Z122" i="30"/>
  <c r="AA122" i="30"/>
  <c r="AB122" i="30"/>
  <c r="AC122" i="30"/>
  <c r="AD122" i="30"/>
  <c r="AE122" i="30"/>
  <c r="AF122" i="30"/>
  <c r="AI122" i="30"/>
  <c r="AJ122" i="30"/>
  <c r="AK122" i="30"/>
  <c r="AL122" i="30"/>
  <c r="AM122" i="30"/>
  <c r="AN122" i="30"/>
  <c r="AO122" i="30"/>
  <c r="AP122" i="30"/>
  <c r="AQ122" i="30"/>
  <c r="AT122" i="30"/>
  <c r="AU122" i="30"/>
  <c r="AV122" i="30"/>
  <c r="AW122" i="30"/>
  <c r="AX122" i="30"/>
  <c r="AY122" i="30"/>
  <c r="AZ122" i="30"/>
  <c r="BA122" i="30"/>
  <c r="BB122" i="30"/>
  <c r="BE122" i="30"/>
  <c r="BF122" i="30"/>
  <c r="BG122" i="30"/>
  <c r="BH122" i="30"/>
  <c r="BI122" i="30"/>
  <c r="BJ122" i="30"/>
  <c r="BK122" i="30"/>
  <c r="BL122" i="30"/>
  <c r="BM122" i="30"/>
  <c r="B123" i="30"/>
  <c r="C123" i="30"/>
  <c r="D123" i="30"/>
  <c r="E123" i="30"/>
  <c r="F123" i="30"/>
  <c r="G123" i="30"/>
  <c r="H123" i="30"/>
  <c r="I123" i="30"/>
  <c r="J123" i="30"/>
  <c r="M123" i="30"/>
  <c r="N123" i="30"/>
  <c r="O123" i="30"/>
  <c r="P123" i="30"/>
  <c r="Q123" i="30"/>
  <c r="R123" i="30"/>
  <c r="S123" i="30"/>
  <c r="T123" i="30"/>
  <c r="U123" i="30"/>
  <c r="X123" i="30"/>
  <c r="Y123" i="30"/>
  <c r="Z123" i="30"/>
  <c r="AA123" i="30"/>
  <c r="AB123" i="30"/>
  <c r="AC123" i="30"/>
  <c r="AD123" i="30"/>
  <c r="AE123" i="30"/>
  <c r="AF123" i="30"/>
  <c r="AI123" i="30"/>
  <c r="AJ123" i="30"/>
  <c r="AK123" i="30"/>
  <c r="AL123" i="30"/>
  <c r="AM123" i="30"/>
  <c r="AN123" i="30"/>
  <c r="AO123" i="30"/>
  <c r="AP123" i="30"/>
  <c r="AQ123" i="30"/>
  <c r="AT123" i="30"/>
  <c r="AU123" i="30"/>
  <c r="AV123" i="30"/>
  <c r="AW123" i="30"/>
  <c r="AX123" i="30"/>
  <c r="AY123" i="30"/>
  <c r="AZ123" i="30"/>
  <c r="BA123" i="30"/>
  <c r="BB123" i="30"/>
  <c r="BE123" i="30"/>
  <c r="BF123" i="30"/>
  <c r="BG123" i="30"/>
  <c r="BH123" i="30"/>
  <c r="BI123" i="30"/>
  <c r="BJ123" i="30"/>
  <c r="BK123" i="30"/>
  <c r="BL123" i="30"/>
  <c r="BM123" i="30"/>
  <c r="B124" i="30"/>
  <c r="C124" i="30"/>
  <c r="D124" i="30"/>
  <c r="E124" i="30"/>
  <c r="F124" i="30"/>
  <c r="G124" i="30"/>
  <c r="H124" i="30"/>
  <c r="I124" i="30"/>
  <c r="J124" i="30"/>
  <c r="M124" i="30"/>
  <c r="N124" i="30"/>
  <c r="O124" i="30"/>
  <c r="P124" i="30"/>
  <c r="Q124" i="30"/>
  <c r="R124" i="30"/>
  <c r="S124" i="30"/>
  <c r="T124" i="30"/>
  <c r="U124" i="30"/>
  <c r="X124" i="30"/>
  <c r="Y124" i="30"/>
  <c r="Z124" i="30"/>
  <c r="AA124" i="30"/>
  <c r="AB124" i="30"/>
  <c r="AC124" i="30"/>
  <c r="AD124" i="30"/>
  <c r="AE124" i="30"/>
  <c r="AF124" i="30"/>
  <c r="AI124" i="30"/>
  <c r="AJ124" i="30"/>
  <c r="AK124" i="30"/>
  <c r="AL124" i="30"/>
  <c r="AM124" i="30"/>
  <c r="AN124" i="30"/>
  <c r="AO124" i="30"/>
  <c r="AP124" i="30"/>
  <c r="AQ124" i="30"/>
  <c r="AT124" i="30"/>
  <c r="AU124" i="30"/>
  <c r="AV124" i="30"/>
  <c r="AW124" i="30"/>
  <c r="AX124" i="30"/>
  <c r="AY124" i="30"/>
  <c r="AZ124" i="30"/>
  <c r="BA124" i="30"/>
  <c r="BB124" i="30"/>
  <c r="BE124" i="30"/>
  <c r="BF124" i="30"/>
  <c r="BG124" i="30"/>
  <c r="BH124" i="30"/>
  <c r="BI124" i="30"/>
  <c r="BJ124" i="30"/>
  <c r="BK124" i="30"/>
  <c r="BL124" i="30"/>
  <c r="BM124" i="30"/>
  <c r="B125" i="30"/>
  <c r="C125" i="30"/>
  <c r="D125" i="30"/>
  <c r="E125" i="30"/>
  <c r="F125" i="30"/>
  <c r="G125" i="30"/>
  <c r="H125" i="30"/>
  <c r="I125" i="30"/>
  <c r="J125" i="30"/>
  <c r="M125" i="30"/>
  <c r="N125" i="30"/>
  <c r="O125" i="30"/>
  <c r="P125" i="30"/>
  <c r="Q125" i="30"/>
  <c r="R125" i="30"/>
  <c r="S125" i="30"/>
  <c r="T125" i="30"/>
  <c r="U125" i="30"/>
  <c r="X125" i="30"/>
  <c r="Y125" i="30"/>
  <c r="Z125" i="30"/>
  <c r="AA125" i="30"/>
  <c r="AB125" i="30"/>
  <c r="AC125" i="30"/>
  <c r="AD125" i="30"/>
  <c r="AE125" i="30"/>
  <c r="AF125" i="30"/>
  <c r="AI125" i="30"/>
  <c r="AJ125" i="30"/>
  <c r="AK125" i="30"/>
  <c r="AL125" i="30"/>
  <c r="AM125" i="30"/>
  <c r="AN125" i="30"/>
  <c r="AO125" i="30"/>
  <c r="AP125" i="30"/>
  <c r="AQ125" i="30"/>
  <c r="AT125" i="30"/>
  <c r="AU125" i="30"/>
  <c r="AV125" i="30"/>
  <c r="AW125" i="30"/>
  <c r="AX125" i="30"/>
  <c r="AY125" i="30"/>
  <c r="AZ125" i="30"/>
  <c r="BA125" i="30"/>
  <c r="BB125" i="30"/>
  <c r="BE125" i="30"/>
  <c r="BF125" i="30"/>
  <c r="BG125" i="30"/>
  <c r="BH125" i="30"/>
  <c r="BI125" i="30"/>
  <c r="BJ125" i="30"/>
  <c r="BK125" i="30"/>
  <c r="BL125" i="30"/>
  <c r="BM125" i="30"/>
  <c r="B126" i="30"/>
  <c r="C126" i="30"/>
  <c r="D126" i="30"/>
  <c r="E126" i="30"/>
  <c r="F126" i="30"/>
  <c r="G126" i="30"/>
  <c r="H126" i="30"/>
  <c r="I126" i="30"/>
  <c r="J126" i="30"/>
  <c r="M126" i="30"/>
  <c r="N126" i="30"/>
  <c r="O126" i="30"/>
  <c r="P126" i="30"/>
  <c r="Q126" i="30"/>
  <c r="R126" i="30"/>
  <c r="S126" i="30"/>
  <c r="T126" i="30"/>
  <c r="U126" i="30"/>
  <c r="X126" i="30"/>
  <c r="Y126" i="30"/>
  <c r="Z126" i="30"/>
  <c r="AA126" i="30"/>
  <c r="AB126" i="30"/>
  <c r="AC126" i="30"/>
  <c r="AD126" i="30"/>
  <c r="AE126" i="30"/>
  <c r="AF126" i="30"/>
  <c r="AI126" i="30"/>
  <c r="AJ126" i="30"/>
  <c r="AK126" i="30"/>
  <c r="AL126" i="30"/>
  <c r="AM126" i="30"/>
  <c r="AN126" i="30"/>
  <c r="AO126" i="30"/>
  <c r="AP126" i="30"/>
  <c r="AQ126" i="30"/>
  <c r="AT126" i="30"/>
  <c r="AU126" i="30"/>
  <c r="AV126" i="30"/>
  <c r="AW126" i="30"/>
  <c r="AX126" i="30"/>
  <c r="AY126" i="30"/>
  <c r="AZ126" i="30"/>
  <c r="BA126" i="30"/>
  <c r="BB126" i="30"/>
  <c r="BE126" i="30"/>
  <c r="BF126" i="30"/>
  <c r="BG126" i="30"/>
  <c r="BH126" i="30"/>
  <c r="BI126" i="30"/>
  <c r="BJ126" i="30"/>
  <c r="BK126" i="30"/>
  <c r="BL126" i="30"/>
  <c r="BM126" i="30"/>
  <c r="B127" i="30"/>
  <c r="C127" i="30"/>
  <c r="D127" i="30"/>
  <c r="E127" i="30"/>
  <c r="F127" i="30"/>
  <c r="G127" i="30"/>
  <c r="H127" i="30"/>
  <c r="I127" i="30"/>
  <c r="J127" i="30"/>
  <c r="M127" i="30"/>
  <c r="N127" i="30"/>
  <c r="O127" i="30"/>
  <c r="P127" i="30"/>
  <c r="Q127" i="30"/>
  <c r="R127" i="30"/>
  <c r="S127" i="30"/>
  <c r="T127" i="30"/>
  <c r="U127" i="30"/>
  <c r="X127" i="30"/>
  <c r="Y127" i="30"/>
  <c r="Z127" i="30"/>
  <c r="AA127" i="30"/>
  <c r="AB127" i="30"/>
  <c r="AC127" i="30"/>
  <c r="AD127" i="30"/>
  <c r="AE127" i="30"/>
  <c r="AF127" i="30"/>
  <c r="AI127" i="30"/>
  <c r="AJ127" i="30"/>
  <c r="AK127" i="30"/>
  <c r="AL127" i="30"/>
  <c r="AM127" i="30"/>
  <c r="AN127" i="30"/>
  <c r="AO127" i="30"/>
  <c r="AP127" i="30"/>
  <c r="AQ127" i="30"/>
  <c r="AT127" i="30"/>
  <c r="AU127" i="30"/>
  <c r="AV127" i="30"/>
  <c r="AW127" i="30"/>
  <c r="AX127" i="30"/>
  <c r="AY127" i="30"/>
  <c r="AZ127" i="30"/>
  <c r="BA127" i="30"/>
  <c r="BB127" i="30"/>
  <c r="BE127" i="30"/>
  <c r="BF127" i="30"/>
  <c r="BG127" i="30"/>
  <c r="BH127" i="30"/>
  <c r="BI127" i="30"/>
  <c r="BJ127" i="30"/>
  <c r="BK127" i="30"/>
  <c r="BL127" i="30"/>
  <c r="BM127" i="30"/>
  <c r="B128" i="30"/>
  <c r="C128" i="30"/>
  <c r="D128" i="30"/>
  <c r="E128" i="30"/>
  <c r="F128" i="30"/>
  <c r="G128" i="30"/>
  <c r="H128" i="30"/>
  <c r="I128" i="30"/>
  <c r="J128" i="30"/>
  <c r="M128" i="30"/>
  <c r="N128" i="30"/>
  <c r="O128" i="30"/>
  <c r="P128" i="30"/>
  <c r="Q128" i="30"/>
  <c r="R128" i="30"/>
  <c r="S128" i="30"/>
  <c r="T128" i="30"/>
  <c r="U128" i="30"/>
  <c r="X128" i="30"/>
  <c r="Y128" i="30"/>
  <c r="Z128" i="30"/>
  <c r="AA128" i="30"/>
  <c r="AB128" i="30"/>
  <c r="AC128" i="30"/>
  <c r="AD128" i="30"/>
  <c r="AE128" i="30"/>
  <c r="AF128" i="30"/>
  <c r="AI128" i="30"/>
  <c r="AJ128" i="30"/>
  <c r="AK128" i="30"/>
  <c r="AL128" i="30"/>
  <c r="AM128" i="30"/>
  <c r="AN128" i="30"/>
  <c r="AO128" i="30"/>
  <c r="AP128" i="30"/>
  <c r="AQ128" i="30"/>
  <c r="AT128" i="30"/>
  <c r="AU128" i="30"/>
  <c r="AV128" i="30"/>
  <c r="AW128" i="30"/>
  <c r="AX128" i="30"/>
  <c r="AY128" i="30"/>
  <c r="AZ128" i="30"/>
  <c r="BA128" i="30"/>
  <c r="BB128" i="30"/>
  <c r="BE128" i="30"/>
  <c r="BF128" i="30"/>
  <c r="BG128" i="30"/>
  <c r="BH128" i="30"/>
  <c r="BI128" i="30"/>
  <c r="BJ128" i="30"/>
  <c r="BK128" i="30"/>
  <c r="BL128" i="30"/>
  <c r="BM128" i="30"/>
  <c r="B129" i="30"/>
  <c r="C129" i="30"/>
  <c r="D129" i="30"/>
  <c r="E129" i="30"/>
  <c r="F129" i="30"/>
  <c r="G129" i="30"/>
  <c r="H129" i="30"/>
  <c r="I129" i="30"/>
  <c r="J129" i="30"/>
  <c r="M129" i="30"/>
  <c r="N129" i="30"/>
  <c r="O129" i="30"/>
  <c r="P129" i="30"/>
  <c r="Q129" i="30"/>
  <c r="R129" i="30"/>
  <c r="S129" i="30"/>
  <c r="T129" i="30"/>
  <c r="U129" i="30"/>
  <c r="X129" i="30"/>
  <c r="Y129" i="30"/>
  <c r="Z129" i="30"/>
  <c r="AA129" i="30"/>
  <c r="AB129" i="30"/>
  <c r="AC129" i="30"/>
  <c r="AD129" i="30"/>
  <c r="AE129" i="30"/>
  <c r="AF129" i="30"/>
  <c r="AI129" i="30"/>
  <c r="AJ129" i="30"/>
  <c r="AK129" i="30"/>
  <c r="AL129" i="30"/>
  <c r="AM129" i="30"/>
  <c r="AN129" i="30"/>
  <c r="AO129" i="30"/>
  <c r="AP129" i="30"/>
  <c r="AQ129" i="30"/>
  <c r="AT129" i="30"/>
  <c r="AU129" i="30"/>
  <c r="AV129" i="30"/>
  <c r="AW129" i="30"/>
  <c r="AX129" i="30"/>
  <c r="AY129" i="30"/>
  <c r="AZ129" i="30"/>
  <c r="BA129" i="30"/>
  <c r="BB129" i="30"/>
  <c r="BE129" i="30"/>
  <c r="BF129" i="30"/>
  <c r="BG129" i="30"/>
  <c r="BH129" i="30"/>
  <c r="BI129" i="30"/>
  <c r="BJ129" i="30"/>
  <c r="BK129" i="30"/>
  <c r="BL129" i="30"/>
  <c r="BM129" i="30"/>
  <c r="B130" i="30"/>
  <c r="C130" i="30"/>
  <c r="D130" i="30"/>
  <c r="E130" i="30"/>
  <c r="F130" i="30"/>
  <c r="G130" i="30"/>
  <c r="H130" i="30"/>
  <c r="I130" i="30"/>
  <c r="J130" i="30"/>
  <c r="M130" i="30"/>
  <c r="N130" i="30"/>
  <c r="O130" i="30"/>
  <c r="P130" i="30"/>
  <c r="Q130" i="30"/>
  <c r="R130" i="30"/>
  <c r="S130" i="30"/>
  <c r="T130" i="30"/>
  <c r="U130" i="30"/>
  <c r="X130" i="30"/>
  <c r="Y130" i="30"/>
  <c r="Z130" i="30"/>
  <c r="AA130" i="30"/>
  <c r="AB130" i="30"/>
  <c r="AC130" i="30"/>
  <c r="AD130" i="30"/>
  <c r="AE130" i="30"/>
  <c r="AF130" i="30"/>
  <c r="AI130" i="30"/>
  <c r="AJ130" i="30"/>
  <c r="AK130" i="30"/>
  <c r="AL130" i="30"/>
  <c r="AM130" i="30"/>
  <c r="AN130" i="30"/>
  <c r="AO130" i="30"/>
  <c r="AP130" i="30"/>
  <c r="AQ130" i="30"/>
  <c r="AT130" i="30"/>
  <c r="AU130" i="30"/>
  <c r="AV130" i="30"/>
  <c r="AW130" i="30"/>
  <c r="AX130" i="30"/>
  <c r="AY130" i="30"/>
  <c r="AZ130" i="30"/>
  <c r="BA130" i="30"/>
  <c r="BB130" i="30"/>
  <c r="BE130" i="30"/>
  <c r="BF130" i="30"/>
  <c r="BG130" i="30"/>
  <c r="BH130" i="30"/>
  <c r="BI130" i="30"/>
  <c r="BJ130" i="30"/>
  <c r="BK130" i="30"/>
  <c r="BL130" i="30"/>
  <c r="BM130" i="30"/>
  <c r="B131" i="30"/>
  <c r="C131" i="30"/>
  <c r="D131" i="30"/>
  <c r="E131" i="30"/>
  <c r="F131" i="30"/>
  <c r="G131" i="30"/>
  <c r="H131" i="30"/>
  <c r="I131" i="30"/>
  <c r="J131" i="30"/>
  <c r="M131" i="30"/>
  <c r="N131" i="30"/>
  <c r="O131" i="30"/>
  <c r="P131" i="30"/>
  <c r="Q131" i="30"/>
  <c r="R131" i="30"/>
  <c r="S131" i="30"/>
  <c r="T131" i="30"/>
  <c r="U131" i="30"/>
  <c r="X131" i="30"/>
  <c r="Y131" i="30"/>
  <c r="Z131" i="30"/>
  <c r="AA131" i="30"/>
  <c r="AB131" i="30"/>
  <c r="AC131" i="30"/>
  <c r="AD131" i="30"/>
  <c r="AE131" i="30"/>
  <c r="AF131" i="30"/>
  <c r="AI131" i="30"/>
  <c r="AJ131" i="30"/>
  <c r="AK131" i="30"/>
  <c r="AL131" i="30"/>
  <c r="AM131" i="30"/>
  <c r="AN131" i="30"/>
  <c r="AO131" i="30"/>
  <c r="AP131" i="30"/>
  <c r="AQ131" i="30"/>
  <c r="AT131" i="30"/>
  <c r="AU131" i="30"/>
  <c r="AV131" i="30"/>
  <c r="AW131" i="30"/>
  <c r="AX131" i="30"/>
  <c r="AY131" i="30"/>
  <c r="AZ131" i="30"/>
  <c r="BA131" i="30"/>
  <c r="BB131" i="30"/>
  <c r="BE131" i="30"/>
  <c r="BF131" i="30"/>
  <c r="BG131" i="30"/>
  <c r="BH131" i="30"/>
  <c r="BI131" i="30"/>
  <c r="BJ131" i="30"/>
  <c r="BK131" i="30"/>
  <c r="BL131" i="30"/>
  <c r="BM131" i="30"/>
  <c r="B132" i="30"/>
  <c r="C132" i="30"/>
  <c r="D132" i="30"/>
  <c r="E132" i="30"/>
  <c r="F132" i="30"/>
  <c r="G132" i="30"/>
  <c r="H132" i="30"/>
  <c r="I132" i="30"/>
  <c r="J132" i="30"/>
  <c r="M132" i="30"/>
  <c r="N132" i="30"/>
  <c r="O132" i="30"/>
  <c r="P132" i="30"/>
  <c r="Q132" i="30"/>
  <c r="R132" i="30"/>
  <c r="S132" i="30"/>
  <c r="T132" i="30"/>
  <c r="U132" i="30"/>
  <c r="X132" i="30"/>
  <c r="Y132" i="30"/>
  <c r="Z132" i="30"/>
  <c r="AA132" i="30"/>
  <c r="AB132" i="30"/>
  <c r="AC132" i="30"/>
  <c r="AD132" i="30"/>
  <c r="AE132" i="30"/>
  <c r="AF132" i="30"/>
  <c r="AI132" i="30"/>
  <c r="AJ132" i="30"/>
  <c r="AK132" i="30"/>
  <c r="AL132" i="30"/>
  <c r="AM132" i="30"/>
  <c r="AN132" i="30"/>
  <c r="AO132" i="30"/>
  <c r="AP132" i="30"/>
  <c r="AQ132" i="30"/>
  <c r="AT132" i="30"/>
  <c r="AU132" i="30"/>
  <c r="AV132" i="30"/>
  <c r="AW132" i="30"/>
  <c r="AX132" i="30"/>
  <c r="AY132" i="30"/>
  <c r="AZ132" i="30"/>
  <c r="BA132" i="30"/>
  <c r="BB132" i="30"/>
  <c r="BE132" i="30"/>
  <c r="BF132" i="30"/>
  <c r="BG132" i="30"/>
  <c r="BH132" i="30"/>
  <c r="BI132" i="30"/>
  <c r="BJ132" i="30"/>
  <c r="BK132" i="30"/>
  <c r="BL132" i="30"/>
  <c r="BM132" i="30"/>
  <c r="B133" i="30"/>
  <c r="C133" i="30"/>
  <c r="D133" i="30"/>
  <c r="E133" i="30"/>
  <c r="F133" i="30"/>
  <c r="G133" i="30"/>
  <c r="H133" i="30"/>
  <c r="I133" i="30"/>
  <c r="J133" i="30"/>
  <c r="M133" i="30"/>
  <c r="N133" i="30"/>
  <c r="O133" i="30"/>
  <c r="P133" i="30"/>
  <c r="Q133" i="30"/>
  <c r="R133" i="30"/>
  <c r="S133" i="30"/>
  <c r="T133" i="30"/>
  <c r="U133" i="30"/>
  <c r="X133" i="30"/>
  <c r="Y133" i="30"/>
  <c r="Z133" i="30"/>
  <c r="AA133" i="30"/>
  <c r="AB133" i="30"/>
  <c r="AC133" i="30"/>
  <c r="AD133" i="30"/>
  <c r="AE133" i="30"/>
  <c r="AF133" i="30"/>
  <c r="AI133" i="30"/>
  <c r="AJ133" i="30"/>
  <c r="AK133" i="30"/>
  <c r="AL133" i="30"/>
  <c r="AM133" i="30"/>
  <c r="AN133" i="30"/>
  <c r="AO133" i="30"/>
  <c r="AP133" i="30"/>
  <c r="AQ133" i="30"/>
  <c r="AT133" i="30"/>
  <c r="AU133" i="30"/>
  <c r="AV133" i="30"/>
  <c r="AW133" i="30"/>
  <c r="AX133" i="30"/>
  <c r="AY133" i="30"/>
  <c r="AZ133" i="30"/>
  <c r="BA133" i="30"/>
  <c r="BB133" i="30"/>
  <c r="BE133" i="30"/>
  <c r="BF133" i="30"/>
  <c r="BG133" i="30"/>
  <c r="BH133" i="30"/>
  <c r="BI133" i="30"/>
  <c r="BJ133" i="30"/>
  <c r="BK133" i="30"/>
  <c r="BL133" i="30"/>
  <c r="BM133" i="30"/>
  <c r="B134" i="30"/>
  <c r="C134" i="30"/>
  <c r="D134" i="30"/>
  <c r="E134" i="30"/>
  <c r="F134" i="30"/>
  <c r="G134" i="30"/>
  <c r="H134" i="30"/>
  <c r="I134" i="30"/>
  <c r="J134" i="30"/>
  <c r="M134" i="30"/>
  <c r="N134" i="30"/>
  <c r="O134" i="30"/>
  <c r="P134" i="30"/>
  <c r="Q134" i="30"/>
  <c r="R134" i="30"/>
  <c r="S134" i="30"/>
  <c r="T134" i="30"/>
  <c r="U134" i="30"/>
  <c r="X134" i="30"/>
  <c r="Y134" i="30"/>
  <c r="Z134" i="30"/>
  <c r="AA134" i="30"/>
  <c r="AB134" i="30"/>
  <c r="AC134" i="30"/>
  <c r="AD134" i="30"/>
  <c r="AE134" i="30"/>
  <c r="AF134" i="30"/>
  <c r="AI134" i="30"/>
  <c r="AJ134" i="30"/>
  <c r="AK134" i="30"/>
  <c r="AL134" i="30"/>
  <c r="AM134" i="30"/>
  <c r="AN134" i="30"/>
  <c r="AO134" i="30"/>
  <c r="AP134" i="30"/>
  <c r="AQ134" i="30"/>
  <c r="AT134" i="30"/>
  <c r="AU134" i="30"/>
  <c r="AV134" i="30"/>
  <c r="AW134" i="30"/>
  <c r="AX134" i="30"/>
  <c r="AY134" i="30"/>
  <c r="AZ134" i="30"/>
  <c r="BA134" i="30"/>
  <c r="BB134" i="30"/>
  <c r="BE134" i="30"/>
  <c r="BF134" i="30"/>
  <c r="BG134" i="30"/>
  <c r="BH134" i="30"/>
  <c r="BI134" i="30"/>
  <c r="BJ134" i="30"/>
  <c r="BK134" i="30"/>
  <c r="BL134" i="30"/>
  <c r="BM134" i="30"/>
  <c r="B135" i="30"/>
  <c r="C135" i="30"/>
  <c r="D135" i="30"/>
  <c r="E135" i="30"/>
  <c r="F135" i="30"/>
  <c r="G135" i="30"/>
  <c r="H135" i="30"/>
  <c r="I135" i="30"/>
  <c r="J135" i="30"/>
  <c r="M135" i="30"/>
  <c r="N135" i="30"/>
  <c r="O135" i="30"/>
  <c r="P135" i="30"/>
  <c r="Q135" i="30"/>
  <c r="R135" i="30"/>
  <c r="S135" i="30"/>
  <c r="T135" i="30"/>
  <c r="U135" i="30"/>
  <c r="X135" i="30"/>
  <c r="Y135" i="30"/>
  <c r="Z135" i="30"/>
  <c r="AA135" i="30"/>
  <c r="AB135" i="30"/>
  <c r="AC135" i="30"/>
  <c r="AD135" i="30"/>
  <c r="AE135" i="30"/>
  <c r="AF135" i="30"/>
  <c r="AI135" i="30"/>
  <c r="AJ135" i="30"/>
  <c r="AK135" i="30"/>
  <c r="AL135" i="30"/>
  <c r="AM135" i="30"/>
  <c r="AN135" i="30"/>
  <c r="AO135" i="30"/>
  <c r="AP135" i="30"/>
  <c r="AQ135" i="30"/>
  <c r="AT135" i="30"/>
  <c r="AU135" i="30"/>
  <c r="AV135" i="30"/>
  <c r="AW135" i="30"/>
  <c r="AX135" i="30"/>
  <c r="AY135" i="30"/>
  <c r="AZ135" i="30"/>
  <c r="BA135" i="30"/>
  <c r="BB135" i="30"/>
  <c r="BE135" i="30"/>
  <c r="BF135" i="30"/>
  <c r="BG135" i="30"/>
  <c r="BH135" i="30"/>
  <c r="BI135" i="30"/>
  <c r="BJ135" i="30"/>
  <c r="BK135" i="30"/>
  <c r="BL135" i="30"/>
  <c r="BM135" i="30"/>
  <c r="B136" i="30"/>
  <c r="C136" i="30"/>
  <c r="D136" i="30"/>
  <c r="E136" i="30"/>
  <c r="F136" i="30"/>
  <c r="G136" i="30"/>
  <c r="H136" i="30"/>
  <c r="I136" i="30"/>
  <c r="J136" i="30"/>
  <c r="M136" i="30"/>
  <c r="N136" i="30"/>
  <c r="O136" i="30"/>
  <c r="P136" i="30"/>
  <c r="Q136" i="30"/>
  <c r="R136" i="30"/>
  <c r="S136" i="30"/>
  <c r="T136" i="30"/>
  <c r="U136" i="30"/>
  <c r="X136" i="30"/>
  <c r="Y136" i="30"/>
  <c r="Z136" i="30"/>
  <c r="AA136" i="30"/>
  <c r="AB136" i="30"/>
  <c r="AC136" i="30"/>
  <c r="AD136" i="30"/>
  <c r="AE136" i="30"/>
  <c r="AF136" i="30"/>
  <c r="AI136" i="30"/>
  <c r="AJ136" i="30"/>
  <c r="AK136" i="30"/>
  <c r="AL136" i="30"/>
  <c r="AM136" i="30"/>
  <c r="AN136" i="30"/>
  <c r="AO136" i="30"/>
  <c r="AP136" i="30"/>
  <c r="AQ136" i="30"/>
  <c r="AT136" i="30"/>
  <c r="AU136" i="30"/>
  <c r="AV136" i="30"/>
  <c r="AW136" i="30"/>
  <c r="AX136" i="30"/>
  <c r="AY136" i="30"/>
  <c r="AZ136" i="30"/>
  <c r="BA136" i="30"/>
  <c r="BB136" i="30"/>
  <c r="BE136" i="30"/>
  <c r="BF136" i="30"/>
  <c r="BG136" i="30"/>
  <c r="BH136" i="30"/>
  <c r="BI136" i="30"/>
  <c r="BJ136" i="30"/>
  <c r="BK136" i="30"/>
  <c r="BL136" i="30"/>
  <c r="BM136" i="30"/>
  <c r="B137" i="30"/>
  <c r="C137" i="30"/>
  <c r="D137" i="30"/>
  <c r="E137" i="30"/>
  <c r="F137" i="30"/>
  <c r="G137" i="30"/>
  <c r="H137" i="30"/>
  <c r="I137" i="30"/>
  <c r="J137" i="30"/>
  <c r="M137" i="30"/>
  <c r="N137" i="30"/>
  <c r="O137" i="30"/>
  <c r="P137" i="30"/>
  <c r="Q137" i="30"/>
  <c r="R137" i="30"/>
  <c r="S137" i="30"/>
  <c r="T137" i="30"/>
  <c r="U137" i="30"/>
  <c r="X137" i="30"/>
  <c r="Y137" i="30"/>
  <c r="Z137" i="30"/>
  <c r="AA137" i="30"/>
  <c r="AB137" i="30"/>
  <c r="AC137" i="30"/>
  <c r="AD137" i="30"/>
  <c r="AE137" i="30"/>
  <c r="AF137" i="30"/>
  <c r="AI137" i="30"/>
  <c r="AJ137" i="30"/>
  <c r="AK137" i="30"/>
  <c r="AL137" i="30"/>
  <c r="AM137" i="30"/>
  <c r="AN137" i="30"/>
  <c r="AO137" i="30"/>
  <c r="AP137" i="30"/>
  <c r="AQ137" i="30"/>
  <c r="AT137" i="30"/>
  <c r="AU137" i="30"/>
  <c r="AV137" i="30"/>
  <c r="AW137" i="30"/>
  <c r="AX137" i="30"/>
  <c r="AY137" i="30"/>
  <c r="AZ137" i="30"/>
  <c r="BA137" i="30"/>
  <c r="BB137" i="30"/>
  <c r="BE137" i="30"/>
  <c r="BF137" i="30"/>
  <c r="BG137" i="30"/>
  <c r="BH137" i="30"/>
  <c r="BI137" i="30"/>
  <c r="BJ137" i="30"/>
  <c r="BK137" i="30"/>
  <c r="BL137" i="30"/>
  <c r="BM137" i="30"/>
  <c r="B138" i="30"/>
  <c r="C138" i="30"/>
  <c r="D138" i="30"/>
  <c r="E138" i="30"/>
  <c r="F138" i="30"/>
  <c r="G138" i="30"/>
  <c r="H138" i="30"/>
  <c r="I138" i="30"/>
  <c r="J138" i="30"/>
  <c r="M138" i="30"/>
  <c r="N138" i="30"/>
  <c r="O138" i="30"/>
  <c r="P138" i="30"/>
  <c r="Q138" i="30"/>
  <c r="R138" i="30"/>
  <c r="S138" i="30"/>
  <c r="T138" i="30"/>
  <c r="U138" i="30"/>
  <c r="X138" i="30"/>
  <c r="Y138" i="30"/>
  <c r="Z138" i="30"/>
  <c r="AA138" i="30"/>
  <c r="AB138" i="30"/>
  <c r="AC138" i="30"/>
  <c r="AD138" i="30"/>
  <c r="AE138" i="30"/>
  <c r="AF138" i="30"/>
  <c r="AI138" i="30"/>
  <c r="AJ138" i="30"/>
  <c r="AK138" i="30"/>
  <c r="AL138" i="30"/>
  <c r="AM138" i="30"/>
  <c r="AN138" i="30"/>
  <c r="AO138" i="30"/>
  <c r="AP138" i="30"/>
  <c r="AQ138" i="30"/>
  <c r="AT138" i="30"/>
  <c r="AU138" i="30"/>
  <c r="AV138" i="30"/>
  <c r="AW138" i="30"/>
  <c r="AX138" i="30"/>
  <c r="AY138" i="30"/>
  <c r="AZ138" i="30"/>
  <c r="BA138" i="30"/>
  <c r="BB138" i="30"/>
  <c r="BE138" i="30"/>
  <c r="BF138" i="30"/>
  <c r="BG138" i="30"/>
  <c r="BH138" i="30"/>
  <c r="BI138" i="30"/>
  <c r="BJ138" i="30"/>
  <c r="BK138" i="30"/>
  <c r="BL138" i="30"/>
  <c r="BM138" i="30"/>
  <c r="B139" i="30"/>
  <c r="C139" i="30"/>
  <c r="D139" i="30"/>
  <c r="E139" i="30"/>
  <c r="F139" i="30"/>
  <c r="G139" i="30"/>
  <c r="H139" i="30"/>
  <c r="I139" i="30"/>
  <c r="J139" i="30"/>
  <c r="M139" i="30"/>
  <c r="N139" i="30"/>
  <c r="O139" i="30"/>
  <c r="P139" i="30"/>
  <c r="Q139" i="30"/>
  <c r="R139" i="30"/>
  <c r="S139" i="30"/>
  <c r="T139" i="30"/>
  <c r="U139" i="30"/>
  <c r="X139" i="30"/>
  <c r="Y139" i="30"/>
  <c r="Z139" i="30"/>
  <c r="AA139" i="30"/>
  <c r="AB139" i="30"/>
  <c r="AC139" i="30"/>
  <c r="AD139" i="30"/>
  <c r="AE139" i="30"/>
  <c r="AF139" i="30"/>
  <c r="AI139" i="30"/>
  <c r="AJ139" i="30"/>
  <c r="AK139" i="30"/>
  <c r="AL139" i="30"/>
  <c r="AM139" i="30"/>
  <c r="AN139" i="30"/>
  <c r="AO139" i="30"/>
  <c r="AP139" i="30"/>
  <c r="AQ139" i="30"/>
  <c r="AT139" i="30"/>
  <c r="AU139" i="30"/>
  <c r="AV139" i="30"/>
  <c r="AW139" i="30"/>
  <c r="AX139" i="30"/>
  <c r="AY139" i="30"/>
  <c r="AZ139" i="30"/>
  <c r="BA139" i="30"/>
  <c r="BB139" i="30"/>
  <c r="BE139" i="30"/>
  <c r="BF139" i="30"/>
  <c r="BG139" i="30"/>
  <c r="BH139" i="30"/>
  <c r="BI139" i="30"/>
  <c r="BJ139" i="30"/>
  <c r="BK139" i="30"/>
  <c r="BL139" i="30"/>
  <c r="BM139" i="30"/>
  <c r="B140" i="30"/>
  <c r="C140" i="30"/>
  <c r="D140" i="30"/>
  <c r="E140" i="30"/>
  <c r="F140" i="30"/>
  <c r="G140" i="30"/>
  <c r="H140" i="30"/>
  <c r="I140" i="30"/>
  <c r="J140" i="30"/>
  <c r="M140" i="30"/>
  <c r="N140" i="30"/>
  <c r="O140" i="30"/>
  <c r="P140" i="30"/>
  <c r="Q140" i="30"/>
  <c r="R140" i="30"/>
  <c r="S140" i="30"/>
  <c r="T140" i="30"/>
  <c r="U140" i="30"/>
  <c r="X140" i="30"/>
  <c r="Y140" i="30"/>
  <c r="Z140" i="30"/>
  <c r="AA140" i="30"/>
  <c r="AB140" i="30"/>
  <c r="AC140" i="30"/>
  <c r="AD140" i="30"/>
  <c r="AE140" i="30"/>
  <c r="AF140" i="30"/>
  <c r="AI140" i="30"/>
  <c r="AJ140" i="30"/>
  <c r="AK140" i="30"/>
  <c r="AL140" i="30"/>
  <c r="AM140" i="30"/>
  <c r="AN140" i="30"/>
  <c r="AO140" i="30"/>
  <c r="AP140" i="30"/>
  <c r="AQ140" i="30"/>
  <c r="AT140" i="30"/>
  <c r="AU140" i="30"/>
  <c r="AV140" i="30"/>
  <c r="AW140" i="30"/>
  <c r="AX140" i="30"/>
  <c r="AY140" i="30"/>
  <c r="AZ140" i="30"/>
  <c r="BA140" i="30"/>
  <c r="BB140" i="30"/>
  <c r="BE140" i="30"/>
  <c r="BF140" i="30"/>
  <c r="BG140" i="30"/>
  <c r="BH140" i="30"/>
  <c r="BI140" i="30"/>
  <c r="BJ140" i="30"/>
  <c r="BK140" i="30"/>
  <c r="BL140" i="30"/>
  <c r="BM140" i="30"/>
  <c r="B141" i="30"/>
  <c r="C141" i="30"/>
  <c r="D141" i="30"/>
  <c r="E141" i="30"/>
  <c r="F141" i="30"/>
  <c r="G141" i="30"/>
  <c r="H141" i="30"/>
  <c r="I141" i="30"/>
  <c r="J141" i="30"/>
  <c r="M141" i="30"/>
  <c r="N141" i="30"/>
  <c r="O141" i="30"/>
  <c r="P141" i="30"/>
  <c r="Q141" i="30"/>
  <c r="R141" i="30"/>
  <c r="S141" i="30"/>
  <c r="T141" i="30"/>
  <c r="U141" i="30"/>
  <c r="X141" i="30"/>
  <c r="Y141" i="30"/>
  <c r="Z141" i="30"/>
  <c r="AA141" i="30"/>
  <c r="AB141" i="30"/>
  <c r="AC141" i="30"/>
  <c r="AD141" i="30"/>
  <c r="AE141" i="30"/>
  <c r="AF141" i="30"/>
  <c r="AI141" i="30"/>
  <c r="AJ141" i="30"/>
  <c r="AK141" i="30"/>
  <c r="AL141" i="30"/>
  <c r="AM141" i="30"/>
  <c r="AN141" i="30"/>
  <c r="AO141" i="30"/>
  <c r="AP141" i="30"/>
  <c r="AQ141" i="30"/>
  <c r="AT141" i="30"/>
  <c r="AU141" i="30"/>
  <c r="AV141" i="30"/>
  <c r="AW141" i="30"/>
  <c r="AX141" i="30"/>
  <c r="AY141" i="30"/>
  <c r="AZ141" i="30"/>
  <c r="BA141" i="30"/>
  <c r="BB141" i="30"/>
  <c r="BE141" i="30"/>
  <c r="BF141" i="30"/>
  <c r="BG141" i="30"/>
  <c r="BH141" i="30"/>
  <c r="BI141" i="30"/>
  <c r="BJ141" i="30"/>
  <c r="BK141" i="30"/>
  <c r="BL141" i="30"/>
  <c r="BM141" i="30"/>
  <c r="B142" i="30"/>
  <c r="C142" i="30"/>
  <c r="D142" i="30"/>
  <c r="E142" i="30"/>
  <c r="F142" i="30"/>
  <c r="G142" i="30"/>
  <c r="H142" i="30"/>
  <c r="I142" i="30"/>
  <c r="J142" i="30"/>
  <c r="M142" i="30"/>
  <c r="N142" i="30"/>
  <c r="O142" i="30"/>
  <c r="P142" i="30"/>
  <c r="Q142" i="30"/>
  <c r="R142" i="30"/>
  <c r="S142" i="30"/>
  <c r="T142" i="30"/>
  <c r="U142" i="30"/>
  <c r="X142" i="30"/>
  <c r="Y142" i="30"/>
  <c r="Z142" i="30"/>
  <c r="AA142" i="30"/>
  <c r="AB142" i="30"/>
  <c r="AC142" i="30"/>
  <c r="AD142" i="30"/>
  <c r="AE142" i="30"/>
  <c r="AF142" i="30"/>
  <c r="AI142" i="30"/>
  <c r="AJ142" i="30"/>
  <c r="AK142" i="30"/>
  <c r="AL142" i="30"/>
  <c r="AM142" i="30"/>
  <c r="AN142" i="30"/>
  <c r="AO142" i="30"/>
  <c r="AP142" i="30"/>
  <c r="AQ142" i="30"/>
  <c r="AT142" i="30"/>
  <c r="AU142" i="30"/>
  <c r="AV142" i="30"/>
  <c r="AW142" i="30"/>
  <c r="AX142" i="30"/>
  <c r="AY142" i="30"/>
  <c r="AZ142" i="30"/>
  <c r="BA142" i="30"/>
  <c r="BB142" i="30"/>
  <c r="BE142" i="30"/>
  <c r="BF142" i="30"/>
  <c r="BG142" i="30"/>
  <c r="BH142" i="30"/>
  <c r="BI142" i="30"/>
  <c r="BJ142" i="30"/>
  <c r="BK142" i="30"/>
  <c r="BL142" i="30"/>
  <c r="BM142" i="30"/>
  <c r="B143" i="30"/>
  <c r="C143" i="30"/>
  <c r="D143" i="30"/>
  <c r="E143" i="30"/>
  <c r="F143" i="30"/>
  <c r="G143" i="30"/>
  <c r="H143" i="30"/>
  <c r="I143" i="30"/>
  <c r="J143" i="30"/>
  <c r="M143" i="30"/>
  <c r="N143" i="30"/>
  <c r="O143" i="30"/>
  <c r="P143" i="30"/>
  <c r="Q143" i="30"/>
  <c r="R143" i="30"/>
  <c r="S143" i="30"/>
  <c r="T143" i="30"/>
  <c r="U143" i="30"/>
  <c r="X143" i="30"/>
  <c r="Y143" i="30"/>
  <c r="Z143" i="30"/>
  <c r="AA143" i="30"/>
  <c r="AB143" i="30"/>
  <c r="AC143" i="30"/>
  <c r="AD143" i="30"/>
  <c r="AE143" i="30"/>
  <c r="AF143" i="30"/>
  <c r="AI143" i="30"/>
  <c r="AJ143" i="30"/>
  <c r="AK143" i="30"/>
  <c r="AL143" i="30"/>
  <c r="AM143" i="30"/>
  <c r="AN143" i="30"/>
  <c r="AO143" i="30"/>
  <c r="AP143" i="30"/>
  <c r="AQ143" i="30"/>
  <c r="AT143" i="30"/>
  <c r="AU143" i="30"/>
  <c r="AV143" i="30"/>
  <c r="AW143" i="30"/>
  <c r="AX143" i="30"/>
  <c r="AY143" i="30"/>
  <c r="AZ143" i="30"/>
  <c r="BA143" i="30"/>
  <c r="BB143" i="30"/>
  <c r="BE143" i="30"/>
  <c r="BF143" i="30"/>
  <c r="BG143" i="30"/>
  <c r="BH143" i="30"/>
  <c r="BI143" i="30"/>
  <c r="BJ143" i="30"/>
  <c r="BK143" i="30"/>
  <c r="BL143" i="30"/>
  <c r="BM143" i="30"/>
  <c r="B144" i="30"/>
  <c r="C144" i="30"/>
  <c r="D144" i="30"/>
  <c r="E144" i="30"/>
  <c r="F144" i="30"/>
  <c r="G144" i="30"/>
  <c r="H144" i="30"/>
  <c r="I144" i="30"/>
  <c r="J144" i="30"/>
  <c r="M144" i="30"/>
  <c r="N144" i="30"/>
  <c r="O144" i="30"/>
  <c r="P144" i="30"/>
  <c r="Q144" i="30"/>
  <c r="R144" i="30"/>
  <c r="S144" i="30"/>
  <c r="T144" i="30"/>
  <c r="U144" i="30"/>
  <c r="X144" i="30"/>
  <c r="Y144" i="30"/>
  <c r="Z144" i="30"/>
  <c r="AA144" i="30"/>
  <c r="AB144" i="30"/>
  <c r="AC144" i="30"/>
  <c r="AD144" i="30"/>
  <c r="AE144" i="30"/>
  <c r="AF144" i="30"/>
  <c r="AI144" i="30"/>
  <c r="AJ144" i="30"/>
  <c r="AK144" i="30"/>
  <c r="AL144" i="30"/>
  <c r="AM144" i="30"/>
  <c r="AN144" i="30"/>
  <c r="AO144" i="30"/>
  <c r="AP144" i="30"/>
  <c r="AQ144" i="30"/>
  <c r="AT144" i="30"/>
  <c r="AU144" i="30"/>
  <c r="AV144" i="30"/>
  <c r="AW144" i="30"/>
  <c r="AX144" i="30"/>
  <c r="AY144" i="30"/>
  <c r="AZ144" i="30"/>
  <c r="BA144" i="30"/>
  <c r="BB144" i="30"/>
  <c r="BE144" i="30"/>
  <c r="BF144" i="30"/>
  <c r="BG144" i="30"/>
  <c r="BH144" i="30"/>
  <c r="BI144" i="30"/>
  <c r="BJ144" i="30"/>
  <c r="BK144" i="30"/>
  <c r="BL144" i="30"/>
  <c r="BM144" i="30"/>
  <c r="B145" i="30"/>
  <c r="C145" i="30"/>
  <c r="D145" i="30"/>
  <c r="E145" i="30"/>
  <c r="F145" i="30"/>
  <c r="G145" i="30"/>
  <c r="H145" i="30"/>
  <c r="I145" i="30"/>
  <c r="J145" i="30"/>
  <c r="M145" i="30"/>
  <c r="N145" i="30"/>
  <c r="O145" i="30"/>
  <c r="P145" i="30"/>
  <c r="Q145" i="30"/>
  <c r="R145" i="30"/>
  <c r="S145" i="30"/>
  <c r="T145" i="30"/>
  <c r="U145" i="30"/>
  <c r="X145" i="30"/>
  <c r="Y145" i="30"/>
  <c r="Z145" i="30"/>
  <c r="AA145" i="30"/>
  <c r="AB145" i="30"/>
  <c r="AC145" i="30"/>
  <c r="AD145" i="30"/>
  <c r="AE145" i="30"/>
  <c r="AF145" i="30"/>
  <c r="AI145" i="30"/>
  <c r="AJ145" i="30"/>
  <c r="AK145" i="30"/>
  <c r="AL145" i="30"/>
  <c r="AM145" i="30"/>
  <c r="AN145" i="30"/>
  <c r="AO145" i="30"/>
  <c r="AP145" i="30"/>
  <c r="AQ145" i="30"/>
  <c r="AT145" i="30"/>
  <c r="AU145" i="30"/>
  <c r="AV145" i="30"/>
  <c r="AW145" i="30"/>
  <c r="AX145" i="30"/>
  <c r="AY145" i="30"/>
  <c r="AZ145" i="30"/>
  <c r="BA145" i="30"/>
  <c r="BB145" i="30"/>
  <c r="BE145" i="30"/>
  <c r="BF145" i="30"/>
  <c r="BG145" i="30"/>
  <c r="BH145" i="30"/>
  <c r="BI145" i="30"/>
  <c r="BJ145" i="30"/>
  <c r="BK145" i="30"/>
  <c r="BL145" i="30"/>
  <c r="BM145" i="30"/>
  <c r="B146" i="30"/>
  <c r="C146" i="30"/>
  <c r="D146" i="30"/>
  <c r="E146" i="30"/>
  <c r="F146" i="30"/>
  <c r="G146" i="30"/>
  <c r="H146" i="30"/>
  <c r="I146" i="30"/>
  <c r="J146" i="30"/>
  <c r="M146" i="30"/>
  <c r="N146" i="30"/>
  <c r="O146" i="30"/>
  <c r="P146" i="30"/>
  <c r="Q146" i="30"/>
  <c r="R146" i="30"/>
  <c r="S146" i="30"/>
  <c r="T146" i="30"/>
  <c r="U146" i="30"/>
  <c r="X146" i="30"/>
  <c r="Y146" i="30"/>
  <c r="Z146" i="30"/>
  <c r="AA146" i="30"/>
  <c r="AB146" i="30"/>
  <c r="AC146" i="30"/>
  <c r="AD146" i="30"/>
  <c r="AE146" i="30"/>
  <c r="AF146" i="30"/>
  <c r="AI146" i="30"/>
  <c r="AJ146" i="30"/>
  <c r="AK146" i="30"/>
  <c r="AL146" i="30"/>
  <c r="AM146" i="30"/>
  <c r="AN146" i="30"/>
  <c r="AO146" i="30"/>
  <c r="AP146" i="30"/>
  <c r="AQ146" i="30"/>
  <c r="AT146" i="30"/>
  <c r="AU146" i="30"/>
  <c r="AV146" i="30"/>
  <c r="AW146" i="30"/>
  <c r="AX146" i="30"/>
  <c r="AY146" i="30"/>
  <c r="AZ146" i="30"/>
  <c r="BA146" i="30"/>
  <c r="BB146" i="30"/>
  <c r="BE146" i="30"/>
  <c r="BF146" i="30"/>
  <c r="BG146" i="30"/>
  <c r="BH146" i="30"/>
  <c r="BI146" i="30"/>
  <c r="BJ146" i="30"/>
  <c r="BK146" i="30"/>
  <c r="BL146" i="30"/>
  <c r="BM146" i="30"/>
  <c r="B147" i="30"/>
  <c r="C147" i="30"/>
  <c r="D147" i="30"/>
  <c r="E147" i="30"/>
  <c r="F147" i="30"/>
  <c r="G147" i="30"/>
  <c r="H147" i="30"/>
  <c r="I147" i="30"/>
  <c r="J147" i="30"/>
  <c r="M147" i="30"/>
  <c r="N147" i="30"/>
  <c r="O147" i="30"/>
  <c r="P147" i="30"/>
  <c r="Q147" i="30"/>
  <c r="R147" i="30"/>
  <c r="S147" i="30"/>
  <c r="T147" i="30"/>
  <c r="U147" i="30"/>
  <c r="X147" i="30"/>
  <c r="Y147" i="30"/>
  <c r="Z147" i="30"/>
  <c r="AA147" i="30"/>
  <c r="AB147" i="30"/>
  <c r="AC147" i="30"/>
  <c r="AD147" i="30"/>
  <c r="AE147" i="30"/>
  <c r="AF147" i="30"/>
  <c r="AI147" i="30"/>
  <c r="AJ147" i="30"/>
  <c r="AK147" i="30"/>
  <c r="AL147" i="30"/>
  <c r="AM147" i="30"/>
  <c r="AN147" i="30"/>
  <c r="AO147" i="30"/>
  <c r="AP147" i="30"/>
  <c r="AQ147" i="30"/>
  <c r="AT147" i="30"/>
  <c r="AU147" i="30"/>
  <c r="AV147" i="30"/>
  <c r="AW147" i="30"/>
  <c r="AX147" i="30"/>
  <c r="AY147" i="30"/>
  <c r="AZ147" i="30"/>
  <c r="BA147" i="30"/>
  <c r="BB147" i="30"/>
  <c r="BE147" i="30"/>
  <c r="BF147" i="30"/>
  <c r="BG147" i="30"/>
  <c r="BH147" i="30"/>
  <c r="BI147" i="30"/>
  <c r="BJ147" i="30"/>
  <c r="BK147" i="30"/>
  <c r="BL147" i="30"/>
  <c r="BM147" i="30"/>
  <c r="B148" i="30"/>
  <c r="C148" i="30"/>
  <c r="D148" i="30"/>
  <c r="E148" i="30"/>
  <c r="F148" i="30"/>
  <c r="G148" i="30"/>
  <c r="H148" i="30"/>
  <c r="I148" i="30"/>
  <c r="J148" i="30"/>
  <c r="M148" i="30"/>
  <c r="N148" i="30"/>
  <c r="O148" i="30"/>
  <c r="P148" i="30"/>
  <c r="Q148" i="30"/>
  <c r="R148" i="30"/>
  <c r="S148" i="30"/>
  <c r="T148" i="30"/>
  <c r="U148" i="30"/>
  <c r="X148" i="30"/>
  <c r="Y148" i="30"/>
  <c r="Z148" i="30"/>
  <c r="AA148" i="30"/>
  <c r="AB148" i="30"/>
  <c r="AC148" i="30"/>
  <c r="AD148" i="30"/>
  <c r="AE148" i="30"/>
  <c r="AF148" i="30"/>
  <c r="AI148" i="30"/>
  <c r="AJ148" i="30"/>
  <c r="AK148" i="30"/>
  <c r="AL148" i="30"/>
  <c r="AM148" i="30"/>
  <c r="AN148" i="30"/>
  <c r="AO148" i="30"/>
  <c r="AP148" i="30"/>
  <c r="AQ148" i="30"/>
  <c r="AT148" i="30"/>
  <c r="AU148" i="30"/>
  <c r="AV148" i="30"/>
  <c r="AW148" i="30"/>
  <c r="AX148" i="30"/>
  <c r="AY148" i="30"/>
  <c r="AZ148" i="30"/>
  <c r="BA148" i="30"/>
  <c r="BB148" i="30"/>
  <c r="BE148" i="30"/>
  <c r="BF148" i="30"/>
  <c r="BG148" i="30"/>
  <c r="BH148" i="30"/>
  <c r="BI148" i="30"/>
  <c r="BJ148" i="30"/>
  <c r="BK148" i="30"/>
  <c r="BL148" i="30"/>
  <c r="BM148" i="30"/>
  <c r="B149" i="30"/>
  <c r="C149" i="30"/>
  <c r="D149" i="30"/>
  <c r="E149" i="30"/>
  <c r="F149" i="30"/>
  <c r="G149" i="30"/>
  <c r="H149" i="30"/>
  <c r="I149" i="30"/>
  <c r="J149" i="30"/>
  <c r="M149" i="30"/>
  <c r="N149" i="30"/>
  <c r="O149" i="30"/>
  <c r="P149" i="30"/>
  <c r="Q149" i="30"/>
  <c r="R149" i="30"/>
  <c r="S149" i="30"/>
  <c r="T149" i="30"/>
  <c r="U149" i="30"/>
  <c r="X149" i="30"/>
  <c r="Y149" i="30"/>
  <c r="Z149" i="30"/>
  <c r="AA149" i="30"/>
  <c r="AB149" i="30"/>
  <c r="AC149" i="30"/>
  <c r="AD149" i="30"/>
  <c r="AE149" i="30"/>
  <c r="AF149" i="30"/>
  <c r="AI149" i="30"/>
  <c r="AJ149" i="30"/>
  <c r="AK149" i="30"/>
  <c r="AL149" i="30"/>
  <c r="AM149" i="30"/>
  <c r="AN149" i="30"/>
  <c r="AO149" i="30"/>
  <c r="AP149" i="30"/>
  <c r="AQ149" i="30"/>
  <c r="AT149" i="30"/>
  <c r="AU149" i="30"/>
  <c r="AV149" i="30"/>
  <c r="AW149" i="30"/>
  <c r="AX149" i="30"/>
  <c r="AY149" i="30"/>
  <c r="AZ149" i="30"/>
  <c r="BA149" i="30"/>
  <c r="BB149" i="30"/>
  <c r="BE149" i="30"/>
  <c r="BF149" i="30"/>
  <c r="BG149" i="30"/>
  <c r="BH149" i="30"/>
  <c r="BI149" i="30"/>
  <c r="BJ149" i="30"/>
  <c r="BK149" i="30"/>
  <c r="BL149" i="30"/>
  <c r="BM149" i="30"/>
  <c r="B150" i="30"/>
  <c r="C150" i="30"/>
  <c r="D150" i="30"/>
  <c r="E150" i="30"/>
  <c r="F150" i="30"/>
  <c r="G150" i="30"/>
  <c r="H150" i="30"/>
  <c r="I150" i="30"/>
  <c r="J150" i="30"/>
  <c r="M150" i="30"/>
  <c r="N150" i="30"/>
  <c r="O150" i="30"/>
  <c r="P150" i="30"/>
  <c r="Q150" i="30"/>
  <c r="R150" i="30"/>
  <c r="S150" i="30"/>
  <c r="T150" i="30"/>
  <c r="U150" i="30"/>
  <c r="X150" i="30"/>
  <c r="Y150" i="30"/>
  <c r="Z150" i="30"/>
  <c r="AA150" i="30"/>
  <c r="AB150" i="30"/>
  <c r="AC150" i="30"/>
  <c r="AD150" i="30"/>
  <c r="AE150" i="30"/>
  <c r="AF150" i="30"/>
  <c r="AI150" i="30"/>
  <c r="AJ150" i="30"/>
  <c r="AK150" i="30"/>
  <c r="AL150" i="30"/>
  <c r="AM150" i="30"/>
  <c r="AN150" i="30"/>
  <c r="AO150" i="30"/>
  <c r="AP150" i="30"/>
  <c r="AQ150" i="30"/>
  <c r="AT150" i="30"/>
  <c r="AU150" i="30"/>
  <c r="AV150" i="30"/>
  <c r="AW150" i="30"/>
  <c r="AX150" i="30"/>
  <c r="AY150" i="30"/>
  <c r="AZ150" i="30"/>
  <c r="BA150" i="30"/>
  <c r="BB150" i="30"/>
  <c r="BE150" i="30"/>
  <c r="BF150" i="30"/>
  <c r="BG150" i="30"/>
  <c r="BH150" i="30"/>
  <c r="BI150" i="30"/>
  <c r="BJ150" i="30"/>
  <c r="BK150" i="30"/>
  <c r="BL150" i="30"/>
  <c r="BM150" i="30"/>
  <c r="B151" i="30"/>
  <c r="C151" i="30"/>
  <c r="D151" i="30"/>
  <c r="E151" i="30"/>
  <c r="F151" i="30"/>
  <c r="G151" i="30"/>
  <c r="H151" i="30"/>
  <c r="I151" i="30"/>
  <c r="J151" i="30"/>
  <c r="M151" i="30"/>
  <c r="N151" i="30"/>
  <c r="O151" i="30"/>
  <c r="P151" i="30"/>
  <c r="Q151" i="30"/>
  <c r="R151" i="30"/>
  <c r="S151" i="30"/>
  <c r="T151" i="30"/>
  <c r="U151" i="30"/>
  <c r="X151" i="30"/>
  <c r="Y151" i="30"/>
  <c r="Z151" i="30"/>
  <c r="AA151" i="30"/>
  <c r="AB151" i="30"/>
  <c r="AC151" i="30"/>
  <c r="AD151" i="30"/>
  <c r="AE151" i="30"/>
  <c r="AF151" i="30"/>
  <c r="AI151" i="30"/>
  <c r="AJ151" i="30"/>
  <c r="AK151" i="30"/>
  <c r="AL151" i="30"/>
  <c r="AM151" i="30"/>
  <c r="AN151" i="30"/>
  <c r="AO151" i="30"/>
  <c r="AP151" i="30"/>
  <c r="AQ151" i="30"/>
  <c r="AT151" i="30"/>
  <c r="AU151" i="30"/>
  <c r="AV151" i="30"/>
  <c r="AW151" i="30"/>
  <c r="AX151" i="30"/>
  <c r="AY151" i="30"/>
  <c r="AZ151" i="30"/>
  <c r="BA151" i="30"/>
  <c r="BB151" i="30"/>
  <c r="BE151" i="30"/>
  <c r="BF151" i="30"/>
  <c r="BG151" i="30"/>
  <c r="BH151" i="30"/>
  <c r="BI151" i="30"/>
  <c r="BJ151" i="30"/>
  <c r="BK151" i="30"/>
  <c r="BL151" i="30"/>
  <c r="BM151" i="30"/>
  <c r="B152" i="30"/>
  <c r="C152" i="30"/>
  <c r="D152" i="30"/>
  <c r="E152" i="30"/>
  <c r="F152" i="30"/>
  <c r="G152" i="30"/>
  <c r="H152" i="30"/>
  <c r="I152" i="30"/>
  <c r="J152" i="30"/>
  <c r="M152" i="30"/>
  <c r="N152" i="30"/>
  <c r="O152" i="30"/>
  <c r="P152" i="30"/>
  <c r="Q152" i="30"/>
  <c r="R152" i="30"/>
  <c r="S152" i="30"/>
  <c r="T152" i="30"/>
  <c r="U152" i="30"/>
  <c r="X152" i="30"/>
  <c r="Y152" i="30"/>
  <c r="Z152" i="30"/>
  <c r="AA152" i="30"/>
  <c r="AB152" i="30"/>
  <c r="AC152" i="30"/>
  <c r="AD152" i="30"/>
  <c r="AE152" i="30"/>
  <c r="AF152" i="30"/>
  <c r="AI152" i="30"/>
  <c r="AJ152" i="30"/>
  <c r="AK152" i="30"/>
  <c r="AL152" i="30"/>
  <c r="AM152" i="30"/>
  <c r="AN152" i="30"/>
  <c r="AO152" i="30"/>
  <c r="AP152" i="30"/>
  <c r="AQ152" i="30"/>
  <c r="AT152" i="30"/>
  <c r="AU152" i="30"/>
  <c r="AV152" i="30"/>
  <c r="AW152" i="30"/>
  <c r="AX152" i="30"/>
  <c r="AY152" i="30"/>
  <c r="AZ152" i="30"/>
  <c r="BA152" i="30"/>
  <c r="BB152" i="30"/>
  <c r="BE152" i="30"/>
  <c r="BF152" i="30"/>
  <c r="BG152" i="30"/>
  <c r="BH152" i="30"/>
  <c r="BI152" i="30"/>
  <c r="BJ152" i="30"/>
  <c r="BK152" i="30"/>
  <c r="BL152" i="30"/>
  <c r="BM152" i="30"/>
  <c r="B153" i="30"/>
  <c r="C153" i="30"/>
  <c r="D153" i="30"/>
  <c r="E153" i="30"/>
  <c r="F153" i="30"/>
  <c r="G153" i="30"/>
  <c r="H153" i="30"/>
  <c r="I153" i="30"/>
  <c r="J153" i="30"/>
  <c r="M153" i="30"/>
  <c r="N153" i="30"/>
  <c r="O153" i="30"/>
  <c r="P153" i="30"/>
  <c r="Q153" i="30"/>
  <c r="R153" i="30"/>
  <c r="S153" i="30"/>
  <c r="T153" i="30"/>
  <c r="U153" i="30"/>
  <c r="X153" i="30"/>
  <c r="Y153" i="30"/>
  <c r="Z153" i="30"/>
  <c r="AA153" i="30"/>
  <c r="AB153" i="30"/>
  <c r="AC153" i="30"/>
  <c r="AD153" i="30"/>
  <c r="AE153" i="30"/>
  <c r="AF153" i="30"/>
  <c r="AI153" i="30"/>
  <c r="AJ153" i="30"/>
  <c r="AK153" i="30"/>
  <c r="AL153" i="30"/>
  <c r="AM153" i="30"/>
  <c r="AN153" i="30"/>
  <c r="AO153" i="30"/>
  <c r="AP153" i="30"/>
  <c r="AQ153" i="30"/>
  <c r="AT153" i="30"/>
  <c r="AU153" i="30"/>
  <c r="AV153" i="30"/>
  <c r="AW153" i="30"/>
  <c r="AX153" i="30"/>
  <c r="AY153" i="30"/>
  <c r="AZ153" i="30"/>
  <c r="BA153" i="30"/>
  <c r="BB153" i="30"/>
  <c r="BE153" i="30"/>
  <c r="BF153" i="30"/>
  <c r="BG153" i="30"/>
  <c r="BH153" i="30"/>
  <c r="BI153" i="30"/>
  <c r="BJ153" i="30"/>
  <c r="BK153" i="30"/>
  <c r="BL153" i="30"/>
  <c r="BM153" i="30"/>
  <c r="B154" i="30"/>
  <c r="C154" i="30"/>
  <c r="D154" i="30"/>
  <c r="E154" i="30"/>
  <c r="F154" i="30"/>
  <c r="G154" i="30"/>
  <c r="H154" i="30"/>
  <c r="I154" i="30"/>
  <c r="J154" i="30"/>
  <c r="M154" i="30"/>
  <c r="N154" i="30"/>
  <c r="O154" i="30"/>
  <c r="P154" i="30"/>
  <c r="Q154" i="30"/>
  <c r="R154" i="30"/>
  <c r="S154" i="30"/>
  <c r="T154" i="30"/>
  <c r="U154" i="30"/>
  <c r="X154" i="30"/>
  <c r="Y154" i="30"/>
  <c r="Z154" i="30"/>
  <c r="AA154" i="30"/>
  <c r="AB154" i="30"/>
  <c r="AC154" i="30"/>
  <c r="AD154" i="30"/>
  <c r="AE154" i="30"/>
  <c r="AF154" i="30"/>
  <c r="AI154" i="30"/>
  <c r="AJ154" i="30"/>
  <c r="AK154" i="30"/>
  <c r="AL154" i="30"/>
  <c r="AM154" i="30"/>
  <c r="AN154" i="30"/>
  <c r="AO154" i="30"/>
  <c r="AP154" i="30"/>
  <c r="AQ154" i="30"/>
  <c r="AT154" i="30"/>
  <c r="AU154" i="30"/>
  <c r="AV154" i="30"/>
  <c r="AW154" i="30"/>
  <c r="AX154" i="30"/>
  <c r="AY154" i="30"/>
  <c r="AZ154" i="30"/>
  <c r="BA154" i="30"/>
  <c r="BB154" i="30"/>
  <c r="BE154" i="30"/>
  <c r="BF154" i="30"/>
  <c r="BG154" i="30"/>
  <c r="BH154" i="30"/>
  <c r="BI154" i="30"/>
  <c r="BJ154" i="30"/>
  <c r="BK154" i="30"/>
  <c r="BL154" i="30"/>
  <c r="BM154" i="30"/>
  <c r="B155" i="30"/>
  <c r="C155" i="30"/>
  <c r="D155" i="30"/>
  <c r="E155" i="30"/>
  <c r="F155" i="30"/>
  <c r="G155" i="30"/>
  <c r="H155" i="30"/>
  <c r="I155" i="30"/>
  <c r="J155" i="30"/>
  <c r="M155" i="30"/>
  <c r="N155" i="30"/>
  <c r="O155" i="30"/>
  <c r="P155" i="30"/>
  <c r="Q155" i="30"/>
  <c r="R155" i="30"/>
  <c r="S155" i="30"/>
  <c r="T155" i="30"/>
  <c r="U155" i="30"/>
  <c r="X155" i="30"/>
  <c r="Y155" i="30"/>
  <c r="Z155" i="30"/>
  <c r="AA155" i="30"/>
  <c r="AB155" i="30"/>
  <c r="AC155" i="30"/>
  <c r="AD155" i="30"/>
  <c r="AE155" i="30"/>
  <c r="AF155" i="30"/>
  <c r="AI155" i="30"/>
  <c r="AJ155" i="30"/>
  <c r="AK155" i="30"/>
  <c r="AL155" i="30"/>
  <c r="AM155" i="30"/>
  <c r="AN155" i="30"/>
  <c r="AO155" i="30"/>
  <c r="AP155" i="30"/>
  <c r="AQ155" i="30"/>
  <c r="AT155" i="30"/>
  <c r="AU155" i="30"/>
  <c r="AV155" i="30"/>
  <c r="AW155" i="30"/>
  <c r="AX155" i="30"/>
  <c r="AY155" i="30"/>
  <c r="AZ155" i="30"/>
  <c r="BA155" i="30"/>
  <c r="BB155" i="30"/>
  <c r="BE155" i="30"/>
  <c r="BF155" i="30"/>
  <c r="BG155" i="30"/>
  <c r="BH155" i="30"/>
  <c r="BI155" i="30"/>
  <c r="BJ155" i="30"/>
  <c r="BK155" i="30"/>
  <c r="BL155" i="30"/>
  <c r="BM155" i="30"/>
  <c r="B156" i="30"/>
  <c r="C156" i="30"/>
  <c r="D156" i="30"/>
  <c r="E156" i="30"/>
  <c r="F156" i="30"/>
  <c r="G156" i="30"/>
  <c r="H156" i="30"/>
  <c r="I156" i="30"/>
  <c r="J156" i="30"/>
  <c r="M156" i="30"/>
  <c r="N156" i="30"/>
  <c r="O156" i="30"/>
  <c r="P156" i="30"/>
  <c r="Q156" i="30"/>
  <c r="R156" i="30"/>
  <c r="S156" i="30"/>
  <c r="T156" i="30"/>
  <c r="U156" i="30"/>
  <c r="X156" i="30"/>
  <c r="Y156" i="30"/>
  <c r="Z156" i="30"/>
  <c r="AA156" i="30"/>
  <c r="AB156" i="30"/>
  <c r="AC156" i="30"/>
  <c r="AD156" i="30"/>
  <c r="AE156" i="30"/>
  <c r="AF156" i="30"/>
  <c r="AI156" i="30"/>
  <c r="AJ156" i="30"/>
  <c r="AK156" i="30"/>
  <c r="AL156" i="30"/>
  <c r="AM156" i="30"/>
  <c r="AN156" i="30"/>
  <c r="AO156" i="30"/>
  <c r="AP156" i="30"/>
  <c r="AQ156" i="30"/>
  <c r="AT156" i="30"/>
  <c r="AU156" i="30"/>
  <c r="AV156" i="30"/>
  <c r="AW156" i="30"/>
  <c r="AX156" i="30"/>
  <c r="AY156" i="30"/>
  <c r="AZ156" i="30"/>
  <c r="BA156" i="30"/>
  <c r="BB156" i="30"/>
  <c r="BE156" i="30"/>
  <c r="BF156" i="30"/>
  <c r="BG156" i="30"/>
  <c r="BH156" i="30"/>
  <c r="BI156" i="30"/>
  <c r="BJ156" i="30"/>
  <c r="BK156" i="30"/>
  <c r="BL156" i="30"/>
  <c r="BM156" i="30"/>
  <c r="B157" i="30"/>
  <c r="C157" i="30"/>
  <c r="D157" i="30"/>
  <c r="E157" i="30"/>
  <c r="F157" i="30"/>
  <c r="G157" i="30"/>
  <c r="H157" i="30"/>
  <c r="I157" i="30"/>
  <c r="J157" i="30"/>
  <c r="M157" i="30"/>
  <c r="N157" i="30"/>
  <c r="O157" i="30"/>
  <c r="P157" i="30"/>
  <c r="Q157" i="30"/>
  <c r="R157" i="30"/>
  <c r="S157" i="30"/>
  <c r="T157" i="30"/>
  <c r="U157" i="30"/>
  <c r="X157" i="30"/>
  <c r="Y157" i="30"/>
  <c r="Z157" i="30"/>
  <c r="AA157" i="30"/>
  <c r="AB157" i="30"/>
  <c r="AC157" i="30"/>
  <c r="AD157" i="30"/>
  <c r="AE157" i="30"/>
  <c r="AF157" i="30"/>
  <c r="AI157" i="30"/>
  <c r="AJ157" i="30"/>
  <c r="AK157" i="30"/>
  <c r="AL157" i="30"/>
  <c r="AM157" i="30"/>
  <c r="AN157" i="30"/>
  <c r="AO157" i="30"/>
  <c r="AP157" i="30"/>
  <c r="AQ157" i="30"/>
  <c r="AT157" i="30"/>
  <c r="AU157" i="30"/>
  <c r="AV157" i="30"/>
  <c r="AW157" i="30"/>
  <c r="AX157" i="30"/>
  <c r="AY157" i="30"/>
  <c r="AZ157" i="30"/>
  <c r="BA157" i="30"/>
  <c r="BB157" i="30"/>
  <c r="BE157" i="30"/>
  <c r="BF157" i="30"/>
  <c r="BG157" i="30"/>
  <c r="BH157" i="30"/>
  <c r="BI157" i="30"/>
  <c r="BJ157" i="30"/>
  <c r="BK157" i="30"/>
  <c r="BL157" i="30"/>
  <c r="BM157" i="30"/>
  <c r="B158" i="30"/>
  <c r="C158" i="30"/>
  <c r="D158" i="30"/>
  <c r="E158" i="30"/>
  <c r="F158" i="30"/>
  <c r="G158" i="30"/>
  <c r="H158" i="30"/>
  <c r="I158" i="30"/>
  <c r="J158" i="30"/>
  <c r="M158" i="30"/>
  <c r="N158" i="30"/>
  <c r="O158" i="30"/>
  <c r="P158" i="30"/>
  <c r="Q158" i="30"/>
  <c r="R158" i="30"/>
  <c r="S158" i="30"/>
  <c r="T158" i="30"/>
  <c r="U158" i="30"/>
  <c r="X158" i="30"/>
  <c r="Y158" i="30"/>
  <c r="Z158" i="30"/>
  <c r="AA158" i="30"/>
  <c r="AB158" i="30"/>
  <c r="AC158" i="30"/>
  <c r="AD158" i="30"/>
  <c r="AE158" i="30"/>
  <c r="AF158" i="30"/>
  <c r="AI158" i="30"/>
  <c r="AJ158" i="30"/>
  <c r="AK158" i="30"/>
  <c r="AL158" i="30"/>
  <c r="AM158" i="30"/>
  <c r="AN158" i="30"/>
  <c r="AO158" i="30"/>
  <c r="AP158" i="30"/>
  <c r="AQ158" i="30"/>
  <c r="AT158" i="30"/>
  <c r="AU158" i="30"/>
  <c r="AV158" i="30"/>
  <c r="AW158" i="30"/>
  <c r="AX158" i="30"/>
  <c r="AY158" i="30"/>
  <c r="AZ158" i="30"/>
  <c r="BA158" i="30"/>
  <c r="BB158" i="30"/>
  <c r="BE158" i="30"/>
  <c r="BF158" i="30"/>
  <c r="BG158" i="30"/>
  <c r="BH158" i="30"/>
  <c r="BI158" i="30"/>
  <c r="BJ158" i="30"/>
  <c r="BK158" i="30"/>
  <c r="BL158" i="30"/>
  <c r="BM158" i="30"/>
  <c r="B159" i="30"/>
  <c r="C159" i="30"/>
  <c r="D159" i="30"/>
  <c r="E159" i="30"/>
  <c r="F159" i="30"/>
  <c r="G159" i="30"/>
  <c r="H159" i="30"/>
  <c r="I159" i="30"/>
  <c r="J159" i="30"/>
  <c r="M159" i="30"/>
  <c r="N159" i="30"/>
  <c r="O159" i="30"/>
  <c r="P159" i="30"/>
  <c r="Q159" i="30"/>
  <c r="R159" i="30"/>
  <c r="S159" i="30"/>
  <c r="T159" i="30"/>
  <c r="U159" i="30"/>
  <c r="X159" i="30"/>
  <c r="Y159" i="30"/>
  <c r="Z159" i="30"/>
  <c r="AA159" i="30"/>
  <c r="AB159" i="30"/>
  <c r="AC159" i="30"/>
  <c r="AD159" i="30"/>
  <c r="AE159" i="30"/>
  <c r="AF159" i="30"/>
  <c r="AI159" i="30"/>
  <c r="AJ159" i="30"/>
  <c r="AK159" i="30"/>
  <c r="AL159" i="30"/>
  <c r="AM159" i="30"/>
  <c r="AN159" i="30"/>
  <c r="AO159" i="30"/>
  <c r="AP159" i="30"/>
  <c r="AQ159" i="30"/>
  <c r="AT159" i="30"/>
  <c r="AU159" i="30"/>
  <c r="AV159" i="30"/>
  <c r="AW159" i="30"/>
  <c r="AX159" i="30"/>
  <c r="AY159" i="30"/>
  <c r="AZ159" i="30"/>
  <c r="BA159" i="30"/>
  <c r="BB159" i="30"/>
  <c r="BE159" i="30"/>
  <c r="BF159" i="30"/>
  <c r="BG159" i="30"/>
  <c r="BH159" i="30"/>
  <c r="BI159" i="30"/>
  <c r="BJ159" i="30"/>
  <c r="BK159" i="30"/>
  <c r="BL159" i="30"/>
  <c r="BM159" i="30"/>
  <c r="B160" i="30"/>
  <c r="C160" i="30"/>
  <c r="D160" i="30"/>
  <c r="E160" i="30"/>
  <c r="F160" i="30"/>
  <c r="G160" i="30"/>
  <c r="H160" i="30"/>
  <c r="I160" i="30"/>
  <c r="J160" i="30"/>
  <c r="M160" i="30"/>
  <c r="N160" i="30"/>
  <c r="O160" i="30"/>
  <c r="P160" i="30"/>
  <c r="Q160" i="30"/>
  <c r="R160" i="30"/>
  <c r="S160" i="30"/>
  <c r="T160" i="30"/>
  <c r="U160" i="30"/>
  <c r="X160" i="30"/>
  <c r="Y160" i="30"/>
  <c r="Z160" i="30"/>
  <c r="AA160" i="30"/>
  <c r="AB160" i="30"/>
  <c r="AC160" i="30"/>
  <c r="AD160" i="30"/>
  <c r="AE160" i="30"/>
  <c r="AF160" i="30"/>
  <c r="AI160" i="30"/>
  <c r="AJ160" i="30"/>
  <c r="AK160" i="30"/>
  <c r="AL160" i="30"/>
  <c r="AM160" i="30"/>
  <c r="AN160" i="30"/>
  <c r="AO160" i="30"/>
  <c r="AP160" i="30"/>
  <c r="AQ160" i="30"/>
  <c r="AT160" i="30"/>
  <c r="AU160" i="30"/>
  <c r="AV160" i="30"/>
  <c r="AW160" i="30"/>
  <c r="AX160" i="30"/>
  <c r="AY160" i="30"/>
  <c r="AZ160" i="30"/>
  <c r="BA160" i="30"/>
  <c r="BB160" i="30"/>
  <c r="BE160" i="30"/>
  <c r="BF160" i="30"/>
  <c r="BG160" i="30"/>
  <c r="BH160" i="30"/>
  <c r="BI160" i="30"/>
  <c r="BJ160" i="30"/>
  <c r="BK160" i="30"/>
  <c r="BL160" i="30"/>
  <c r="BM160" i="30"/>
  <c r="B161" i="30"/>
  <c r="C161" i="30"/>
  <c r="D161" i="30"/>
  <c r="E161" i="30"/>
  <c r="F161" i="30"/>
  <c r="G161" i="30"/>
  <c r="H161" i="30"/>
  <c r="I161" i="30"/>
  <c r="J161" i="30"/>
  <c r="M161" i="30"/>
  <c r="N161" i="30"/>
  <c r="O161" i="30"/>
  <c r="P161" i="30"/>
  <c r="Q161" i="30"/>
  <c r="R161" i="30"/>
  <c r="S161" i="30"/>
  <c r="T161" i="30"/>
  <c r="U161" i="30"/>
  <c r="X161" i="30"/>
  <c r="Y161" i="30"/>
  <c r="Z161" i="30"/>
  <c r="AA161" i="30"/>
  <c r="AB161" i="30"/>
  <c r="AC161" i="30"/>
  <c r="AD161" i="30"/>
  <c r="AE161" i="30"/>
  <c r="AF161" i="30"/>
  <c r="AI161" i="30"/>
  <c r="AJ161" i="30"/>
  <c r="AK161" i="30"/>
  <c r="AL161" i="30"/>
  <c r="AM161" i="30"/>
  <c r="AN161" i="30"/>
  <c r="AO161" i="30"/>
  <c r="AP161" i="30"/>
  <c r="AQ161" i="30"/>
  <c r="AT161" i="30"/>
  <c r="AU161" i="30"/>
  <c r="AV161" i="30"/>
  <c r="AW161" i="30"/>
  <c r="AX161" i="30"/>
  <c r="AY161" i="30"/>
  <c r="AZ161" i="30"/>
  <c r="BA161" i="30"/>
  <c r="BB161" i="30"/>
  <c r="BE161" i="30"/>
  <c r="BF161" i="30"/>
  <c r="BG161" i="30"/>
  <c r="BH161" i="30"/>
  <c r="BI161" i="30"/>
  <c r="BJ161" i="30"/>
  <c r="BK161" i="30"/>
  <c r="BL161" i="30"/>
  <c r="BM161" i="30"/>
  <c r="B162" i="30"/>
  <c r="C162" i="30"/>
  <c r="D162" i="30"/>
  <c r="E162" i="30"/>
  <c r="F162" i="30"/>
  <c r="G162" i="30"/>
  <c r="H162" i="30"/>
  <c r="I162" i="30"/>
  <c r="J162" i="30"/>
  <c r="M162" i="30"/>
  <c r="N162" i="30"/>
  <c r="O162" i="30"/>
  <c r="P162" i="30"/>
  <c r="Q162" i="30"/>
  <c r="R162" i="30"/>
  <c r="S162" i="30"/>
  <c r="T162" i="30"/>
  <c r="U162" i="30"/>
  <c r="X162" i="30"/>
  <c r="Y162" i="30"/>
  <c r="Z162" i="30"/>
  <c r="AA162" i="30"/>
  <c r="AB162" i="30"/>
  <c r="AC162" i="30"/>
  <c r="AD162" i="30"/>
  <c r="AE162" i="30"/>
  <c r="AF162" i="30"/>
  <c r="AI162" i="30"/>
  <c r="AJ162" i="30"/>
  <c r="AK162" i="30"/>
  <c r="AL162" i="30"/>
  <c r="AM162" i="30"/>
  <c r="AN162" i="30"/>
  <c r="AO162" i="30"/>
  <c r="AP162" i="30"/>
  <c r="AQ162" i="30"/>
  <c r="AT162" i="30"/>
  <c r="AU162" i="30"/>
  <c r="AV162" i="30"/>
  <c r="AW162" i="30"/>
  <c r="AX162" i="30"/>
  <c r="AY162" i="30"/>
  <c r="AZ162" i="30"/>
  <c r="BA162" i="30"/>
  <c r="BB162" i="30"/>
  <c r="BE162" i="30"/>
  <c r="BF162" i="30"/>
  <c r="BG162" i="30"/>
  <c r="BH162" i="30"/>
  <c r="BI162" i="30"/>
  <c r="BJ162" i="30"/>
  <c r="BK162" i="30"/>
  <c r="BL162" i="30"/>
  <c r="BM162" i="30"/>
  <c r="B163" i="30"/>
  <c r="C163" i="30"/>
  <c r="D163" i="30"/>
  <c r="E163" i="30"/>
  <c r="F163" i="30"/>
  <c r="G163" i="30"/>
  <c r="H163" i="30"/>
  <c r="I163" i="30"/>
  <c r="J163" i="30"/>
  <c r="M163" i="30"/>
  <c r="N163" i="30"/>
  <c r="O163" i="30"/>
  <c r="P163" i="30"/>
  <c r="Q163" i="30"/>
  <c r="R163" i="30"/>
  <c r="S163" i="30"/>
  <c r="T163" i="30"/>
  <c r="U163" i="30"/>
  <c r="X163" i="30"/>
  <c r="Y163" i="30"/>
  <c r="Z163" i="30"/>
  <c r="AA163" i="30"/>
  <c r="AB163" i="30"/>
  <c r="AC163" i="30"/>
  <c r="AD163" i="30"/>
  <c r="AE163" i="30"/>
  <c r="AF163" i="30"/>
  <c r="AI163" i="30"/>
  <c r="AJ163" i="30"/>
  <c r="AK163" i="30"/>
  <c r="AL163" i="30"/>
  <c r="AM163" i="30"/>
  <c r="AN163" i="30"/>
  <c r="AO163" i="30"/>
  <c r="AP163" i="30"/>
  <c r="AQ163" i="30"/>
  <c r="AT163" i="30"/>
  <c r="AU163" i="30"/>
  <c r="AV163" i="30"/>
  <c r="AW163" i="30"/>
  <c r="AX163" i="30"/>
  <c r="AY163" i="30"/>
  <c r="AZ163" i="30"/>
  <c r="BA163" i="30"/>
  <c r="BB163" i="30"/>
  <c r="BE163" i="30"/>
  <c r="BF163" i="30"/>
  <c r="BG163" i="30"/>
  <c r="BH163" i="30"/>
  <c r="BI163" i="30"/>
  <c r="BJ163" i="30"/>
  <c r="BK163" i="30"/>
  <c r="BL163" i="30"/>
  <c r="BM163" i="30"/>
  <c r="B164" i="30"/>
  <c r="C164" i="30"/>
  <c r="D164" i="30"/>
  <c r="E164" i="30"/>
  <c r="F164" i="30"/>
  <c r="G164" i="30"/>
  <c r="H164" i="30"/>
  <c r="I164" i="30"/>
  <c r="J164" i="30"/>
  <c r="M164" i="30"/>
  <c r="N164" i="30"/>
  <c r="O164" i="30"/>
  <c r="P164" i="30"/>
  <c r="Q164" i="30"/>
  <c r="R164" i="30"/>
  <c r="S164" i="30"/>
  <c r="T164" i="30"/>
  <c r="U164" i="30"/>
  <c r="X164" i="30"/>
  <c r="Y164" i="30"/>
  <c r="Z164" i="30"/>
  <c r="AA164" i="30"/>
  <c r="AB164" i="30"/>
  <c r="AC164" i="30"/>
  <c r="AD164" i="30"/>
  <c r="AE164" i="30"/>
  <c r="AF164" i="30"/>
  <c r="AI164" i="30"/>
  <c r="AJ164" i="30"/>
  <c r="AK164" i="30"/>
  <c r="AL164" i="30"/>
  <c r="AM164" i="30"/>
  <c r="AN164" i="30"/>
  <c r="AO164" i="30"/>
  <c r="AP164" i="30"/>
  <c r="AQ164" i="30"/>
  <c r="AT164" i="30"/>
  <c r="AU164" i="30"/>
  <c r="AV164" i="30"/>
  <c r="AW164" i="30"/>
  <c r="AX164" i="30"/>
  <c r="AY164" i="30"/>
  <c r="AZ164" i="30"/>
  <c r="BA164" i="30"/>
  <c r="BB164" i="30"/>
  <c r="BE164" i="30"/>
  <c r="BF164" i="30"/>
  <c r="BG164" i="30"/>
  <c r="BH164" i="30"/>
  <c r="BI164" i="30"/>
  <c r="BJ164" i="30"/>
  <c r="BK164" i="30"/>
  <c r="BL164" i="30"/>
  <c r="BM164" i="30"/>
  <c r="B165" i="30"/>
  <c r="C165" i="30"/>
  <c r="D165" i="30"/>
  <c r="E165" i="30"/>
  <c r="F165" i="30"/>
  <c r="G165" i="30"/>
  <c r="H165" i="30"/>
  <c r="I165" i="30"/>
  <c r="J165" i="30"/>
  <c r="M165" i="30"/>
  <c r="N165" i="30"/>
  <c r="O165" i="30"/>
  <c r="P165" i="30"/>
  <c r="Q165" i="30"/>
  <c r="R165" i="30"/>
  <c r="S165" i="30"/>
  <c r="T165" i="30"/>
  <c r="U165" i="30"/>
  <c r="X165" i="30"/>
  <c r="Y165" i="30"/>
  <c r="Z165" i="30"/>
  <c r="AA165" i="30"/>
  <c r="AB165" i="30"/>
  <c r="AC165" i="30"/>
  <c r="AD165" i="30"/>
  <c r="AE165" i="30"/>
  <c r="AF165" i="30"/>
  <c r="AI165" i="30"/>
  <c r="AJ165" i="30"/>
  <c r="AK165" i="30"/>
  <c r="AL165" i="30"/>
  <c r="AM165" i="30"/>
  <c r="AN165" i="30"/>
  <c r="AO165" i="30"/>
  <c r="AP165" i="30"/>
  <c r="AQ165" i="30"/>
  <c r="AT165" i="30"/>
  <c r="AU165" i="30"/>
  <c r="AV165" i="30"/>
  <c r="AW165" i="30"/>
  <c r="AX165" i="30"/>
  <c r="AY165" i="30"/>
  <c r="AZ165" i="30"/>
  <c r="BA165" i="30"/>
  <c r="BB165" i="30"/>
  <c r="BE165" i="30"/>
  <c r="BF165" i="30"/>
  <c r="BG165" i="30"/>
  <c r="BH165" i="30"/>
  <c r="BI165" i="30"/>
  <c r="BJ165" i="30"/>
  <c r="BK165" i="30"/>
  <c r="BL165" i="30"/>
  <c r="BM165" i="30"/>
  <c r="BM114" i="30"/>
  <c r="BL114" i="30"/>
  <c r="BK114" i="30"/>
  <c r="BJ114" i="30"/>
  <c r="BI114" i="30"/>
  <c r="BH114" i="30"/>
  <c r="BG114" i="30"/>
  <c r="BF114" i="30"/>
  <c r="BE114" i="30"/>
  <c r="BB114" i="30"/>
  <c r="BA114" i="30"/>
  <c r="AZ114" i="30"/>
  <c r="AY114" i="30"/>
  <c r="AX114" i="30"/>
  <c r="AW114" i="30"/>
  <c r="AV114" i="30"/>
  <c r="AU114" i="30"/>
  <c r="AT114" i="30"/>
  <c r="AQ114" i="30"/>
  <c r="AP114" i="30"/>
  <c r="AO114" i="30"/>
  <c r="AN114" i="30"/>
  <c r="AM114" i="30"/>
  <c r="AL114" i="30"/>
  <c r="AK114" i="30"/>
  <c r="AJ114" i="30"/>
  <c r="AI114" i="30"/>
  <c r="AF114" i="30"/>
  <c r="AE114" i="30"/>
  <c r="AD114" i="30"/>
  <c r="AC114" i="30"/>
  <c r="AB114" i="30"/>
  <c r="AA114" i="30"/>
  <c r="Z114" i="30"/>
  <c r="Y114" i="30"/>
  <c r="X114" i="30"/>
  <c r="U114" i="30"/>
  <c r="T114" i="30"/>
  <c r="S114" i="30"/>
  <c r="R114" i="30"/>
  <c r="Q114" i="30"/>
  <c r="P114" i="30"/>
  <c r="O114" i="30"/>
  <c r="N114" i="30"/>
  <c r="M114" i="30"/>
  <c r="J114" i="30"/>
  <c r="I114" i="30"/>
  <c r="H114" i="30"/>
  <c r="G114" i="30"/>
  <c r="F114" i="30"/>
  <c r="E114" i="30"/>
  <c r="D114" i="30"/>
  <c r="C114" i="30"/>
  <c r="B114" i="30"/>
  <c r="BE111" i="30"/>
  <c r="AT111" i="30"/>
  <c r="AI111" i="30"/>
  <c r="X111" i="30"/>
  <c r="M111" i="30"/>
  <c r="B111" i="30"/>
  <c r="BE110" i="30"/>
  <c r="AT110" i="30"/>
  <c r="AI110" i="30"/>
  <c r="X110" i="30"/>
  <c r="M110" i="30"/>
  <c r="B110" i="30"/>
  <c r="B57" i="30"/>
  <c r="C57" i="30"/>
  <c r="D57" i="30"/>
  <c r="E57" i="30"/>
  <c r="F57" i="30"/>
  <c r="G57" i="30"/>
  <c r="H57" i="30"/>
  <c r="I57" i="30"/>
  <c r="J57" i="30"/>
  <c r="M57" i="30"/>
  <c r="N57" i="30"/>
  <c r="O57" i="30"/>
  <c r="P57" i="30"/>
  <c r="Q57" i="30"/>
  <c r="R57" i="30"/>
  <c r="S57" i="30"/>
  <c r="T57" i="30"/>
  <c r="U57" i="30"/>
  <c r="X57" i="30"/>
  <c r="Y57" i="30"/>
  <c r="Z57" i="30"/>
  <c r="AA57" i="30"/>
  <c r="AB57" i="30"/>
  <c r="AC57" i="30"/>
  <c r="AD57" i="30"/>
  <c r="AE57" i="30"/>
  <c r="AF57" i="30"/>
  <c r="AI57" i="30"/>
  <c r="AJ57" i="30"/>
  <c r="AK57" i="30"/>
  <c r="AL57" i="30"/>
  <c r="AM57" i="30"/>
  <c r="AN57" i="30"/>
  <c r="AO57" i="30"/>
  <c r="AP57" i="30"/>
  <c r="AQ57" i="30"/>
  <c r="AT57" i="30"/>
  <c r="AU57" i="30"/>
  <c r="AV57" i="30"/>
  <c r="AW57" i="30"/>
  <c r="AX57" i="30"/>
  <c r="AY57" i="30"/>
  <c r="AZ57" i="30"/>
  <c r="BA57" i="30"/>
  <c r="BB57" i="30"/>
  <c r="BE57" i="30"/>
  <c r="BF57" i="30"/>
  <c r="BG57" i="30"/>
  <c r="BH57" i="30"/>
  <c r="BI57" i="30"/>
  <c r="BJ57" i="30"/>
  <c r="BK57" i="30"/>
  <c r="BL57" i="30"/>
  <c r="BM57" i="30"/>
  <c r="B58" i="30"/>
  <c r="C58" i="30"/>
  <c r="D58" i="30"/>
  <c r="E58" i="30"/>
  <c r="F58" i="30"/>
  <c r="G58" i="30"/>
  <c r="H58" i="30"/>
  <c r="I58" i="30"/>
  <c r="J58" i="30"/>
  <c r="M58" i="30"/>
  <c r="N58" i="30"/>
  <c r="O58" i="30"/>
  <c r="P58" i="30"/>
  <c r="Q58" i="30"/>
  <c r="R58" i="30"/>
  <c r="S58" i="30"/>
  <c r="T58" i="30"/>
  <c r="U58" i="30"/>
  <c r="X58" i="30"/>
  <c r="Y58" i="30"/>
  <c r="Z58" i="30"/>
  <c r="AA58" i="30"/>
  <c r="AB58" i="30"/>
  <c r="AC58" i="30"/>
  <c r="AD58" i="30"/>
  <c r="AE58" i="30"/>
  <c r="AF58" i="30"/>
  <c r="AI58" i="30"/>
  <c r="AJ58" i="30"/>
  <c r="AK58" i="30"/>
  <c r="AL58" i="30"/>
  <c r="AM58" i="30"/>
  <c r="AN58" i="30"/>
  <c r="AO58" i="30"/>
  <c r="AP58" i="30"/>
  <c r="AQ58" i="30"/>
  <c r="AT58" i="30"/>
  <c r="AU58" i="30"/>
  <c r="AV58" i="30"/>
  <c r="AW58" i="30"/>
  <c r="AX58" i="30"/>
  <c r="AY58" i="30"/>
  <c r="AZ58" i="30"/>
  <c r="BA58" i="30"/>
  <c r="BB58" i="30"/>
  <c r="BE58" i="30"/>
  <c r="BF58" i="30"/>
  <c r="BG58" i="30"/>
  <c r="BH58" i="30"/>
  <c r="BI58" i="30"/>
  <c r="BJ58" i="30"/>
  <c r="BK58" i="30"/>
  <c r="BL58" i="30"/>
  <c r="BM58" i="30"/>
  <c r="B59" i="30"/>
  <c r="C59" i="30"/>
  <c r="D59" i="30"/>
  <c r="E59" i="30"/>
  <c r="F59" i="30"/>
  <c r="G59" i="30"/>
  <c r="H59" i="30"/>
  <c r="I59" i="30"/>
  <c r="J59" i="30"/>
  <c r="M59" i="30"/>
  <c r="N59" i="30"/>
  <c r="O59" i="30"/>
  <c r="P59" i="30"/>
  <c r="Q59" i="30"/>
  <c r="R59" i="30"/>
  <c r="S59" i="30"/>
  <c r="T59" i="30"/>
  <c r="U59" i="30"/>
  <c r="X59" i="30"/>
  <c r="Y59" i="30"/>
  <c r="Z59" i="30"/>
  <c r="AA59" i="30"/>
  <c r="AB59" i="30"/>
  <c r="AC59" i="30"/>
  <c r="AD59" i="30"/>
  <c r="AE59" i="30"/>
  <c r="AF59" i="30"/>
  <c r="AI59" i="30"/>
  <c r="AJ59" i="30"/>
  <c r="AK59" i="30"/>
  <c r="AL59" i="30"/>
  <c r="AM59" i="30"/>
  <c r="AN59" i="30"/>
  <c r="AO59" i="30"/>
  <c r="AP59" i="30"/>
  <c r="AQ59" i="30"/>
  <c r="AT59" i="30"/>
  <c r="AU59" i="30"/>
  <c r="AV59" i="30"/>
  <c r="AW59" i="30"/>
  <c r="AX59" i="30"/>
  <c r="AY59" i="30"/>
  <c r="AZ59" i="30"/>
  <c r="BA59" i="30"/>
  <c r="BB59" i="30"/>
  <c r="BE59" i="30"/>
  <c r="BF59" i="30"/>
  <c r="BG59" i="30"/>
  <c r="BH59" i="30"/>
  <c r="BI59" i="30"/>
  <c r="BJ59" i="30"/>
  <c r="BK59" i="30"/>
  <c r="BL59" i="30"/>
  <c r="BM59" i="30"/>
  <c r="B60" i="30"/>
  <c r="C60" i="30"/>
  <c r="D60" i="30"/>
  <c r="E60" i="30"/>
  <c r="F60" i="30"/>
  <c r="G60" i="30"/>
  <c r="H60" i="30"/>
  <c r="I60" i="30"/>
  <c r="J60" i="30"/>
  <c r="M60" i="30"/>
  <c r="N60" i="30"/>
  <c r="O60" i="30"/>
  <c r="P60" i="30"/>
  <c r="Q60" i="30"/>
  <c r="R60" i="30"/>
  <c r="S60" i="30"/>
  <c r="T60" i="30"/>
  <c r="U60" i="30"/>
  <c r="X60" i="30"/>
  <c r="Y60" i="30"/>
  <c r="Z60" i="30"/>
  <c r="AA60" i="30"/>
  <c r="AB60" i="30"/>
  <c r="AC60" i="30"/>
  <c r="AD60" i="30"/>
  <c r="AE60" i="30"/>
  <c r="AF60" i="30"/>
  <c r="AI60" i="30"/>
  <c r="AJ60" i="30"/>
  <c r="AK60" i="30"/>
  <c r="AL60" i="30"/>
  <c r="AM60" i="30"/>
  <c r="AN60" i="30"/>
  <c r="AO60" i="30"/>
  <c r="AP60" i="30"/>
  <c r="AQ60" i="30"/>
  <c r="AT60" i="30"/>
  <c r="AU60" i="30"/>
  <c r="AV60" i="30"/>
  <c r="AW60" i="30"/>
  <c r="AX60" i="30"/>
  <c r="AY60" i="30"/>
  <c r="AZ60" i="30"/>
  <c r="BA60" i="30"/>
  <c r="BB60" i="30"/>
  <c r="BE60" i="30"/>
  <c r="BF60" i="30"/>
  <c r="BG60" i="30"/>
  <c r="BH60" i="30"/>
  <c r="BI60" i="30"/>
  <c r="BJ60" i="30"/>
  <c r="BK60" i="30"/>
  <c r="BL60" i="30"/>
  <c r="BM60" i="30"/>
  <c r="B61" i="30"/>
  <c r="C61" i="30"/>
  <c r="D61" i="30"/>
  <c r="E61" i="30"/>
  <c r="F61" i="30"/>
  <c r="G61" i="30"/>
  <c r="H61" i="30"/>
  <c r="I61" i="30"/>
  <c r="J61" i="30"/>
  <c r="M61" i="30"/>
  <c r="N61" i="30"/>
  <c r="O61" i="30"/>
  <c r="P61" i="30"/>
  <c r="Q61" i="30"/>
  <c r="R61" i="30"/>
  <c r="S61" i="30"/>
  <c r="T61" i="30"/>
  <c r="U61" i="30"/>
  <c r="X61" i="30"/>
  <c r="Y61" i="30"/>
  <c r="Z61" i="30"/>
  <c r="AA61" i="30"/>
  <c r="AB61" i="30"/>
  <c r="AC61" i="30"/>
  <c r="AD61" i="30"/>
  <c r="AE61" i="30"/>
  <c r="AF61" i="30"/>
  <c r="AI61" i="30"/>
  <c r="AJ61" i="30"/>
  <c r="AK61" i="30"/>
  <c r="AL61" i="30"/>
  <c r="AM61" i="30"/>
  <c r="AN61" i="30"/>
  <c r="AO61" i="30"/>
  <c r="AP61" i="30"/>
  <c r="AQ61" i="30"/>
  <c r="AT61" i="30"/>
  <c r="AU61" i="30"/>
  <c r="AV61" i="30"/>
  <c r="AW61" i="30"/>
  <c r="AX61" i="30"/>
  <c r="AY61" i="30"/>
  <c r="AZ61" i="30"/>
  <c r="BA61" i="30"/>
  <c r="BB61" i="30"/>
  <c r="BE61" i="30"/>
  <c r="BF61" i="30"/>
  <c r="BG61" i="30"/>
  <c r="BH61" i="30"/>
  <c r="BI61" i="30"/>
  <c r="BJ61" i="30"/>
  <c r="BK61" i="30"/>
  <c r="BL61" i="30"/>
  <c r="BM61" i="30"/>
  <c r="B62" i="30"/>
  <c r="C62" i="30"/>
  <c r="D62" i="30"/>
  <c r="E62" i="30"/>
  <c r="F62" i="30"/>
  <c r="G62" i="30"/>
  <c r="H62" i="30"/>
  <c r="I62" i="30"/>
  <c r="J62" i="30"/>
  <c r="M62" i="30"/>
  <c r="N62" i="30"/>
  <c r="O62" i="30"/>
  <c r="P62" i="30"/>
  <c r="Q62" i="30"/>
  <c r="R62" i="30"/>
  <c r="S62" i="30"/>
  <c r="T62" i="30"/>
  <c r="U62" i="30"/>
  <c r="X62" i="30"/>
  <c r="Y62" i="30"/>
  <c r="Z62" i="30"/>
  <c r="AA62" i="30"/>
  <c r="AB62" i="30"/>
  <c r="AC62" i="30"/>
  <c r="AD62" i="30"/>
  <c r="AE62" i="30"/>
  <c r="AF62" i="30"/>
  <c r="AI62" i="30"/>
  <c r="AJ62" i="30"/>
  <c r="AK62" i="30"/>
  <c r="AL62" i="30"/>
  <c r="AM62" i="30"/>
  <c r="AN62" i="30"/>
  <c r="AO62" i="30"/>
  <c r="AP62" i="30"/>
  <c r="AQ62" i="30"/>
  <c r="AT62" i="30"/>
  <c r="AU62" i="30"/>
  <c r="AV62" i="30"/>
  <c r="AW62" i="30"/>
  <c r="AX62" i="30"/>
  <c r="AY62" i="30"/>
  <c r="AZ62" i="30"/>
  <c r="BA62" i="30"/>
  <c r="BB62" i="30"/>
  <c r="BE62" i="30"/>
  <c r="BF62" i="30"/>
  <c r="BG62" i="30"/>
  <c r="BH62" i="30"/>
  <c r="BI62" i="30"/>
  <c r="BJ62" i="30"/>
  <c r="BK62" i="30"/>
  <c r="BL62" i="30"/>
  <c r="BM62" i="30"/>
  <c r="B63" i="30"/>
  <c r="C63" i="30"/>
  <c r="D63" i="30"/>
  <c r="E63" i="30"/>
  <c r="F63" i="30"/>
  <c r="G63" i="30"/>
  <c r="H63" i="30"/>
  <c r="I63" i="30"/>
  <c r="J63" i="30"/>
  <c r="M63" i="30"/>
  <c r="N63" i="30"/>
  <c r="O63" i="30"/>
  <c r="P63" i="30"/>
  <c r="Q63" i="30"/>
  <c r="R63" i="30"/>
  <c r="S63" i="30"/>
  <c r="T63" i="30"/>
  <c r="U63" i="30"/>
  <c r="X63" i="30"/>
  <c r="Y63" i="30"/>
  <c r="Z63" i="30"/>
  <c r="AA63" i="30"/>
  <c r="AB63" i="30"/>
  <c r="AC63" i="30"/>
  <c r="AD63" i="30"/>
  <c r="AE63" i="30"/>
  <c r="AF63" i="30"/>
  <c r="AI63" i="30"/>
  <c r="AJ63" i="30"/>
  <c r="AK63" i="30"/>
  <c r="AL63" i="30"/>
  <c r="AM63" i="30"/>
  <c r="AN63" i="30"/>
  <c r="AO63" i="30"/>
  <c r="AP63" i="30"/>
  <c r="AQ63" i="30"/>
  <c r="AT63" i="30"/>
  <c r="AU63" i="30"/>
  <c r="AV63" i="30"/>
  <c r="AW63" i="30"/>
  <c r="AX63" i="30"/>
  <c r="AY63" i="30"/>
  <c r="AZ63" i="30"/>
  <c r="BA63" i="30"/>
  <c r="BB63" i="30"/>
  <c r="BE63" i="30"/>
  <c r="BF63" i="30"/>
  <c r="BG63" i="30"/>
  <c r="BH63" i="30"/>
  <c r="BI63" i="30"/>
  <c r="BJ63" i="30"/>
  <c r="BK63" i="30"/>
  <c r="BL63" i="30"/>
  <c r="BM63" i="30"/>
  <c r="B64" i="30"/>
  <c r="C64" i="30"/>
  <c r="D64" i="30"/>
  <c r="E64" i="30"/>
  <c r="F64" i="30"/>
  <c r="G64" i="30"/>
  <c r="H64" i="30"/>
  <c r="I64" i="30"/>
  <c r="J64" i="30"/>
  <c r="M64" i="30"/>
  <c r="N64" i="30"/>
  <c r="O64" i="30"/>
  <c r="P64" i="30"/>
  <c r="Q64" i="30"/>
  <c r="R64" i="30"/>
  <c r="S64" i="30"/>
  <c r="T64" i="30"/>
  <c r="U64" i="30"/>
  <c r="X64" i="30"/>
  <c r="Y64" i="30"/>
  <c r="Z64" i="30"/>
  <c r="AA64" i="30"/>
  <c r="AB64" i="30"/>
  <c r="AC64" i="30"/>
  <c r="AD64" i="30"/>
  <c r="AE64" i="30"/>
  <c r="AF64" i="30"/>
  <c r="AI64" i="30"/>
  <c r="AJ64" i="30"/>
  <c r="AK64" i="30"/>
  <c r="AL64" i="30"/>
  <c r="AM64" i="30"/>
  <c r="AN64" i="30"/>
  <c r="AO64" i="30"/>
  <c r="AP64" i="30"/>
  <c r="AQ64" i="30"/>
  <c r="AT64" i="30"/>
  <c r="AU64" i="30"/>
  <c r="AV64" i="30"/>
  <c r="AW64" i="30"/>
  <c r="AX64" i="30"/>
  <c r="AY64" i="30"/>
  <c r="AZ64" i="30"/>
  <c r="BA64" i="30"/>
  <c r="BB64" i="30"/>
  <c r="BE64" i="30"/>
  <c r="BF64" i="30"/>
  <c r="BG64" i="30"/>
  <c r="BH64" i="30"/>
  <c r="BI64" i="30"/>
  <c r="BJ64" i="30"/>
  <c r="BK64" i="30"/>
  <c r="BL64" i="30"/>
  <c r="BM64" i="30"/>
  <c r="B65" i="30"/>
  <c r="C65" i="30"/>
  <c r="D65" i="30"/>
  <c r="E65" i="30"/>
  <c r="F65" i="30"/>
  <c r="G65" i="30"/>
  <c r="H65" i="30"/>
  <c r="I65" i="30"/>
  <c r="J65" i="30"/>
  <c r="M65" i="30"/>
  <c r="N65" i="30"/>
  <c r="O65" i="30"/>
  <c r="P65" i="30"/>
  <c r="Q65" i="30"/>
  <c r="R65" i="30"/>
  <c r="S65" i="30"/>
  <c r="T65" i="30"/>
  <c r="U65" i="30"/>
  <c r="X65" i="30"/>
  <c r="Y65" i="30"/>
  <c r="Z65" i="30"/>
  <c r="AA65" i="30"/>
  <c r="AB65" i="30"/>
  <c r="AC65" i="30"/>
  <c r="AD65" i="30"/>
  <c r="AE65" i="30"/>
  <c r="AF65" i="30"/>
  <c r="AI65" i="30"/>
  <c r="AJ65" i="30"/>
  <c r="AK65" i="30"/>
  <c r="AL65" i="30"/>
  <c r="AM65" i="30"/>
  <c r="AN65" i="30"/>
  <c r="AO65" i="30"/>
  <c r="AP65" i="30"/>
  <c r="AQ65" i="30"/>
  <c r="AT65" i="30"/>
  <c r="AU65" i="30"/>
  <c r="AV65" i="30"/>
  <c r="AW65" i="30"/>
  <c r="AX65" i="30"/>
  <c r="AY65" i="30"/>
  <c r="AZ65" i="30"/>
  <c r="BA65" i="30"/>
  <c r="BB65" i="30"/>
  <c r="BE65" i="30"/>
  <c r="BF65" i="30"/>
  <c r="BG65" i="30"/>
  <c r="BH65" i="30"/>
  <c r="BI65" i="30"/>
  <c r="BJ65" i="30"/>
  <c r="BK65" i="30"/>
  <c r="BL65" i="30"/>
  <c r="BM65" i="30"/>
  <c r="B66" i="30"/>
  <c r="C66" i="30"/>
  <c r="D66" i="30"/>
  <c r="E66" i="30"/>
  <c r="F66" i="30"/>
  <c r="G66" i="30"/>
  <c r="H66" i="30"/>
  <c r="I66" i="30"/>
  <c r="J66" i="30"/>
  <c r="M66" i="30"/>
  <c r="N66" i="30"/>
  <c r="O66" i="30"/>
  <c r="P66" i="30"/>
  <c r="Q66" i="30"/>
  <c r="R66" i="30"/>
  <c r="S66" i="30"/>
  <c r="T66" i="30"/>
  <c r="U66" i="30"/>
  <c r="X66" i="30"/>
  <c r="Y66" i="30"/>
  <c r="Z66" i="30"/>
  <c r="AA66" i="30"/>
  <c r="AB66" i="30"/>
  <c r="AC66" i="30"/>
  <c r="AD66" i="30"/>
  <c r="AE66" i="30"/>
  <c r="AF66" i="30"/>
  <c r="AI66" i="30"/>
  <c r="AJ66" i="30"/>
  <c r="AK66" i="30"/>
  <c r="AL66" i="30"/>
  <c r="AM66" i="30"/>
  <c r="AN66" i="30"/>
  <c r="AO66" i="30"/>
  <c r="AP66" i="30"/>
  <c r="AQ66" i="30"/>
  <c r="AT66" i="30"/>
  <c r="AU66" i="30"/>
  <c r="AV66" i="30"/>
  <c r="AW66" i="30"/>
  <c r="AX66" i="30"/>
  <c r="AY66" i="30"/>
  <c r="AZ66" i="30"/>
  <c r="BA66" i="30"/>
  <c r="BB66" i="30"/>
  <c r="BE66" i="30"/>
  <c r="BF66" i="30"/>
  <c r="BG66" i="30"/>
  <c r="BH66" i="30"/>
  <c r="BI66" i="30"/>
  <c r="BJ66" i="30"/>
  <c r="BK66" i="30"/>
  <c r="BL66" i="30"/>
  <c r="BM66" i="30"/>
  <c r="B67" i="30"/>
  <c r="C67" i="30"/>
  <c r="D67" i="30"/>
  <c r="E67" i="30"/>
  <c r="F67" i="30"/>
  <c r="G67" i="30"/>
  <c r="H67" i="30"/>
  <c r="I67" i="30"/>
  <c r="J67" i="30"/>
  <c r="M67" i="30"/>
  <c r="N67" i="30"/>
  <c r="O67" i="30"/>
  <c r="P67" i="30"/>
  <c r="Q67" i="30"/>
  <c r="R67" i="30"/>
  <c r="S67" i="30"/>
  <c r="T67" i="30"/>
  <c r="U67" i="30"/>
  <c r="X67" i="30"/>
  <c r="Y67" i="30"/>
  <c r="Z67" i="30"/>
  <c r="AA67" i="30"/>
  <c r="AB67" i="30"/>
  <c r="AC67" i="30"/>
  <c r="AD67" i="30"/>
  <c r="AE67" i="30"/>
  <c r="AF67" i="30"/>
  <c r="AI67" i="30"/>
  <c r="AJ67" i="30"/>
  <c r="AK67" i="30"/>
  <c r="AL67" i="30"/>
  <c r="AM67" i="30"/>
  <c r="AN67" i="30"/>
  <c r="AO67" i="30"/>
  <c r="AP67" i="30"/>
  <c r="AQ67" i="30"/>
  <c r="AT67" i="30"/>
  <c r="AU67" i="30"/>
  <c r="AV67" i="30"/>
  <c r="AW67" i="30"/>
  <c r="AX67" i="30"/>
  <c r="AY67" i="30"/>
  <c r="AZ67" i="30"/>
  <c r="BA67" i="30"/>
  <c r="BB67" i="30"/>
  <c r="BE67" i="30"/>
  <c r="BF67" i="30"/>
  <c r="BG67" i="30"/>
  <c r="BH67" i="30"/>
  <c r="BI67" i="30"/>
  <c r="BJ67" i="30"/>
  <c r="BK67" i="30"/>
  <c r="BL67" i="30"/>
  <c r="BM67" i="30"/>
  <c r="B68" i="30"/>
  <c r="C68" i="30"/>
  <c r="D68" i="30"/>
  <c r="E68" i="30"/>
  <c r="F68" i="30"/>
  <c r="G68" i="30"/>
  <c r="H68" i="30"/>
  <c r="I68" i="30"/>
  <c r="J68" i="30"/>
  <c r="M68" i="30"/>
  <c r="N68" i="30"/>
  <c r="O68" i="30"/>
  <c r="P68" i="30"/>
  <c r="Q68" i="30"/>
  <c r="R68" i="30"/>
  <c r="S68" i="30"/>
  <c r="T68" i="30"/>
  <c r="U68" i="30"/>
  <c r="X68" i="30"/>
  <c r="Y68" i="30"/>
  <c r="Z68" i="30"/>
  <c r="AA68" i="30"/>
  <c r="AB68" i="30"/>
  <c r="AC68" i="30"/>
  <c r="AD68" i="30"/>
  <c r="AE68" i="30"/>
  <c r="AF68" i="30"/>
  <c r="AI68" i="30"/>
  <c r="AJ68" i="30"/>
  <c r="AK68" i="30"/>
  <c r="AL68" i="30"/>
  <c r="AM68" i="30"/>
  <c r="AN68" i="30"/>
  <c r="AO68" i="30"/>
  <c r="AP68" i="30"/>
  <c r="AQ68" i="30"/>
  <c r="AT68" i="30"/>
  <c r="AU68" i="30"/>
  <c r="AV68" i="30"/>
  <c r="AW68" i="30"/>
  <c r="AX68" i="30"/>
  <c r="AY68" i="30"/>
  <c r="AZ68" i="30"/>
  <c r="BA68" i="30"/>
  <c r="BB68" i="30"/>
  <c r="BE68" i="30"/>
  <c r="BF68" i="30"/>
  <c r="BG68" i="30"/>
  <c r="BH68" i="30"/>
  <c r="BI68" i="30"/>
  <c r="BJ68" i="30"/>
  <c r="BK68" i="30"/>
  <c r="BL68" i="30"/>
  <c r="BM68" i="30"/>
  <c r="B69" i="30"/>
  <c r="C69" i="30"/>
  <c r="D69" i="30"/>
  <c r="E69" i="30"/>
  <c r="F69" i="30"/>
  <c r="G69" i="30"/>
  <c r="H69" i="30"/>
  <c r="I69" i="30"/>
  <c r="J69" i="30"/>
  <c r="M69" i="30"/>
  <c r="N69" i="30"/>
  <c r="O69" i="30"/>
  <c r="P69" i="30"/>
  <c r="Q69" i="30"/>
  <c r="R69" i="30"/>
  <c r="S69" i="30"/>
  <c r="T69" i="30"/>
  <c r="U69" i="30"/>
  <c r="X69" i="30"/>
  <c r="Y69" i="30"/>
  <c r="Z69" i="30"/>
  <c r="AA69" i="30"/>
  <c r="AB69" i="30"/>
  <c r="AC69" i="30"/>
  <c r="AD69" i="30"/>
  <c r="AE69" i="30"/>
  <c r="AF69" i="30"/>
  <c r="AI69" i="30"/>
  <c r="AJ69" i="30"/>
  <c r="AK69" i="30"/>
  <c r="AL69" i="30"/>
  <c r="AM69" i="30"/>
  <c r="AN69" i="30"/>
  <c r="AO69" i="30"/>
  <c r="AP69" i="30"/>
  <c r="AQ69" i="30"/>
  <c r="AT69" i="30"/>
  <c r="AU69" i="30"/>
  <c r="AV69" i="30"/>
  <c r="AW69" i="30"/>
  <c r="AX69" i="30"/>
  <c r="AY69" i="30"/>
  <c r="AZ69" i="30"/>
  <c r="BA69" i="30"/>
  <c r="BB69" i="30"/>
  <c r="BE69" i="30"/>
  <c r="BF69" i="30"/>
  <c r="BG69" i="30"/>
  <c r="BH69" i="30"/>
  <c r="BI69" i="30"/>
  <c r="BJ69" i="30"/>
  <c r="BK69" i="30"/>
  <c r="BL69" i="30"/>
  <c r="BM69" i="30"/>
  <c r="B70" i="30"/>
  <c r="C70" i="30"/>
  <c r="D70" i="30"/>
  <c r="E70" i="30"/>
  <c r="F70" i="30"/>
  <c r="G70" i="30"/>
  <c r="H70" i="30"/>
  <c r="I70" i="30"/>
  <c r="J70" i="30"/>
  <c r="M70" i="30"/>
  <c r="N70" i="30"/>
  <c r="O70" i="30"/>
  <c r="P70" i="30"/>
  <c r="Q70" i="30"/>
  <c r="R70" i="30"/>
  <c r="S70" i="30"/>
  <c r="T70" i="30"/>
  <c r="U70" i="30"/>
  <c r="X70" i="30"/>
  <c r="Y70" i="30"/>
  <c r="Z70" i="30"/>
  <c r="AA70" i="30"/>
  <c r="AB70" i="30"/>
  <c r="AC70" i="30"/>
  <c r="AD70" i="30"/>
  <c r="AE70" i="30"/>
  <c r="AF70" i="30"/>
  <c r="AI70" i="30"/>
  <c r="AJ70" i="30"/>
  <c r="AK70" i="30"/>
  <c r="AL70" i="30"/>
  <c r="AM70" i="30"/>
  <c r="AN70" i="30"/>
  <c r="AO70" i="30"/>
  <c r="AP70" i="30"/>
  <c r="AQ70" i="30"/>
  <c r="AT70" i="30"/>
  <c r="AU70" i="30"/>
  <c r="AV70" i="30"/>
  <c r="AW70" i="30"/>
  <c r="AX70" i="30"/>
  <c r="AY70" i="30"/>
  <c r="AZ70" i="30"/>
  <c r="BA70" i="30"/>
  <c r="BB70" i="30"/>
  <c r="BE70" i="30"/>
  <c r="BF70" i="30"/>
  <c r="BG70" i="30"/>
  <c r="BH70" i="30"/>
  <c r="BI70" i="30"/>
  <c r="BJ70" i="30"/>
  <c r="BK70" i="30"/>
  <c r="BL70" i="30"/>
  <c r="BM70" i="30"/>
  <c r="B71" i="30"/>
  <c r="C71" i="30"/>
  <c r="D71" i="30"/>
  <c r="E71" i="30"/>
  <c r="F71" i="30"/>
  <c r="G71" i="30"/>
  <c r="H71" i="30"/>
  <c r="I71" i="30"/>
  <c r="J71" i="30"/>
  <c r="M71" i="30"/>
  <c r="N71" i="30"/>
  <c r="O71" i="30"/>
  <c r="P71" i="30"/>
  <c r="Q71" i="30"/>
  <c r="R71" i="30"/>
  <c r="S71" i="30"/>
  <c r="T71" i="30"/>
  <c r="U71" i="30"/>
  <c r="X71" i="30"/>
  <c r="Y71" i="30"/>
  <c r="Z71" i="30"/>
  <c r="AA71" i="30"/>
  <c r="AB71" i="30"/>
  <c r="AC71" i="30"/>
  <c r="AD71" i="30"/>
  <c r="AE71" i="30"/>
  <c r="AF71" i="30"/>
  <c r="AI71" i="30"/>
  <c r="AJ71" i="30"/>
  <c r="AK71" i="30"/>
  <c r="AL71" i="30"/>
  <c r="AM71" i="30"/>
  <c r="AN71" i="30"/>
  <c r="AO71" i="30"/>
  <c r="AP71" i="30"/>
  <c r="AQ71" i="30"/>
  <c r="AT71" i="30"/>
  <c r="AU71" i="30"/>
  <c r="AV71" i="30"/>
  <c r="AW71" i="30"/>
  <c r="AX71" i="30"/>
  <c r="AY71" i="30"/>
  <c r="AZ71" i="30"/>
  <c r="BA71" i="30"/>
  <c r="BB71" i="30"/>
  <c r="BE71" i="30"/>
  <c r="BF71" i="30"/>
  <c r="BG71" i="30"/>
  <c r="BH71" i="30"/>
  <c r="BI71" i="30"/>
  <c r="BJ71" i="30"/>
  <c r="BK71" i="30"/>
  <c r="BL71" i="30"/>
  <c r="BM71" i="30"/>
  <c r="B72" i="30"/>
  <c r="C72" i="30"/>
  <c r="D72" i="30"/>
  <c r="E72" i="30"/>
  <c r="F72" i="30"/>
  <c r="G72" i="30"/>
  <c r="H72" i="30"/>
  <c r="I72" i="30"/>
  <c r="J72" i="30"/>
  <c r="M72" i="30"/>
  <c r="N72" i="30"/>
  <c r="O72" i="30"/>
  <c r="P72" i="30"/>
  <c r="Q72" i="30"/>
  <c r="R72" i="30"/>
  <c r="S72" i="30"/>
  <c r="T72" i="30"/>
  <c r="U72" i="30"/>
  <c r="X72" i="30"/>
  <c r="Y72" i="30"/>
  <c r="Z72" i="30"/>
  <c r="AA72" i="30"/>
  <c r="AB72" i="30"/>
  <c r="AC72" i="30"/>
  <c r="AD72" i="30"/>
  <c r="AE72" i="30"/>
  <c r="AF72" i="30"/>
  <c r="AI72" i="30"/>
  <c r="AJ72" i="30"/>
  <c r="AK72" i="30"/>
  <c r="AL72" i="30"/>
  <c r="AM72" i="30"/>
  <c r="AN72" i="30"/>
  <c r="AO72" i="30"/>
  <c r="AP72" i="30"/>
  <c r="AQ72" i="30"/>
  <c r="AT72" i="30"/>
  <c r="AU72" i="30"/>
  <c r="AV72" i="30"/>
  <c r="AW72" i="30"/>
  <c r="AX72" i="30"/>
  <c r="AY72" i="30"/>
  <c r="AZ72" i="30"/>
  <c r="BA72" i="30"/>
  <c r="BB72" i="30"/>
  <c r="BE72" i="30"/>
  <c r="BF72" i="30"/>
  <c r="BG72" i="30"/>
  <c r="BH72" i="30"/>
  <c r="BI72" i="30"/>
  <c r="BJ72" i="30"/>
  <c r="BK72" i="30"/>
  <c r="BL72" i="30"/>
  <c r="BM72" i="30"/>
  <c r="B73" i="30"/>
  <c r="C73" i="30"/>
  <c r="D73" i="30"/>
  <c r="E73" i="30"/>
  <c r="F73" i="30"/>
  <c r="G73" i="30"/>
  <c r="H73" i="30"/>
  <c r="I73" i="30"/>
  <c r="J73" i="30"/>
  <c r="M73" i="30"/>
  <c r="N73" i="30"/>
  <c r="O73" i="30"/>
  <c r="P73" i="30"/>
  <c r="Q73" i="30"/>
  <c r="R73" i="30"/>
  <c r="S73" i="30"/>
  <c r="T73" i="30"/>
  <c r="U73" i="30"/>
  <c r="X73" i="30"/>
  <c r="Y73" i="30"/>
  <c r="Z73" i="30"/>
  <c r="AA73" i="30"/>
  <c r="AB73" i="30"/>
  <c r="AC73" i="30"/>
  <c r="AD73" i="30"/>
  <c r="AE73" i="30"/>
  <c r="AF73" i="30"/>
  <c r="AI73" i="30"/>
  <c r="AJ73" i="30"/>
  <c r="AK73" i="30"/>
  <c r="AL73" i="30"/>
  <c r="AM73" i="30"/>
  <c r="AN73" i="30"/>
  <c r="AO73" i="30"/>
  <c r="AP73" i="30"/>
  <c r="AQ73" i="30"/>
  <c r="AT73" i="30"/>
  <c r="AU73" i="30"/>
  <c r="AV73" i="30"/>
  <c r="AW73" i="30"/>
  <c r="AX73" i="30"/>
  <c r="AY73" i="30"/>
  <c r="AZ73" i="30"/>
  <c r="BA73" i="30"/>
  <c r="BB73" i="30"/>
  <c r="BE73" i="30"/>
  <c r="BF73" i="30"/>
  <c r="BG73" i="30"/>
  <c r="BH73" i="30"/>
  <c r="BI73" i="30"/>
  <c r="BJ73" i="30"/>
  <c r="BK73" i="30"/>
  <c r="BL73" i="30"/>
  <c r="BM73" i="30"/>
  <c r="B74" i="30"/>
  <c r="C74" i="30"/>
  <c r="D74" i="30"/>
  <c r="E74" i="30"/>
  <c r="F74" i="30"/>
  <c r="G74" i="30"/>
  <c r="H74" i="30"/>
  <c r="I74" i="30"/>
  <c r="J74" i="30"/>
  <c r="M74" i="30"/>
  <c r="N74" i="30"/>
  <c r="O74" i="30"/>
  <c r="P74" i="30"/>
  <c r="Q74" i="30"/>
  <c r="R74" i="30"/>
  <c r="S74" i="30"/>
  <c r="T74" i="30"/>
  <c r="U74" i="30"/>
  <c r="X74" i="30"/>
  <c r="Y74" i="30"/>
  <c r="Z74" i="30"/>
  <c r="AA74" i="30"/>
  <c r="AB74" i="30"/>
  <c r="AC74" i="30"/>
  <c r="AD74" i="30"/>
  <c r="AE74" i="30"/>
  <c r="AF74" i="30"/>
  <c r="AI74" i="30"/>
  <c r="AJ74" i="30"/>
  <c r="AK74" i="30"/>
  <c r="AL74" i="30"/>
  <c r="AM74" i="30"/>
  <c r="AN74" i="30"/>
  <c r="AO74" i="30"/>
  <c r="AP74" i="30"/>
  <c r="AQ74" i="30"/>
  <c r="AT74" i="30"/>
  <c r="AU74" i="30"/>
  <c r="AV74" i="30"/>
  <c r="AW74" i="30"/>
  <c r="AX74" i="30"/>
  <c r="AY74" i="30"/>
  <c r="AZ74" i="30"/>
  <c r="BA74" i="30"/>
  <c r="BB74" i="30"/>
  <c r="BE74" i="30"/>
  <c r="BF74" i="30"/>
  <c r="BG74" i="30"/>
  <c r="BH74" i="30"/>
  <c r="BI74" i="30"/>
  <c r="BJ74" i="30"/>
  <c r="BK74" i="30"/>
  <c r="BL74" i="30"/>
  <c r="BM74" i="30"/>
  <c r="B75" i="30"/>
  <c r="C75" i="30"/>
  <c r="D75" i="30"/>
  <c r="E75" i="30"/>
  <c r="F75" i="30"/>
  <c r="G75" i="30"/>
  <c r="H75" i="30"/>
  <c r="I75" i="30"/>
  <c r="J75" i="30"/>
  <c r="M75" i="30"/>
  <c r="N75" i="30"/>
  <c r="O75" i="30"/>
  <c r="P75" i="30"/>
  <c r="Q75" i="30"/>
  <c r="R75" i="30"/>
  <c r="S75" i="30"/>
  <c r="T75" i="30"/>
  <c r="U75" i="30"/>
  <c r="X75" i="30"/>
  <c r="Y75" i="30"/>
  <c r="Z75" i="30"/>
  <c r="AA75" i="30"/>
  <c r="AB75" i="30"/>
  <c r="AC75" i="30"/>
  <c r="AD75" i="30"/>
  <c r="AE75" i="30"/>
  <c r="AF75" i="30"/>
  <c r="AI75" i="30"/>
  <c r="AJ75" i="30"/>
  <c r="AK75" i="30"/>
  <c r="AL75" i="30"/>
  <c r="AM75" i="30"/>
  <c r="AN75" i="30"/>
  <c r="AO75" i="30"/>
  <c r="AP75" i="30"/>
  <c r="AQ75" i="30"/>
  <c r="AT75" i="30"/>
  <c r="AU75" i="30"/>
  <c r="AV75" i="30"/>
  <c r="AW75" i="30"/>
  <c r="AX75" i="30"/>
  <c r="AY75" i="30"/>
  <c r="AZ75" i="30"/>
  <c r="BA75" i="30"/>
  <c r="BB75" i="30"/>
  <c r="BE75" i="30"/>
  <c r="BF75" i="30"/>
  <c r="BG75" i="30"/>
  <c r="BH75" i="30"/>
  <c r="BI75" i="30"/>
  <c r="BJ75" i="30"/>
  <c r="BK75" i="30"/>
  <c r="BL75" i="30"/>
  <c r="BM75" i="30"/>
  <c r="B76" i="30"/>
  <c r="C76" i="30"/>
  <c r="D76" i="30"/>
  <c r="E76" i="30"/>
  <c r="F76" i="30"/>
  <c r="G76" i="30"/>
  <c r="H76" i="30"/>
  <c r="I76" i="30"/>
  <c r="J76" i="30"/>
  <c r="M76" i="30"/>
  <c r="N76" i="30"/>
  <c r="O76" i="30"/>
  <c r="P76" i="30"/>
  <c r="Q76" i="30"/>
  <c r="R76" i="30"/>
  <c r="S76" i="30"/>
  <c r="T76" i="30"/>
  <c r="U76" i="30"/>
  <c r="X76" i="30"/>
  <c r="Y76" i="30"/>
  <c r="Z76" i="30"/>
  <c r="AA76" i="30"/>
  <c r="AB76" i="30"/>
  <c r="AC76" i="30"/>
  <c r="AD76" i="30"/>
  <c r="AE76" i="30"/>
  <c r="AF76" i="30"/>
  <c r="AI76" i="30"/>
  <c r="AJ76" i="30"/>
  <c r="AK76" i="30"/>
  <c r="AL76" i="30"/>
  <c r="AM76" i="30"/>
  <c r="AN76" i="30"/>
  <c r="AO76" i="30"/>
  <c r="AP76" i="30"/>
  <c r="AQ76" i="30"/>
  <c r="AT76" i="30"/>
  <c r="AU76" i="30"/>
  <c r="AV76" i="30"/>
  <c r="AW76" i="30"/>
  <c r="AX76" i="30"/>
  <c r="AY76" i="30"/>
  <c r="AZ76" i="30"/>
  <c r="BA76" i="30"/>
  <c r="BB76" i="30"/>
  <c r="BE76" i="30"/>
  <c r="BF76" i="30"/>
  <c r="BG76" i="30"/>
  <c r="BH76" i="30"/>
  <c r="BI76" i="30"/>
  <c r="BJ76" i="30"/>
  <c r="BK76" i="30"/>
  <c r="BL76" i="30"/>
  <c r="BM76" i="30"/>
  <c r="B77" i="30"/>
  <c r="C77" i="30"/>
  <c r="D77" i="30"/>
  <c r="E77" i="30"/>
  <c r="F77" i="30"/>
  <c r="G77" i="30"/>
  <c r="H77" i="30"/>
  <c r="I77" i="30"/>
  <c r="J77" i="30"/>
  <c r="M77" i="30"/>
  <c r="N77" i="30"/>
  <c r="O77" i="30"/>
  <c r="P77" i="30"/>
  <c r="Q77" i="30"/>
  <c r="R77" i="30"/>
  <c r="S77" i="30"/>
  <c r="T77" i="30"/>
  <c r="U77" i="30"/>
  <c r="X77" i="30"/>
  <c r="Y77" i="30"/>
  <c r="Z77" i="30"/>
  <c r="AA77" i="30"/>
  <c r="AB77" i="30"/>
  <c r="AC77" i="30"/>
  <c r="AD77" i="30"/>
  <c r="AE77" i="30"/>
  <c r="AF77" i="30"/>
  <c r="AI77" i="30"/>
  <c r="AJ77" i="30"/>
  <c r="AK77" i="30"/>
  <c r="AL77" i="30"/>
  <c r="AM77" i="30"/>
  <c r="AN77" i="30"/>
  <c r="AO77" i="30"/>
  <c r="AP77" i="30"/>
  <c r="AQ77" i="30"/>
  <c r="AT77" i="30"/>
  <c r="AU77" i="30"/>
  <c r="AV77" i="30"/>
  <c r="AW77" i="30"/>
  <c r="AX77" i="30"/>
  <c r="AY77" i="30"/>
  <c r="AZ77" i="30"/>
  <c r="BA77" i="30"/>
  <c r="BB77" i="30"/>
  <c r="BE77" i="30"/>
  <c r="BF77" i="30"/>
  <c r="BG77" i="30"/>
  <c r="BH77" i="30"/>
  <c r="BI77" i="30"/>
  <c r="BJ77" i="30"/>
  <c r="BK77" i="30"/>
  <c r="BL77" i="30"/>
  <c r="BM77" i="30"/>
  <c r="B78" i="30"/>
  <c r="C78" i="30"/>
  <c r="D78" i="30"/>
  <c r="E78" i="30"/>
  <c r="F78" i="30"/>
  <c r="G78" i="30"/>
  <c r="H78" i="30"/>
  <c r="I78" i="30"/>
  <c r="J78" i="30"/>
  <c r="M78" i="30"/>
  <c r="N78" i="30"/>
  <c r="O78" i="30"/>
  <c r="P78" i="30"/>
  <c r="Q78" i="30"/>
  <c r="R78" i="30"/>
  <c r="S78" i="30"/>
  <c r="T78" i="30"/>
  <c r="U78" i="30"/>
  <c r="X78" i="30"/>
  <c r="Y78" i="30"/>
  <c r="Z78" i="30"/>
  <c r="AA78" i="30"/>
  <c r="AB78" i="30"/>
  <c r="AC78" i="30"/>
  <c r="AD78" i="30"/>
  <c r="AE78" i="30"/>
  <c r="AF78" i="30"/>
  <c r="AI78" i="30"/>
  <c r="AJ78" i="30"/>
  <c r="AK78" i="30"/>
  <c r="AL78" i="30"/>
  <c r="AM78" i="30"/>
  <c r="AN78" i="30"/>
  <c r="AO78" i="30"/>
  <c r="AP78" i="30"/>
  <c r="AQ78" i="30"/>
  <c r="AT78" i="30"/>
  <c r="AU78" i="30"/>
  <c r="AV78" i="30"/>
  <c r="AW78" i="30"/>
  <c r="AX78" i="30"/>
  <c r="AY78" i="30"/>
  <c r="AZ78" i="30"/>
  <c r="BA78" i="30"/>
  <c r="BB78" i="30"/>
  <c r="BE78" i="30"/>
  <c r="BF78" i="30"/>
  <c r="BG78" i="30"/>
  <c r="BH78" i="30"/>
  <c r="BI78" i="30"/>
  <c r="BJ78" i="30"/>
  <c r="BK78" i="30"/>
  <c r="BL78" i="30"/>
  <c r="BM78" i="30"/>
  <c r="B79" i="30"/>
  <c r="C79" i="30"/>
  <c r="D79" i="30"/>
  <c r="E79" i="30"/>
  <c r="F79" i="30"/>
  <c r="G79" i="30"/>
  <c r="H79" i="30"/>
  <c r="I79" i="30"/>
  <c r="J79" i="30"/>
  <c r="M79" i="30"/>
  <c r="N79" i="30"/>
  <c r="O79" i="30"/>
  <c r="P79" i="30"/>
  <c r="Q79" i="30"/>
  <c r="R79" i="30"/>
  <c r="S79" i="30"/>
  <c r="T79" i="30"/>
  <c r="U79" i="30"/>
  <c r="X79" i="30"/>
  <c r="Y79" i="30"/>
  <c r="Z79" i="30"/>
  <c r="AA79" i="30"/>
  <c r="AB79" i="30"/>
  <c r="AC79" i="30"/>
  <c r="AD79" i="30"/>
  <c r="AE79" i="30"/>
  <c r="AF79" i="30"/>
  <c r="AI79" i="30"/>
  <c r="AJ79" i="30"/>
  <c r="AK79" i="30"/>
  <c r="AL79" i="30"/>
  <c r="AM79" i="30"/>
  <c r="AN79" i="30"/>
  <c r="AO79" i="30"/>
  <c r="AP79" i="30"/>
  <c r="AQ79" i="30"/>
  <c r="AT79" i="30"/>
  <c r="AU79" i="30"/>
  <c r="AV79" i="30"/>
  <c r="AW79" i="30"/>
  <c r="AX79" i="30"/>
  <c r="AY79" i="30"/>
  <c r="AZ79" i="30"/>
  <c r="BA79" i="30"/>
  <c r="BB79" i="30"/>
  <c r="BE79" i="30"/>
  <c r="BF79" i="30"/>
  <c r="BG79" i="30"/>
  <c r="BH79" i="30"/>
  <c r="BI79" i="30"/>
  <c r="BJ79" i="30"/>
  <c r="BK79" i="30"/>
  <c r="BL79" i="30"/>
  <c r="BM79" i="30"/>
  <c r="B80" i="30"/>
  <c r="C80" i="30"/>
  <c r="D80" i="30"/>
  <c r="E80" i="30"/>
  <c r="F80" i="30"/>
  <c r="G80" i="30"/>
  <c r="H80" i="30"/>
  <c r="I80" i="30"/>
  <c r="J80" i="30"/>
  <c r="M80" i="30"/>
  <c r="N80" i="30"/>
  <c r="O80" i="30"/>
  <c r="P80" i="30"/>
  <c r="Q80" i="30"/>
  <c r="R80" i="30"/>
  <c r="S80" i="30"/>
  <c r="T80" i="30"/>
  <c r="U80" i="30"/>
  <c r="X80" i="30"/>
  <c r="Y80" i="30"/>
  <c r="Z80" i="30"/>
  <c r="AA80" i="30"/>
  <c r="AB80" i="30"/>
  <c r="AC80" i="30"/>
  <c r="AD80" i="30"/>
  <c r="AE80" i="30"/>
  <c r="AF80" i="30"/>
  <c r="AI80" i="30"/>
  <c r="AJ80" i="30"/>
  <c r="AK80" i="30"/>
  <c r="AL80" i="30"/>
  <c r="AM80" i="30"/>
  <c r="AN80" i="30"/>
  <c r="AO80" i="30"/>
  <c r="AP80" i="30"/>
  <c r="AQ80" i="30"/>
  <c r="AT80" i="30"/>
  <c r="AU80" i="30"/>
  <c r="AV80" i="30"/>
  <c r="AW80" i="30"/>
  <c r="AX80" i="30"/>
  <c r="AY80" i="30"/>
  <c r="AZ80" i="30"/>
  <c r="BA80" i="30"/>
  <c r="BB80" i="30"/>
  <c r="BE80" i="30"/>
  <c r="BF80" i="30"/>
  <c r="BG80" i="30"/>
  <c r="BH80" i="30"/>
  <c r="BI80" i="30"/>
  <c r="BJ80" i="30"/>
  <c r="BK80" i="30"/>
  <c r="BL80" i="30"/>
  <c r="BM80" i="30"/>
  <c r="B81" i="30"/>
  <c r="C81" i="30"/>
  <c r="D81" i="30"/>
  <c r="E81" i="30"/>
  <c r="F81" i="30"/>
  <c r="G81" i="30"/>
  <c r="H81" i="30"/>
  <c r="I81" i="30"/>
  <c r="J81" i="30"/>
  <c r="M81" i="30"/>
  <c r="N81" i="30"/>
  <c r="O81" i="30"/>
  <c r="P81" i="30"/>
  <c r="Q81" i="30"/>
  <c r="R81" i="30"/>
  <c r="S81" i="30"/>
  <c r="T81" i="30"/>
  <c r="U81" i="30"/>
  <c r="X81" i="30"/>
  <c r="Y81" i="30"/>
  <c r="Z81" i="30"/>
  <c r="AA81" i="30"/>
  <c r="AB81" i="30"/>
  <c r="AC81" i="30"/>
  <c r="AD81" i="30"/>
  <c r="AE81" i="30"/>
  <c r="AF81" i="30"/>
  <c r="AI81" i="30"/>
  <c r="AJ81" i="30"/>
  <c r="AK81" i="30"/>
  <c r="AL81" i="30"/>
  <c r="AM81" i="30"/>
  <c r="AN81" i="30"/>
  <c r="AO81" i="30"/>
  <c r="AP81" i="30"/>
  <c r="AQ81" i="30"/>
  <c r="AT81" i="30"/>
  <c r="AU81" i="30"/>
  <c r="AV81" i="30"/>
  <c r="AW81" i="30"/>
  <c r="AX81" i="30"/>
  <c r="AY81" i="30"/>
  <c r="AZ81" i="30"/>
  <c r="BA81" i="30"/>
  <c r="BB81" i="30"/>
  <c r="BE81" i="30"/>
  <c r="BF81" i="30"/>
  <c r="BG81" i="30"/>
  <c r="BH81" i="30"/>
  <c r="BI81" i="30"/>
  <c r="BJ81" i="30"/>
  <c r="BK81" i="30"/>
  <c r="BL81" i="30"/>
  <c r="BM81" i="30"/>
  <c r="B82" i="30"/>
  <c r="C82" i="30"/>
  <c r="D82" i="30"/>
  <c r="E82" i="30"/>
  <c r="F82" i="30"/>
  <c r="G82" i="30"/>
  <c r="H82" i="30"/>
  <c r="I82" i="30"/>
  <c r="J82" i="30"/>
  <c r="M82" i="30"/>
  <c r="N82" i="30"/>
  <c r="O82" i="30"/>
  <c r="P82" i="30"/>
  <c r="Q82" i="30"/>
  <c r="R82" i="30"/>
  <c r="S82" i="30"/>
  <c r="T82" i="30"/>
  <c r="U82" i="30"/>
  <c r="X82" i="30"/>
  <c r="Y82" i="30"/>
  <c r="Z82" i="30"/>
  <c r="AA82" i="30"/>
  <c r="AB82" i="30"/>
  <c r="AC82" i="30"/>
  <c r="AD82" i="30"/>
  <c r="AE82" i="30"/>
  <c r="AF82" i="30"/>
  <c r="AI82" i="30"/>
  <c r="AJ82" i="30"/>
  <c r="AK82" i="30"/>
  <c r="AL82" i="30"/>
  <c r="AM82" i="30"/>
  <c r="AN82" i="30"/>
  <c r="AO82" i="30"/>
  <c r="AP82" i="30"/>
  <c r="AQ82" i="30"/>
  <c r="AT82" i="30"/>
  <c r="AU82" i="30"/>
  <c r="AV82" i="30"/>
  <c r="AW82" i="30"/>
  <c r="AX82" i="30"/>
  <c r="AY82" i="30"/>
  <c r="AZ82" i="30"/>
  <c r="BA82" i="30"/>
  <c r="BB82" i="30"/>
  <c r="BE82" i="30"/>
  <c r="BF82" i="30"/>
  <c r="BG82" i="30"/>
  <c r="BH82" i="30"/>
  <c r="BI82" i="30"/>
  <c r="BJ82" i="30"/>
  <c r="BK82" i="30"/>
  <c r="BL82" i="30"/>
  <c r="BM82" i="30"/>
  <c r="B83" i="30"/>
  <c r="C83" i="30"/>
  <c r="D83" i="30"/>
  <c r="E83" i="30"/>
  <c r="F83" i="30"/>
  <c r="G83" i="30"/>
  <c r="H83" i="30"/>
  <c r="I83" i="30"/>
  <c r="J83" i="30"/>
  <c r="M83" i="30"/>
  <c r="N83" i="30"/>
  <c r="O83" i="30"/>
  <c r="P83" i="30"/>
  <c r="Q83" i="30"/>
  <c r="R83" i="30"/>
  <c r="S83" i="30"/>
  <c r="T83" i="30"/>
  <c r="U83" i="30"/>
  <c r="X83" i="30"/>
  <c r="Y83" i="30"/>
  <c r="Z83" i="30"/>
  <c r="AA83" i="30"/>
  <c r="AB83" i="30"/>
  <c r="AC83" i="30"/>
  <c r="AD83" i="30"/>
  <c r="AE83" i="30"/>
  <c r="AF83" i="30"/>
  <c r="AI83" i="30"/>
  <c r="AJ83" i="30"/>
  <c r="AK83" i="30"/>
  <c r="AL83" i="30"/>
  <c r="AM83" i="30"/>
  <c r="AN83" i="30"/>
  <c r="AO83" i="30"/>
  <c r="AP83" i="30"/>
  <c r="AQ83" i="30"/>
  <c r="AT83" i="30"/>
  <c r="AU83" i="30"/>
  <c r="AV83" i="30"/>
  <c r="AW83" i="30"/>
  <c r="AX83" i="30"/>
  <c r="AY83" i="30"/>
  <c r="AZ83" i="30"/>
  <c r="BA83" i="30"/>
  <c r="BB83" i="30"/>
  <c r="BE83" i="30"/>
  <c r="BF83" i="30"/>
  <c r="BG83" i="30"/>
  <c r="BH83" i="30"/>
  <c r="BI83" i="30"/>
  <c r="BJ83" i="30"/>
  <c r="BK83" i="30"/>
  <c r="BL83" i="30"/>
  <c r="BM83" i="30"/>
  <c r="B84" i="30"/>
  <c r="C84" i="30"/>
  <c r="D84" i="30"/>
  <c r="E84" i="30"/>
  <c r="F84" i="30"/>
  <c r="G84" i="30"/>
  <c r="H84" i="30"/>
  <c r="I84" i="30"/>
  <c r="J84" i="30"/>
  <c r="M84" i="30"/>
  <c r="N84" i="30"/>
  <c r="O84" i="30"/>
  <c r="P84" i="30"/>
  <c r="Q84" i="30"/>
  <c r="R84" i="30"/>
  <c r="S84" i="30"/>
  <c r="T84" i="30"/>
  <c r="U84" i="30"/>
  <c r="X84" i="30"/>
  <c r="Y84" i="30"/>
  <c r="Z84" i="30"/>
  <c r="AA84" i="30"/>
  <c r="AB84" i="30"/>
  <c r="AC84" i="30"/>
  <c r="AD84" i="30"/>
  <c r="AE84" i="30"/>
  <c r="AF84" i="30"/>
  <c r="AI84" i="30"/>
  <c r="AJ84" i="30"/>
  <c r="AK84" i="30"/>
  <c r="AL84" i="30"/>
  <c r="AM84" i="30"/>
  <c r="AN84" i="30"/>
  <c r="AO84" i="30"/>
  <c r="AP84" i="30"/>
  <c r="AQ84" i="30"/>
  <c r="AT84" i="30"/>
  <c r="AU84" i="30"/>
  <c r="AV84" i="30"/>
  <c r="AW84" i="30"/>
  <c r="AX84" i="30"/>
  <c r="AY84" i="30"/>
  <c r="AZ84" i="30"/>
  <c r="BA84" i="30"/>
  <c r="BB84" i="30"/>
  <c r="BE84" i="30"/>
  <c r="BF84" i="30"/>
  <c r="BG84" i="30"/>
  <c r="BH84" i="30"/>
  <c r="BI84" i="30"/>
  <c r="BJ84" i="30"/>
  <c r="BK84" i="30"/>
  <c r="BL84" i="30"/>
  <c r="BM84" i="30"/>
  <c r="B85" i="30"/>
  <c r="C85" i="30"/>
  <c r="D85" i="30"/>
  <c r="E85" i="30"/>
  <c r="F85" i="30"/>
  <c r="G85" i="30"/>
  <c r="H85" i="30"/>
  <c r="I85" i="30"/>
  <c r="J85" i="30"/>
  <c r="M85" i="30"/>
  <c r="N85" i="30"/>
  <c r="O85" i="30"/>
  <c r="P85" i="30"/>
  <c r="Q85" i="30"/>
  <c r="R85" i="30"/>
  <c r="S85" i="30"/>
  <c r="T85" i="30"/>
  <c r="U85" i="30"/>
  <c r="X85" i="30"/>
  <c r="Y85" i="30"/>
  <c r="Z85" i="30"/>
  <c r="AA85" i="30"/>
  <c r="AB85" i="30"/>
  <c r="AC85" i="30"/>
  <c r="AD85" i="30"/>
  <c r="AE85" i="30"/>
  <c r="AF85" i="30"/>
  <c r="AI85" i="30"/>
  <c r="AJ85" i="30"/>
  <c r="AK85" i="30"/>
  <c r="AL85" i="30"/>
  <c r="AM85" i="30"/>
  <c r="AN85" i="30"/>
  <c r="AO85" i="30"/>
  <c r="AP85" i="30"/>
  <c r="AQ85" i="30"/>
  <c r="AT85" i="30"/>
  <c r="AU85" i="30"/>
  <c r="AV85" i="30"/>
  <c r="AW85" i="30"/>
  <c r="AX85" i="30"/>
  <c r="AY85" i="30"/>
  <c r="AZ85" i="30"/>
  <c r="BA85" i="30"/>
  <c r="BB85" i="30"/>
  <c r="BE85" i="30"/>
  <c r="BF85" i="30"/>
  <c r="BG85" i="30"/>
  <c r="BH85" i="30"/>
  <c r="BI85" i="30"/>
  <c r="BJ85" i="30"/>
  <c r="BK85" i="30"/>
  <c r="BL85" i="30"/>
  <c r="BM85" i="30"/>
  <c r="B86" i="30"/>
  <c r="C86" i="30"/>
  <c r="D86" i="30"/>
  <c r="E86" i="30"/>
  <c r="F86" i="30"/>
  <c r="G86" i="30"/>
  <c r="H86" i="30"/>
  <c r="I86" i="30"/>
  <c r="J86" i="30"/>
  <c r="M86" i="30"/>
  <c r="N86" i="30"/>
  <c r="O86" i="30"/>
  <c r="P86" i="30"/>
  <c r="Q86" i="30"/>
  <c r="R86" i="30"/>
  <c r="S86" i="30"/>
  <c r="T86" i="30"/>
  <c r="U86" i="30"/>
  <c r="X86" i="30"/>
  <c r="Y86" i="30"/>
  <c r="Z86" i="30"/>
  <c r="AA86" i="30"/>
  <c r="AB86" i="30"/>
  <c r="AC86" i="30"/>
  <c r="AD86" i="30"/>
  <c r="AE86" i="30"/>
  <c r="AF86" i="30"/>
  <c r="AI86" i="30"/>
  <c r="AJ86" i="30"/>
  <c r="AK86" i="30"/>
  <c r="AL86" i="30"/>
  <c r="AM86" i="30"/>
  <c r="AN86" i="30"/>
  <c r="AO86" i="30"/>
  <c r="AP86" i="30"/>
  <c r="AQ86" i="30"/>
  <c r="AT86" i="30"/>
  <c r="AU86" i="30"/>
  <c r="AV86" i="30"/>
  <c r="AW86" i="30"/>
  <c r="AX86" i="30"/>
  <c r="AY86" i="30"/>
  <c r="AZ86" i="30"/>
  <c r="BA86" i="30"/>
  <c r="BB86" i="30"/>
  <c r="BE86" i="30"/>
  <c r="BF86" i="30"/>
  <c r="BG86" i="30"/>
  <c r="BH86" i="30"/>
  <c r="BI86" i="30"/>
  <c r="BJ86" i="30"/>
  <c r="BK86" i="30"/>
  <c r="BL86" i="30"/>
  <c r="BM86" i="30"/>
  <c r="B87" i="30"/>
  <c r="C87" i="30"/>
  <c r="D87" i="30"/>
  <c r="E87" i="30"/>
  <c r="F87" i="30"/>
  <c r="G87" i="30"/>
  <c r="H87" i="30"/>
  <c r="I87" i="30"/>
  <c r="J87" i="30"/>
  <c r="M87" i="30"/>
  <c r="N87" i="30"/>
  <c r="O87" i="30"/>
  <c r="P87" i="30"/>
  <c r="Q87" i="30"/>
  <c r="R87" i="30"/>
  <c r="S87" i="30"/>
  <c r="T87" i="30"/>
  <c r="U87" i="30"/>
  <c r="X87" i="30"/>
  <c r="Y87" i="30"/>
  <c r="Z87" i="30"/>
  <c r="AA87" i="30"/>
  <c r="AB87" i="30"/>
  <c r="AC87" i="30"/>
  <c r="AD87" i="30"/>
  <c r="AE87" i="30"/>
  <c r="AF87" i="30"/>
  <c r="AI87" i="30"/>
  <c r="AJ87" i="30"/>
  <c r="AK87" i="30"/>
  <c r="AL87" i="30"/>
  <c r="AM87" i="30"/>
  <c r="AN87" i="30"/>
  <c r="AO87" i="30"/>
  <c r="AP87" i="30"/>
  <c r="AQ87" i="30"/>
  <c r="AT87" i="30"/>
  <c r="AU87" i="30"/>
  <c r="AV87" i="30"/>
  <c r="AW87" i="30"/>
  <c r="AX87" i="30"/>
  <c r="AY87" i="30"/>
  <c r="AZ87" i="30"/>
  <c r="BA87" i="30"/>
  <c r="BB87" i="30"/>
  <c r="BE87" i="30"/>
  <c r="BF87" i="30"/>
  <c r="BG87" i="30"/>
  <c r="BH87" i="30"/>
  <c r="BI87" i="30"/>
  <c r="BJ87" i="30"/>
  <c r="BK87" i="30"/>
  <c r="BL87" i="30"/>
  <c r="BM87" i="30"/>
  <c r="B88" i="30"/>
  <c r="C88" i="30"/>
  <c r="D88" i="30"/>
  <c r="E88" i="30"/>
  <c r="F88" i="30"/>
  <c r="G88" i="30"/>
  <c r="H88" i="30"/>
  <c r="I88" i="30"/>
  <c r="J88" i="30"/>
  <c r="M88" i="30"/>
  <c r="N88" i="30"/>
  <c r="O88" i="30"/>
  <c r="P88" i="30"/>
  <c r="Q88" i="30"/>
  <c r="R88" i="30"/>
  <c r="S88" i="30"/>
  <c r="T88" i="30"/>
  <c r="U88" i="30"/>
  <c r="X88" i="30"/>
  <c r="Y88" i="30"/>
  <c r="Z88" i="30"/>
  <c r="AA88" i="30"/>
  <c r="AB88" i="30"/>
  <c r="AC88" i="30"/>
  <c r="AD88" i="30"/>
  <c r="AE88" i="30"/>
  <c r="AF88" i="30"/>
  <c r="AI88" i="30"/>
  <c r="AJ88" i="30"/>
  <c r="AK88" i="30"/>
  <c r="AL88" i="30"/>
  <c r="AM88" i="30"/>
  <c r="AN88" i="30"/>
  <c r="AO88" i="30"/>
  <c r="AP88" i="30"/>
  <c r="AQ88" i="30"/>
  <c r="AT88" i="30"/>
  <c r="AU88" i="30"/>
  <c r="AV88" i="30"/>
  <c r="AW88" i="30"/>
  <c r="AX88" i="30"/>
  <c r="AY88" i="30"/>
  <c r="AZ88" i="30"/>
  <c r="BA88" i="30"/>
  <c r="BB88" i="30"/>
  <c r="BE88" i="30"/>
  <c r="BF88" i="30"/>
  <c r="BG88" i="30"/>
  <c r="BH88" i="30"/>
  <c r="BI88" i="30"/>
  <c r="BJ88" i="30"/>
  <c r="BK88" i="30"/>
  <c r="BL88" i="30"/>
  <c r="BM88" i="30"/>
  <c r="B89" i="30"/>
  <c r="C89" i="30"/>
  <c r="D89" i="30"/>
  <c r="E89" i="30"/>
  <c r="F89" i="30"/>
  <c r="G89" i="30"/>
  <c r="H89" i="30"/>
  <c r="I89" i="30"/>
  <c r="J89" i="30"/>
  <c r="M89" i="30"/>
  <c r="N89" i="30"/>
  <c r="O89" i="30"/>
  <c r="P89" i="30"/>
  <c r="Q89" i="30"/>
  <c r="R89" i="30"/>
  <c r="S89" i="30"/>
  <c r="T89" i="30"/>
  <c r="U89" i="30"/>
  <c r="X89" i="30"/>
  <c r="Y89" i="30"/>
  <c r="Z89" i="30"/>
  <c r="AA89" i="30"/>
  <c r="AB89" i="30"/>
  <c r="AC89" i="30"/>
  <c r="AD89" i="30"/>
  <c r="AE89" i="30"/>
  <c r="AF89" i="30"/>
  <c r="AI89" i="30"/>
  <c r="AJ89" i="30"/>
  <c r="AK89" i="30"/>
  <c r="AL89" i="30"/>
  <c r="AM89" i="30"/>
  <c r="AN89" i="30"/>
  <c r="AO89" i="30"/>
  <c r="AP89" i="30"/>
  <c r="AQ89" i="30"/>
  <c r="AT89" i="30"/>
  <c r="AU89" i="30"/>
  <c r="AV89" i="30"/>
  <c r="AW89" i="30"/>
  <c r="AX89" i="30"/>
  <c r="AY89" i="30"/>
  <c r="AZ89" i="30"/>
  <c r="BA89" i="30"/>
  <c r="BB89" i="30"/>
  <c r="BE89" i="30"/>
  <c r="BF89" i="30"/>
  <c r="BG89" i="30"/>
  <c r="BH89" i="30"/>
  <c r="BI89" i="30"/>
  <c r="BJ89" i="30"/>
  <c r="BK89" i="30"/>
  <c r="BL89" i="30"/>
  <c r="BM89" i="30"/>
  <c r="B90" i="30"/>
  <c r="C90" i="30"/>
  <c r="D90" i="30"/>
  <c r="E90" i="30"/>
  <c r="F90" i="30"/>
  <c r="G90" i="30"/>
  <c r="H90" i="30"/>
  <c r="I90" i="30"/>
  <c r="J90" i="30"/>
  <c r="M90" i="30"/>
  <c r="N90" i="30"/>
  <c r="O90" i="30"/>
  <c r="P90" i="30"/>
  <c r="Q90" i="30"/>
  <c r="R90" i="30"/>
  <c r="S90" i="30"/>
  <c r="T90" i="30"/>
  <c r="U90" i="30"/>
  <c r="X90" i="30"/>
  <c r="Y90" i="30"/>
  <c r="Z90" i="30"/>
  <c r="AA90" i="30"/>
  <c r="AB90" i="30"/>
  <c r="AC90" i="30"/>
  <c r="AD90" i="30"/>
  <c r="AE90" i="30"/>
  <c r="AF90" i="30"/>
  <c r="AI90" i="30"/>
  <c r="AJ90" i="30"/>
  <c r="AK90" i="30"/>
  <c r="AL90" i="30"/>
  <c r="AM90" i="30"/>
  <c r="AN90" i="30"/>
  <c r="AO90" i="30"/>
  <c r="AP90" i="30"/>
  <c r="AQ90" i="30"/>
  <c r="AT90" i="30"/>
  <c r="AU90" i="30"/>
  <c r="AV90" i="30"/>
  <c r="AW90" i="30"/>
  <c r="AX90" i="30"/>
  <c r="AY90" i="30"/>
  <c r="AZ90" i="30"/>
  <c r="BA90" i="30"/>
  <c r="BB90" i="30"/>
  <c r="BE90" i="30"/>
  <c r="BF90" i="30"/>
  <c r="BG90" i="30"/>
  <c r="BH90" i="30"/>
  <c r="BI90" i="30"/>
  <c r="BJ90" i="30"/>
  <c r="BK90" i="30"/>
  <c r="BL90" i="30"/>
  <c r="BM90" i="30"/>
  <c r="B91" i="30"/>
  <c r="C91" i="30"/>
  <c r="D91" i="30"/>
  <c r="E91" i="30"/>
  <c r="F91" i="30"/>
  <c r="G91" i="30"/>
  <c r="H91" i="30"/>
  <c r="I91" i="30"/>
  <c r="J91" i="30"/>
  <c r="M91" i="30"/>
  <c r="N91" i="30"/>
  <c r="O91" i="30"/>
  <c r="P91" i="30"/>
  <c r="Q91" i="30"/>
  <c r="R91" i="30"/>
  <c r="S91" i="30"/>
  <c r="T91" i="30"/>
  <c r="U91" i="30"/>
  <c r="X91" i="30"/>
  <c r="Y91" i="30"/>
  <c r="Z91" i="30"/>
  <c r="AA91" i="30"/>
  <c r="AB91" i="30"/>
  <c r="AC91" i="30"/>
  <c r="AD91" i="30"/>
  <c r="AE91" i="30"/>
  <c r="AF91" i="30"/>
  <c r="AI91" i="30"/>
  <c r="AJ91" i="30"/>
  <c r="AK91" i="30"/>
  <c r="AL91" i="30"/>
  <c r="AM91" i="30"/>
  <c r="AN91" i="30"/>
  <c r="AO91" i="30"/>
  <c r="AP91" i="30"/>
  <c r="AQ91" i="30"/>
  <c r="AT91" i="30"/>
  <c r="AU91" i="30"/>
  <c r="AV91" i="30"/>
  <c r="AW91" i="30"/>
  <c r="AX91" i="30"/>
  <c r="AY91" i="30"/>
  <c r="AZ91" i="30"/>
  <c r="BA91" i="30"/>
  <c r="BB91" i="30"/>
  <c r="BE91" i="30"/>
  <c r="BF91" i="30"/>
  <c r="BG91" i="30"/>
  <c r="BH91" i="30"/>
  <c r="BI91" i="30"/>
  <c r="BJ91" i="30"/>
  <c r="BK91" i="30"/>
  <c r="BL91" i="30"/>
  <c r="BM91" i="30"/>
  <c r="B92" i="30"/>
  <c r="C92" i="30"/>
  <c r="D92" i="30"/>
  <c r="E92" i="30"/>
  <c r="F92" i="30"/>
  <c r="G92" i="30"/>
  <c r="H92" i="30"/>
  <c r="I92" i="30"/>
  <c r="J92" i="30"/>
  <c r="M92" i="30"/>
  <c r="N92" i="30"/>
  <c r="O92" i="30"/>
  <c r="P92" i="30"/>
  <c r="Q92" i="30"/>
  <c r="R92" i="30"/>
  <c r="S92" i="30"/>
  <c r="T92" i="30"/>
  <c r="U92" i="30"/>
  <c r="X92" i="30"/>
  <c r="Y92" i="30"/>
  <c r="Z92" i="30"/>
  <c r="AA92" i="30"/>
  <c r="AB92" i="30"/>
  <c r="AC92" i="30"/>
  <c r="AD92" i="30"/>
  <c r="AE92" i="30"/>
  <c r="AF92" i="30"/>
  <c r="AI92" i="30"/>
  <c r="AJ92" i="30"/>
  <c r="AK92" i="30"/>
  <c r="AL92" i="30"/>
  <c r="AM92" i="30"/>
  <c r="AN92" i="30"/>
  <c r="AO92" i="30"/>
  <c r="AP92" i="30"/>
  <c r="AQ92" i="30"/>
  <c r="AT92" i="30"/>
  <c r="AU92" i="30"/>
  <c r="AV92" i="30"/>
  <c r="AW92" i="30"/>
  <c r="AX92" i="30"/>
  <c r="AY92" i="30"/>
  <c r="AZ92" i="30"/>
  <c r="BA92" i="30"/>
  <c r="BB92" i="30"/>
  <c r="BE92" i="30"/>
  <c r="BF92" i="30"/>
  <c r="BG92" i="30"/>
  <c r="BH92" i="30"/>
  <c r="BI92" i="30"/>
  <c r="BJ92" i="30"/>
  <c r="BK92" i="30"/>
  <c r="BL92" i="30"/>
  <c r="BM92" i="30"/>
  <c r="B93" i="30"/>
  <c r="C93" i="30"/>
  <c r="D93" i="30"/>
  <c r="E93" i="30"/>
  <c r="F93" i="30"/>
  <c r="G93" i="30"/>
  <c r="H93" i="30"/>
  <c r="I93" i="30"/>
  <c r="J93" i="30"/>
  <c r="M93" i="30"/>
  <c r="N93" i="30"/>
  <c r="O93" i="30"/>
  <c r="P93" i="30"/>
  <c r="Q93" i="30"/>
  <c r="R93" i="30"/>
  <c r="S93" i="30"/>
  <c r="T93" i="30"/>
  <c r="U93" i="30"/>
  <c r="X93" i="30"/>
  <c r="Y93" i="30"/>
  <c r="Z93" i="30"/>
  <c r="AA93" i="30"/>
  <c r="AB93" i="30"/>
  <c r="AC93" i="30"/>
  <c r="AD93" i="30"/>
  <c r="AE93" i="30"/>
  <c r="AF93" i="30"/>
  <c r="AI93" i="30"/>
  <c r="AJ93" i="30"/>
  <c r="AK93" i="30"/>
  <c r="AL93" i="30"/>
  <c r="AM93" i="30"/>
  <c r="AN93" i="30"/>
  <c r="AO93" i="30"/>
  <c r="AP93" i="30"/>
  <c r="AQ93" i="30"/>
  <c r="AT93" i="30"/>
  <c r="AU93" i="30"/>
  <c r="AV93" i="30"/>
  <c r="AW93" i="30"/>
  <c r="AX93" i="30"/>
  <c r="AY93" i="30"/>
  <c r="AZ93" i="30"/>
  <c r="BA93" i="30"/>
  <c r="BB93" i="30"/>
  <c r="BE93" i="30"/>
  <c r="BF93" i="30"/>
  <c r="BG93" i="30"/>
  <c r="BH93" i="30"/>
  <c r="BI93" i="30"/>
  <c r="BJ93" i="30"/>
  <c r="BK93" i="30"/>
  <c r="BL93" i="30"/>
  <c r="BM93" i="30"/>
  <c r="B94" i="30"/>
  <c r="C94" i="30"/>
  <c r="D94" i="30"/>
  <c r="E94" i="30"/>
  <c r="F94" i="30"/>
  <c r="G94" i="30"/>
  <c r="H94" i="30"/>
  <c r="I94" i="30"/>
  <c r="J94" i="30"/>
  <c r="M94" i="30"/>
  <c r="N94" i="30"/>
  <c r="O94" i="30"/>
  <c r="P94" i="30"/>
  <c r="Q94" i="30"/>
  <c r="R94" i="30"/>
  <c r="S94" i="30"/>
  <c r="T94" i="30"/>
  <c r="U94" i="30"/>
  <c r="X94" i="30"/>
  <c r="Y94" i="30"/>
  <c r="Z94" i="30"/>
  <c r="AA94" i="30"/>
  <c r="AB94" i="30"/>
  <c r="AC94" i="30"/>
  <c r="AD94" i="30"/>
  <c r="AE94" i="30"/>
  <c r="AF94" i="30"/>
  <c r="AI94" i="30"/>
  <c r="AJ94" i="30"/>
  <c r="AK94" i="30"/>
  <c r="AL94" i="30"/>
  <c r="AM94" i="30"/>
  <c r="AN94" i="30"/>
  <c r="AO94" i="30"/>
  <c r="AP94" i="30"/>
  <c r="AQ94" i="30"/>
  <c r="AT94" i="30"/>
  <c r="AU94" i="30"/>
  <c r="AV94" i="30"/>
  <c r="AW94" i="30"/>
  <c r="AX94" i="30"/>
  <c r="AY94" i="30"/>
  <c r="AZ94" i="30"/>
  <c r="BA94" i="30"/>
  <c r="BB94" i="30"/>
  <c r="BE94" i="30"/>
  <c r="BF94" i="30"/>
  <c r="BG94" i="30"/>
  <c r="BH94" i="30"/>
  <c r="BI94" i="30"/>
  <c r="BJ94" i="30"/>
  <c r="BK94" i="30"/>
  <c r="BL94" i="30"/>
  <c r="BM94" i="30"/>
  <c r="B95" i="30"/>
  <c r="C95" i="30"/>
  <c r="D95" i="30"/>
  <c r="E95" i="30"/>
  <c r="F95" i="30"/>
  <c r="G95" i="30"/>
  <c r="H95" i="30"/>
  <c r="I95" i="30"/>
  <c r="J95" i="30"/>
  <c r="M95" i="30"/>
  <c r="N95" i="30"/>
  <c r="O95" i="30"/>
  <c r="P95" i="30"/>
  <c r="Q95" i="30"/>
  <c r="R95" i="30"/>
  <c r="S95" i="30"/>
  <c r="T95" i="30"/>
  <c r="U95" i="30"/>
  <c r="X95" i="30"/>
  <c r="Y95" i="30"/>
  <c r="Z95" i="30"/>
  <c r="AA95" i="30"/>
  <c r="AB95" i="30"/>
  <c r="AC95" i="30"/>
  <c r="AD95" i="30"/>
  <c r="AE95" i="30"/>
  <c r="AF95" i="30"/>
  <c r="AI95" i="30"/>
  <c r="AJ95" i="30"/>
  <c r="AK95" i="30"/>
  <c r="AL95" i="30"/>
  <c r="AM95" i="30"/>
  <c r="AN95" i="30"/>
  <c r="AO95" i="30"/>
  <c r="AP95" i="30"/>
  <c r="AQ95" i="30"/>
  <c r="AT95" i="30"/>
  <c r="AU95" i="30"/>
  <c r="AV95" i="30"/>
  <c r="AW95" i="30"/>
  <c r="AX95" i="30"/>
  <c r="AY95" i="30"/>
  <c r="AZ95" i="30"/>
  <c r="BA95" i="30"/>
  <c r="BB95" i="30"/>
  <c r="BE95" i="30"/>
  <c r="BF95" i="30"/>
  <c r="BG95" i="30"/>
  <c r="BH95" i="30"/>
  <c r="BI95" i="30"/>
  <c r="BJ95" i="30"/>
  <c r="BK95" i="30"/>
  <c r="BL95" i="30"/>
  <c r="BM95" i="30"/>
  <c r="B96" i="30"/>
  <c r="C96" i="30"/>
  <c r="D96" i="30"/>
  <c r="E96" i="30"/>
  <c r="F96" i="30"/>
  <c r="G96" i="30"/>
  <c r="H96" i="30"/>
  <c r="I96" i="30"/>
  <c r="J96" i="30"/>
  <c r="M96" i="30"/>
  <c r="N96" i="30"/>
  <c r="O96" i="30"/>
  <c r="P96" i="30"/>
  <c r="Q96" i="30"/>
  <c r="R96" i="30"/>
  <c r="S96" i="30"/>
  <c r="T96" i="30"/>
  <c r="U96" i="30"/>
  <c r="X96" i="30"/>
  <c r="Y96" i="30"/>
  <c r="Z96" i="30"/>
  <c r="AA96" i="30"/>
  <c r="AB96" i="30"/>
  <c r="AC96" i="30"/>
  <c r="AD96" i="30"/>
  <c r="AE96" i="30"/>
  <c r="AF96" i="30"/>
  <c r="AI96" i="30"/>
  <c r="AJ96" i="30"/>
  <c r="AK96" i="30"/>
  <c r="AL96" i="30"/>
  <c r="AM96" i="30"/>
  <c r="AN96" i="30"/>
  <c r="AO96" i="30"/>
  <c r="AP96" i="30"/>
  <c r="AQ96" i="30"/>
  <c r="AT96" i="30"/>
  <c r="AU96" i="30"/>
  <c r="AV96" i="30"/>
  <c r="AW96" i="30"/>
  <c r="AX96" i="30"/>
  <c r="AY96" i="30"/>
  <c r="AZ96" i="30"/>
  <c r="BA96" i="30"/>
  <c r="BB96" i="30"/>
  <c r="BE96" i="30"/>
  <c r="BF96" i="30"/>
  <c r="BG96" i="30"/>
  <c r="BH96" i="30"/>
  <c r="BI96" i="30"/>
  <c r="BJ96" i="30"/>
  <c r="BK96" i="30"/>
  <c r="BL96" i="30"/>
  <c r="BM96" i="30"/>
  <c r="B97" i="30"/>
  <c r="C97" i="30"/>
  <c r="D97" i="30"/>
  <c r="E97" i="30"/>
  <c r="F97" i="30"/>
  <c r="G97" i="30"/>
  <c r="H97" i="30"/>
  <c r="I97" i="30"/>
  <c r="J97" i="30"/>
  <c r="M97" i="30"/>
  <c r="N97" i="30"/>
  <c r="O97" i="30"/>
  <c r="P97" i="30"/>
  <c r="Q97" i="30"/>
  <c r="R97" i="30"/>
  <c r="S97" i="30"/>
  <c r="T97" i="30"/>
  <c r="U97" i="30"/>
  <c r="X97" i="30"/>
  <c r="Y97" i="30"/>
  <c r="Z97" i="30"/>
  <c r="AA97" i="30"/>
  <c r="AB97" i="30"/>
  <c r="AC97" i="30"/>
  <c r="AD97" i="30"/>
  <c r="AE97" i="30"/>
  <c r="AF97" i="30"/>
  <c r="AI97" i="30"/>
  <c r="AJ97" i="30"/>
  <c r="AK97" i="30"/>
  <c r="AL97" i="30"/>
  <c r="AM97" i="30"/>
  <c r="AN97" i="30"/>
  <c r="AO97" i="30"/>
  <c r="AP97" i="30"/>
  <c r="AQ97" i="30"/>
  <c r="AT97" i="30"/>
  <c r="AU97" i="30"/>
  <c r="AV97" i="30"/>
  <c r="AW97" i="30"/>
  <c r="AX97" i="30"/>
  <c r="AY97" i="30"/>
  <c r="AZ97" i="30"/>
  <c r="BA97" i="30"/>
  <c r="BB97" i="30"/>
  <c r="BE97" i="30"/>
  <c r="BF97" i="30"/>
  <c r="BG97" i="30"/>
  <c r="BH97" i="30"/>
  <c r="BI97" i="30"/>
  <c r="BJ97" i="30"/>
  <c r="BK97" i="30"/>
  <c r="BL97" i="30"/>
  <c r="BM97" i="30"/>
  <c r="B98" i="30"/>
  <c r="C98" i="30"/>
  <c r="D98" i="30"/>
  <c r="E98" i="30"/>
  <c r="F98" i="30"/>
  <c r="G98" i="30"/>
  <c r="H98" i="30"/>
  <c r="I98" i="30"/>
  <c r="J98" i="30"/>
  <c r="M98" i="30"/>
  <c r="N98" i="30"/>
  <c r="O98" i="30"/>
  <c r="P98" i="30"/>
  <c r="Q98" i="30"/>
  <c r="R98" i="30"/>
  <c r="S98" i="30"/>
  <c r="T98" i="30"/>
  <c r="U98" i="30"/>
  <c r="X98" i="30"/>
  <c r="Y98" i="30"/>
  <c r="Z98" i="30"/>
  <c r="AA98" i="30"/>
  <c r="AB98" i="30"/>
  <c r="AC98" i="30"/>
  <c r="AD98" i="30"/>
  <c r="AE98" i="30"/>
  <c r="AF98" i="30"/>
  <c r="AI98" i="30"/>
  <c r="AJ98" i="30"/>
  <c r="AK98" i="30"/>
  <c r="AL98" i="30"/>
  <c r="AM98" i="30"/>
  <c r="AN98" i="30"/>
  <c r="AO98" i="30"/>
  <c r="AP98" i="30"/>
  <c r="AQ98" i="30"/>
  <c r="AT98" i="30"/>
  <c r="AU98" i="30"/>
  <c r="AV98" i="30"/>
  <c r="AW98" i="30"/>
  <c r="AX98" i="30"/>
  <c r="AY98" i="30"/>
  <c r="AZ98" i="30"/>
  <c r="BA98" i="30"/>
  <c r="BB98" i="30"/>
  <c r="BE98" i="30"/>
  <c r="BF98" i="30"/>
  <c r="BG98" i="30"/>
  <c r="BH98" i="30"/>
  <c r="BI98" i="30"/>
  <c r="BJ98" i="30"/>
  <c r="BK98" i="30"/>
  <c r="BL98" i="30"/>
  <c r="BM98" i="30"/>
  <c r="B99" i="30"/>
  <c r="C99" i="30"/>
  <c r="D99" i="30"/>
  <c r="E99" i="30"/>
  <c r="F99" i="30"/>
  <c r="G99" i="30"/>
  <c r="H99" i="30"/>
  <c r="I99" i="30"/>
  <c r="J99" i="30"/>
  <c r="M99" i="30"/>
  <c r="N99" i="30"/>
  <c r="O99" i="30"/>
  <c r="P99" i="30"/>
  <c r="Q99" i="30"/>
  <c r="R99" i="30"/>
  <c r="S99" i="30"/>
  <c r="T99" i="30"/>
  <c r="U99" i="30"/>
  <c r="X99" i="30"/>
  <c r="Y99" i="30"/>
  <c r="Z99" i="30"/>
  <c r="AA99" i="30"/>
  <c r="AB99" i="30"/>
  <c r="AC99" i="30"/>
  <c r="AD99" i="30"/>
  <c r="AE99" i="30"/>
  <c r="AF99" i="30"/>
  <c r="AI99" i="30"/>
  <c r="AJ99" i="30"/>
  <c r="AK99" i="30"/>
  <c r="AL99" i="30"/>
  <c r="AM99" i="30"/>
  <c r="AN99" i="30"/>
  <c r="AO99" i="30"/>
  <c r="AP99" i="30"/>
  <c r="AQ99" i="30"/>
  <c r="AT99" i="30"/>
  <c r="AU99" i="30"/>
  <c r="AV99" i="30"/>
  <c r="AW99" i="30"/>
  <c r="AX99" i="30"/>
  <c r="AY99" i="30"/>
  <c r="AZ99" i="30"/>
  <c r="BA99" i="30"/>
  <c r="BB99" i="30"/>
  <c r="BE99" i="30"/>
  <c r="BF99" i="30"/>
  <c r="BG99" i="30"/>
  <c r="BH99" i="30"/>
  <c r="BI99" i="30"/>
  <c r="BJ99" i="30"/>
  <c r="BK99" i="30"/>
  <c r="BL99" i="30"/>
  <c r="BM99" i="30"/>
  <c r="B100" i="30"/>
  <c r="C100" i="30"/>
  <c r="D100" i="30"/>
  <c r="E100" i="30"/>
  <c r="F100" i="30"/>
  <c r="G100" i="30"/>
  <c r="H100" i="30"/>
  <c r="I100" i="30"/>
  <c r="J100" i="30"/>
  <c r="M100" i="30"/>
  <c r="N100" i="30"/>
  <c r="O100" i="30"/>
  <c r="P100" i="30"/>
  <c r="Q100" i="30"/>
  <c r="R100" i="30"/>
  <c r="S100" i="30"/>
  <c r="T100" i="30"/>
  <c r="U100" i="30"/>
  <c r="X100" i="30"/>
  <c r="Y100" i="30"/>
  <c r="Z100" i="30"/>
  <c r="AA100" i="30"/>
  <c r="AB100" i="30"/>
  <c r="AC100" i="30"/>
  <c r="AD100" i="30"/>
  <c r="AE100" i="30"/>
  <c r="AF100" i="30"/>
  <c r="AI100" i="30"/>
  <c r="AJ100" i="30"/>
  <c r="AK100" i="30"/>
  <c r="AL100" i="30"/>
  <c r="AM100" i="30"/>
  <c r="AN100" i="30"/>
  <c r="AO100" i="30"/>
  <c r="AP100" i="30"/>
  <c r="AQ100" i="30"/>
  <c r="AT100" i="30"/>
  <c r="AU100" i="30"/>
  <c r="AV100" i="30"/>
  <c r="AW100" i="30"/>
  <c r="AX100" i="30"/>
  <c r="AY100" i="30"/>
  <c r="AZ100" i="30"/>
  <c r="BA100" i="30"/>
  <c r="BB100" i="30"/>
  <c r="BE100" i="30"/>
  <c r="BF100" i="30"/>
  <c r="BG100" i="30"/>
  <c r="BH100" i="30"/>
  <c r="BI100" i="30"/>
  <c r="BJ100" i="30"/>
  <c r="BK100" i="30"/>
  <c r="BL100" i="30"/>
  <c r="BM100" i="30"/>
  <c r="B101" i="30"/>
  <c r="C101" i="30"/>
  <c r="D101" i="30"/>
  <c r="E101" i="30"/>
  <c r="F101" i="30"/>
  <c r="G101" i="30"/>
  <c r="H101" i="30"/>
  <c r="I101" i="30"/>
  <c r="J101" i="30"/>
  <c r="M101" i="30"/>
  <c r="N101" i="30"/>
  <c r="O101" i="30"/>
  <c r="P101" i="30"/>
  <c r="Q101" i="30"/>
  <c r="R101" i="30"/>
  <c r="S101" i="30"/>
  <c r="T101" i="30"/>
  <c r="U101" i="30"/>
  <c r="X101" i="30"/>
  <c r="Y101" i="30"/>
  <c r="Z101" i="30"/>
  <c r="AA101" i="30"/>
  <c r="AB101" i="30"/>
  <c r="AC101" i="30"/>
  <c r="AD101" i="30"/>
  <c r="AE101" i="30"/>
  <c r="AF101" i="30"/>
  <c r="AI101" i="30"/>
  <c r="AJ101" i="30"/>
  <c r="AK101" i="30"/>
  <c r="AL101" i="30"/>
  <c r="AM101" i="30"/>
  <c r="AN101" i="30"/>
  <c r="AO101" i="30"/>
  <c r="AP101" i="30"/>
  <c r="AQ101" i="30"/>
  <c r="AT101" i="30"/>
  <c r="AU101" i="30"/>
  <c r="AV101" i="30"/>
  <c r="AW101" i="30"/>
  <c r="AX101" i="30"/>
  <c r="AY101" i="30"/>
  <c r="AZ101" i="30"/>
  <c r="BA101" i="30"/>
  <c r="BB101" i="30"/>
  <c r="BE101" i="30"/>
  <c r="BF101" i="30"/>
  <c r="BG101" i="30"/>
  <c r="BH101" i="30"/>
  <c r="BI101" i="30"/>
  <c r="BJ101" i="30"/>
  <c r="BK101" i="30"/>
  <c r="BL101" i="30"/>
  <c r="BM101" i="30"/>
  <c r="B102" i="30"/>
  <c r="C102" i="30"/>
  <c r="D102" i="30"/>
  <c r="E102" i="30"/>
  <c r="F102" i="30"/>
  <c r="G102" i="30"/>
  <c r="H102" i="30"/>
  <c r="I102" i="30"/>
  <c r="J102" i="30"/>
  <c r="M102" i="30"/>
  <c r="N102" i="30"/>
  <c r="O102" i="30"/>
  <c r="P102" i="30"/>
  <c r="Q102" i="30"/>
  <c r="R102" i="30"/>
  <c r="S102" i="30"/>
  <c r="T102" i="30"/>
  <c r="U102" i="30"/>
  <c r="X102" i="30"/>
  <c r="Y102" i="30"/>
  <c r="Z102" i="30"/>
  <c r="AA102" i="30"/>
  <c r="AB102" i="30"/>
  <c r="AC102" i="30"/>
  <c r="AD102" i="30"/>
  <c r="AE102" i="30"/>
  <c r="AF102" i="30"/>
  <c r="AI102" i="30"/>
  <c r="AJ102" i="30"/>
  <c r="AK102" i="30"/>
  <c r="AL102" i="30"/>
  <c r="AM102" i="30"/>
  <c r="AN102" i="30"/>
  <c r="AO102" i="30"/>
  <c r="AP102" i="30"/>
  <c r="AQ102" i="30"/>
  <c r="AT102" i="30"/>
  <c r="AU102" i="30"/>
  <c r="AV102" i="30"/>
  <c r="AW102" i="30"/>
  <c r="AX102" i="30"/>
  <c r="AY102" i="30"/>
  <c r="AZ102" i="30"/>
  <c r="BA102" i="30"/>
  <c r="BB102" i="30"/>
  <c r="BE102" i="30"/>
  <c r="BF102" i="30"/>
  <c r="BG102" i="30"/>
  <c r="BH102" i="30"/>
  <c r="BI102" i="30"/>
  <c r="BJ102" i="30"/>
  <c r="BK102" i="30"/>
  <c r="BL102" i="30"/>
  <c r="BM102" i="30"/>
  <c r="B103" i="30"/>
  <c r="C103" i="30"/>
  <c r="D103" i="30"/>
  <c r="E103" i="30"/>
  <c r="F103" i="30"/>
  <c r="G103" i="30"/>
  <c r="H103" i="30"/>
  <c r="I103" i="30"/>
  <c r="J103" i="30"/>
  <c r="M103" i="30"/>
  <c r="N103" i="30"/>
  <c r="O103" i="30"/>
  <c r="P103" i="30"/>
  <c r="Q103" i="30"/>
  <c r="R103" i="30"/>
  <c r="S103" i="30"/>
  <c r="T103" i="30"/>
  <c r="U103" i="30"/>
  <c r="X103" i="30"/>
  <c r="Y103" i="30"/>
  <c r="Z103" i="30"/>
  <c r="AA103" i="30"/>
  <c r="AB103" i="30"/>
  <c r="AC103" i="30"/>
  <c r="AD103" i="30"/>
  <c r="AE103" i="30"/>
  <c r="AF103" i="30"/>
  <c r="AI103" i="30"/>
  <c r="AJ103" i="30"/>
  <c r="AK103" i="30"/>
  <c r="AL103" i="30"/>
  <c r="AM103" i="30"/>
  <c r="AN103" i="30"/>
  <c r="AO103" i="30"/>
  <c r="AP103" i="30"/>
  <c r="AQ103" i="30"/>
  <c r="AT103" i="30"/>
  <c r="AU103" i="30"/>
  <c r="AV103" i="30"/>
  <c r="AW103" i="30"/>
  <c r="AX103" i="30"/>
  <c r="AY103" i="30"/>
  <c r="AZ103" i="30"/>
  <c r="BA103" i="30"/>
  <c r="BB103" i="30"/>
  <c r="BE103" i="30"/>
  <c r="BF103" i="30"/>
  <c r="BG103" i="30"/>
  <c r="BH103" i="30"/>
  <c r="BI103" i="30"/>
  <c r="BJ103" i="30"/>
  <c r="BK103" i="30"/>
  <c r="BL103" i="30"/>
  <c r="BM103" i="30"/>
  <c r="B104" i="30"/>
  <c r="C104" i="30"/>
  <c r="D104" i="30"/>
  <c r="E104" i="30"/>
  <c r="F104" i="30"/>
  <c r="G104" i="30"/>
  <c r="H104" i="30"/>
  <c r="I104" i="30"/>
  <c r="J104" i="30"/>
  <c r="M104" i="30"/>
  <c r="N104" i="30"/>
  <c r="O104" i="30"/>
  <c r="P104" i="30"/>
  <c r="Q104" i="30"/>
  <c r="R104" i="30"/>
  <c r="S104" i="30"/>
  <c r="T104" i="30"/>
  <c r="U104" i="30"/>
  <c r="X104" i="30"/>
  <c r="Y104" i="30"/>
  <c r="Z104" i="30"/>
  <c r="AA104" i="30"/>
  <c r="AB104" i="30"/>
  <c r="AC104" i="30"/>
  <c r="AD104" i="30"/>
  <c r="AE104" i="30"/>
  <c r="AF104" i="30"/>
  <c r="AI104" i="30"/>
  <c r="AJ104" i="30"/>
  <c r="AK104" i="30"/>
  <c r="AL104" i="30"/>
  <c r="AM104" i="30"/>
  <c r="AN104" i="30"/>
  <c r="AO104" i="30"/>
  <c r="AP104" i="30"/>
  <c r="AQ104" i="30"/>
  <c r="AT104" i="30"/>
  <c r="AU104" i="30"/>
  <c r="AV104" i="30"/>
  <c r="AW104" i="30"/>
  <c r="AX104" i="30"/>
  <c r="AY104" i="30"/>
  <c r="AZ104" i="30"/>
  <c r="BA104" i="30"/>
  <c r="BB104" i="30"/>
  <c r="BE104" i="30"/>
  <c r="BF104" i="30"/>
  <c r="BG104" i="30"/>
  <c r="BH104" i="30"/>
  <c r="BI104" i="30"/>
  <c r="BJ104" i="30"/>
  <c r="BK104" i="30"/>
  <c r="BL104" i="30"/>
  <c r="BM104" i="30"/>
  <c r="B105" i="30"/>
  <c r="C105" i="30"/>
  <c r="D105" i="30"/>
  <c r="E105" i="30"/>
  <c r="F105" i="30"/>
  <c r="G105" i="30"/>
  <c r="H105" i="30"/>
  <c r="I105" i="30"/>
  <c r="J105" i="30"/>
  <c r="M105" i="30"/>
  <c r="N105" i="30"/>
  <c r="O105" i="30"/>
  <c r="P105" i="30"/>
  <c r="Q105" i="30"/>
  <c r="R105" i="30"/>
  <c r="S105" i="30"/>
  <c r="T105" i="30"/>
  <c r="U105" i="30"/>
  <c r="X105" i="30"/>
  <c r="Y105" i="30"/>
  <c r="Z105" i="30"/>
  <c r="AA105" i="30"/>
  <c r="AB105" i="30"/>
  <c r="AC105" i="30"/>
  <c r="AD105" i="30"/>
  <c r="AE105" i="30"/>
  <c r="AF105" i="30"/>
  <c r="AI105" i="30"/>
  <c r="AJ105" i="30"/>
  <c r="AK105" i="30"/>
  <c r="AL105" i="30"/>
  <c r="AM105" i="30"/>
  <c r="AN105" i="30"/>
  <c r="AO105" i="30"/>
  <c r="AP105" i="30"/>
  <c r="AQ105" i="30"/>
  <c r="AT105" i="30"/>
  <c r="AV105" i="30"/>
  <c r="AW105" i="30"/>
  <c r="AX105" i="30"/>
  <c r="AY105" i="30"/>
  <c r="AZ105" i="30"/>
  <c r="BA105" i="30"/>
  <c r="BB105" i="30"/>
  <c r="BE105" i="30"/>
  <c r="BF105" i="30"/>
  <c r="BG105" i="30"/>
  <c r="BH105" i="30"/>
  <c r="BI105" i="30"/>
  <c r="BJ105" i="30"/>
  <c r="BK105" i="30"/>
  <c r="BL105" i="30"/>
  <c r="BM105" i="30"/>
  <c r="B106" i="30"/>
  <c r="C106" i="30"/>
  <c r="D106" i="30"/>
  <c r="E106" i="30"/>
  <c r="F106" i="30"/>
  <c r="G106" i="30"/>
  <c r="H106" i="30"/>
  <c r="I106" i="30"/>
  <c r="J106" i="30"/>
  <c r="M106" i="30"/>
  <c r="N106" i="30"/>
  <c r="O106" i="30"/>
  <c r="P106" i="30"/>
  <c r="Q106" i="30"/>
  <c r="R106" i="30"/>
  <c r="S106" i="30"/>
  <c r="T106" i="30"/>
  <c r="U106" i="30"/>
  <c r="X106" i="30"/>
  <c r="Y106" i="30"/>
  <c r="Z106" i="30"/>
  <c r="AA106" i="30"/>
  <c r="AB106" i="30"/>
  <c r="AC106" i="30"/>
  <c r="AD106" i="30"/>
  <c r="AE106" i="30"/>
  <c r="AF106" i="30"/>
  <c r="AI106" i="30"/>
  <c r="AJ106" i="30"/>
  <c r="AK106" i="30"/>
  <c r="AL106" i="30"/>
  <c r="AM106" i="30"/>
  <c r="AN106" i="30"/>
  <c r="AO106" i="30"/>
  <c r="AP106" i="30"/>
  <c r="AQ106" i="30"/>
  <c r="AT106" i="30"/>
  <c r="AU106" i="30"/>
  <c r="AV106" i="30"/>
  <c r="AW106" i="30"/>
  <c r="AX106" i="30"/>
  <c r="AY106" i="30"/>
  <c r="AZ106" i="30"/>
  <c r="BA106" i="30"/>
  <c r="BB106" i="30"/>
  <c r="BE106" i="30"/>
  <c r="BF106" i="30"/>
  <c r="BG106" i="30"/>
  <c r="BH106" i="30"/>
  <c r="BI106" i="30"/>
  <c r="BJ106" i="30"/>
  <c r="BK106" i="30"/>
  <c r="BL106" i="30"/>
  <c r="BM106" i="30"/>
  <c r="B107" i="30"/>
  <c r="C107" i="30"/>
  <c r="D107" i="30"/>
  <c r="E107" i="30"/>
  <c r="F107" i="30"/>
  <c r="G107" i="30"/>
  <c r="H107" i="30"/>
  <c r="I107" i="30"/>
  <c r="J107" i="30"/>
  <c r="M107" i="30"/>
  <c r="N107" i="30"/>
  <c r="O107" i="30"/>
  <c r="P107" i="30"/>
  <c r="Q107" i="30"/>
  <c r="R107" i="30"/>
  <c r="S107" i="30"/>
  <c r="T107" i="30"/>
  <c r="U107" i="30"/>
  <c r="X107" i="30"/>
  <c r="Y107" i="30"/>
  <c r="Z107" i="30"/>
  <c r="AA107" i="30"/>
  <c r="AB107" i="30"/>
  <c r="AC107" i="30"/>
  <c r="AD107" i="30"/>
  <c r="AE107" i="30"/>
  <c r="AF107" i="30"/>
  <c r="AI107" i="30"/>
  <c r="AJ107" i="30"/>
  <c r="AK107" i="30"/>
  <c r="AL107" i="30"/>
  <c r="AM107" i="30"/>
  <c r="AN107" i="30"/>
  <c r="AO107" i="30"/>
  <c r="AP107" i="30"/>
  <c r="AQ107" i="30"/>
  <c r="AT107" i="30"/>
  <c r="AU107" i="30"/>
  <c r="AV107" i="30"/>
  <c r="AW107" i="30"/>
  <c r="AX107" i="30"/>
  <c r="AY107" i="30"/>
  <c r="AZ107" i="30"/>
  <c r="BA107" i="30"/>
  <c r="BB107" i="30"/>
  <c r="BE107" i="30"/>
  <c r="BF107" i="30"/>
  <c r="BG107" i="30"/>
  <c r="BH107" i="30"/>
  <c r="BI107" i="30"/>
  <c r="BJ107" i="30"/>
  <c r="BK107" i="30"/>
  <c r="BL107" i="30"/>
  <c r="BM107" i="30"/>
  <c r="BM56" i="30"/>
  <c r="BL56" i="30"/>
  <c r="BK56" i="30"/>
  <c r="BJ56" i="30"/>
  <c r="BI56" i="30"/>
  <c r="BH56" i="30"/>
  <c r="BG56" i="30"/>
  <c r="BF56" i="30"/>
  <c r="BE56" i="30"/>
  <c r="BB56" i="30"/>
  <c r="BA56" i="30"/>
  <c r="AZ56" i="30"/>
  <c r="AY56" i="30"/>
  <c r="AX56" i="30"/>
  <c r="AW56" i="30"/>
  <c r="AV56" i="30"/>
  <c r="AU56" i="30"/>
  <c r="AT56" i="30"/>
  <c r="AQ56" i="30"/>
  <c r="AP56" i="30"/>
  <c r="AO56" i="30"/>
  <c r="AN56" i="30"/>
  <c r="AM56" i="30"/>
  <c r="AL56" i="30"/>
  <c r="AK56" i="30"/>
  <c r="AJ56" i="30"/>
  <c r="AI56" i="30"/>
  <c r="AF56" i="30"/>
  <c r="AE56" i="30"/>
  <c r="AD56" i="30"/>
  <c r="AC56" i="30"/>
  <c r="AB56" i="30"/>
  <c r="AA56" i="30"/>
  <c r="Z56" i="30"/>
  <c r="Y56" i="30"/>
  <c r="X56" i="30"/>
  <c r="U56" i="30"/>
  <c r="T56" i="30"/>
  <c r="S56" i="30"/>
  <c r="R56" i="30"/>
  <c r="Q56" i="30"/>
  <c r="P56" i="30"/>
  <c r="O56" i="30"/>
  <c r="N56" i="30"/>
  <c r="M56" i="30"/>
  <c r="J56" i="30"/>
  <c r="I56" i="30"/>
  <c r="H56" i="30"/>
  <c r="G56" i="30"/>
  <c r="F56" i="30"/>
  <c r="E56" i="30"/>
  <c r="D56" i="30"/>
  <c r="C56" i="30"/>
  <c r="B56" i="30"/>
  <c r="BE53" i="30"/>
  <c r="AT53" i="30"/>
  <c r="AI53" i="30"/>
  <c r="X53" i="30"/>
  <c r="M53" i="30"/>
  <c r="B53" i="30"/>
  <c r="BE52" i="30"/>
  <c r="AT52" i="30"/>
  <c r="AI52" i="30"/>
  <c r="X52" i="30"/>
  <c r="M52" i="30"/>
  <c r="B52" i="30"/>
  <c r="A179" i="30"/>
  <c r="A178" i="30"/>
  <c r="A177" i="30"/>
  <c r="A176" i="30"/>
  <c r="A175" i="30"/>
  <c r="A174" i="30"/>
  <c r="BE11" i="30"/>
  <c r="BF11" i="30"/>
  <c r="BG11" i="30"/>
  <c r="BH11" i="30"/>
  <c r="BI11" i="30"/>
  <c r="BJ11" i="30"/>
  <c r="BK11" i="30"/>
  <c r="BL11" i="30"/>
  <c r="BM11" i="30"/>
  <c r="BE12" i="30"/>
  <c r="BF12" i="30"/>
  <c r="BG12" i="30"/>
  <c r="BH12" i="30"/>
  <c r="BI12" i="30"/>
  <c r="BJ12" i="30"/>
  <c r="BK12" i="30"/>
  <c r="BL12" i="30"/>
  <c r="BM12" i="30"/>
  <c r="BE13" i="30"/>
  <c r="BF13" i="30"/>
  <c r="BG13" i="30"/>
  <c r="BH13" i="30"/>
  <c r="BI13" i="30"/>
  <c r="BJ13" i="30"/>
  <c r="BK13" i="30"/>
  <c r="BL13" i="30"/>
  <c r="BM13" i="30"/>
  <c r="BE14" i="30"/>
  <c r="BF14" i="30"/>
  <c r="BG14" i="30"/>
  <c r="BH14" i="30"/>
  <c r="BI14" i="30"/>
  <c r="BJ14" i="30"/>
  <c r="BK14" i="30"/>
  <c r="BL14" i="30"/>
  <c r="BM14" i="30"/>
  <c r="BE15" i="30"/>
  <c r="BF15" i="30"/>
  <c r="BG15" i="30"/>
  <c r="BH15" i="30"/>
  <c r="BI15" i="30"/>
  <c r="BJ15" i="30"/>
  <c r="BK15" i="30"/>
  <c r="BL15" i="30"/>
  <c r="BM15" i="30"/>
  <c r="BE16" i="30"/>
  <c r="BF16" i="30"/>
  <c r="BG16" i="30"/>
  <c r="BH16" i="30"/>
  <c r="BI16" i="30"/>
  <c r="BJ16" i="30"/>
  <c r="BK16" i="30"/>
  <c r="BL16" i="30"/>
  <c r="BM16" i="30"/>
  <c r="BE17" i="30"/>
  <c r="BF17" i="30"/>
  <c r="BG17" i="30"/>
  <c r="BH17" i="30"/>
  <c r="BI17" i="30"/>
  <c r="BJ17" i="30"/>
  <c r="BK17" i="30"/>
  <c r="BL17" i="30"/>
  <c r="BM17" i="30"/>
  <c r="BE18" i="30"/>
  <c r="BF18" i="30"/>
  <c r="BG18" i="30"/>
  <c r="BH18" i="30"/>
  <c r="BI18" i="30"/>
  <c r="BJ18" i="30"/>
  <c r="BK18" i="30"/>
  <c r="BL18" i="30"/>
  <c r="BM18" i="30"/>
  <c r="BE19" i="30"/>
  <c r="BF19" i="30"/>
  <c r="BG19" i="30"/>
  <c r="BH19" i="30"/>
  <c r="BI19" i="30"/>
  <c r="BJ19" i="30"/>
  <c r="BK19" i="30"/>
  <c r="BL19" i="30"/>
  <c r="BM19" i="30"/>
  <c r="BE20" i="30"/>
  <c r="BF20" i="30"/>
  <c r="BG20" i="30"/>
  <c r="BH20" i="30"/>
  <c r="BI20" i="30"/>
  <c r="BJ20" i="30"/>
  <c r="BK20" i="30"/>
  <c r="BL20" i="30"/>
  <c r="BM20" i="30"/>
  <c r="BE21" i="30"/>
  <c r="BF21" i="30"/>
  <c r="BG21" i="30"/>
  <c r="BH21" i="30"/>
  <c r="BI21" i="30"/>
  <c r="BJ21" i="30"/>
  <c r="BK21" i="30"/>
  <c r="BL21" i="30"/>
  <c r="BM21" i="30"/>
  <c r="BE22" i="30"/>
  <c r="BF22" i="30"/>
  <c r="BG22" i="30"/>
  <c r="BH22" i="30"/>
  <c r="BI22" i="30"/>
  <c r="BJ22" i="30"/>
  <c r="BK22" i="30"/>
  <c r="BL22" i="30"/>
  <c r="BM22" i="30"/>
  <c r="BE23" i="30"/>
  <c r="BF23" i="30"/>
  <c r="BG23" i="30"/>
  <c r="BH23" i="30"/>
  <c r="BI23" i="30"/>
  <c r="BJ23" i="30"/>
  <c r="BK23" i="30"/>
  <c r="BL23" i="30"/>
  <c r="BM23" i="30"/>
  <c r="BE24" i="30"/>
  <c r="BF24" i="30"/>
  <c r="BG24" i="30"/>
  <c r="BH24" i="30"/>
  <c r="BI24" i="30"/>
  <c r="BJ24" i="30"/>
  <c r="BK24" i="30"/>
  <c r="BL24" i="30"/>
  <c r="BM24" i="30"/>
  <c r="BE25" i="30"/>
  <c r="BF25" i="30"/>
  <c r="BG25" i="30"/>
  <c r="BH25" i="30"/>
  <c r="BI25" i="30"/>
  <c r="BJ25" i="30"/>
  <c r="BK25" i="30"/>
  <c r="BL25" i="30"/>
  <c r="BM25" i="30"/>
  <c r="BE26" i="30"/>
  <c r="BF26" i="30"/>
  <c r="BG26" i="30"/>
  <c r="BH26" i="30"/>
  <c r="BI26" i="30"/>
  <c r="BJ26" i="30"/>
  <c r="BK26" i="30"/>
  <c r="BL26" i="30"/>
  <c r="BM26" i="30"/>
  <c r="BE27" i="30"/>
  <c r="BF27" i="30"/>
  <c r="BG27" i="30"/>
  <c r="BH27" i="30"/>
  <c r="BI27" i="30"/>
  <c r="BJ27" i="30"/>
  <c r="BK27" i="30"/>
  <c r="BL27" i="30"/>
  <c r="BM27" i="30"/>
  <c r="BE28" i="30"/>
  <c r="BF28" i="30"/>
  <c r="BG28" i="30"/>
  <c r="BH28" i="30"/>
  <c r="BI28" i="30"/>
  <c r="BJ28" i="30"/>
  <c r="BK28" i="30"/>
  <c r="BL28" i="30"/>
  <c r="BM28" i="30"/>
  <c r="BE29" i="30"/>
  <c r="BF29" i="30"/>
  <c r="BG29" i="30"/>
  <c r="BH29" i="30"/>
  <c r="BI29" i="30"/>
  <c r="BJ29" i="30"/>
  <c r="BK29" i="30"/>
  <c r="BL29" i="30"/>
  <c r="BM29" i="30"/>
  <c r="BE30" i="30"/>
  <c r="BF30" i="30"/>
  <c r="BG30" i="30"/>
  <c r="BH30" i="30"/>
  <c r="BI30" i="30"/>
  <c r="BJ30" i="30"/>
  <c r="BK30" i="30"/>
  <c r="BL30" i="30"/>
  <c r="BM30" i="30"/>
  <c r="BE31" i="30"/>
  <c r="BF31" i="30"/>
  <c r="BG31" i="30"/>
  <c r="BH31" i="30"/>
  <c r="BI31" i="30"/>
  <c r="BJ31" i="30"/>
  <c r="BK31" i="30"/>
  <c r="BL31" i="30"/>
  <c r="BM31" i="30"/>
  <c r="BE32" i="30"/>
  <c r="BF32" i="30"/>
  <c r="BG32" i="30"/>
  <c r="BH32" i="30"/>
  <c r="BI32" i="30"/>
  <c r="BJ32" i="30"/>
  <c r="BK32" i="30"/>
  <c r="BL32" i="30"/>
  <c r="BM32" i="30"/>
  <c r="BE33" i="30"/>
  <c r="BF33" i="30"/>
  <c r="BG33" i="30"/>
  <c r="BH33" i="30"/>
  <c r="BI33" i="30"/>
  <c r="BJ33" i="30"/>
  <c r="BK33" i="30"/>
  <c r="BL33" i="30"/>
  <c r="BM33" i="30"/>
  <c r="BE34" i="30"/>
  <c r="BF34" i="30"/>
  <c r="BG34" i="30"/>
  <c r="BH34" i="30"/>
  <c r="BI34" i="30"/>
  <c r="BJ34" i="30"/>
  <c r="BK34" i="30"/>
  <c r="BL34" i="30"/>
  <c r="BM34" i="30"/>
  <c r="BE35" i="30"/>
  <c r="BF35" i="30"/>
  <c r="BG35" i="30"/>
  <c r="BH35" i="30"/>
  <c r="BI35" i="30"/>
  <c r="BJ35" i="30"/>
  <c r="BK35" i="30"/>
  <c r="BL35" i="30"/>
  <c r="BM35" i="30"/>
  <c r="BE36" i="30"/>
  <c r="BF36" i="30"/>
  <c r="BG36" i="30"/>
  <c r="BH36" i="30"/>
  <c r="BI36" i="30"/>
  <c r="BJ36" i="30"/>
  <c r="BK36" i="30"/>
  <c r="BL36" i="30"/>
  <c r="BM36" i="30"/>
  <c r="BE37" i="30"/>
  <c r="BF37" i="30"/>
  <c r="BG37" i="30"/>
  <c r="BH37" i="30"/>
  <c r="BI37" i="30"/>
  <c r="BJ37" i="30"/>
  <c r="BK37" i="30"/>
  <c r="BL37" i="30"/>
  <c r="BM37" i="30"/>
  <c r="BE38" i="30"/>
  <c r="BF38" i="30"/>
  <c r="BG38" i="30"/>
  <c r="BH38" i="30"/>
  <c r="BI38" i="30"/>
  <c r="BJ38" i="30"/>
  <c r="BK38" i="30"/>
  <c r="BL38" i="30"/>
  <c r="BM38" i="30"/>
  <c r="BE39" i="30"/>
  <c r="BF39" i="30"/>
  <c r="BG39" i="30"/>
  <c r="BH39" i="30"/>
  <c r="BI39" i="30"/>
  <c r="BJ39" i="30"/>
  <c r="BK39" i="30"/>
  <c r="BL39" i="30"/>
  <c r="BM39" i="30"/>
  <c r="BE40" i="30"/>
  <c r="BF40" i="30"/>
  <c r="BG40" i="30"/>
  <c r="BH40" i="30"/>
  <c r="BI40" i="30"/>
  <c r="BJ40" i="30"/>
  <c r="BK40" i="30"/>
  <c r="BL40" i="30"/>
  <c r="BM40" i="30"/>
  <c r="BE41" i="30"/>
  <c r="BF41" i="30"/>
  <c r="BG41" i="30"/>
  <c r="BH41" i="30"/>
  <c r="BI41" i="30"/>
  <c r="BJ41" i="30"/>
  <c r="BK41" i="30"/>
  <c r="BL41" i="30"/>
  <c r="BM41" i="30"/>
  <c r="BE42" i="30"/>
  <c r="BF42" i="30"/>
  <c r="BG42" i="30"/>
  <c r="BH42" i="30"/>
  <c r="BI42" i="30"/>
  <c r="BJ42" i="30"/>
  <c r="BK42" i="30"/>
  <c r="BL42" i="30"/>
  <c r="BM42" i="30"/>
  <c r="BE43" i="30"/>
  <c r="BF43" i="30"/>
  <c r="BG43" i="30"/>
  <c r="BH43" i="30"/>
  <c r="BI43" i="30"/>
  <c r="BJ43" i="30"/>
  <c r="BK43" i="30"/>
  <c r="BL43" i="30"/>
  <c r="BM43" i="30"/>
  <c r="BE44" i="30"/>
  <c r="BF44" i="30"/>
  <c r="BG44" i="30"/>
  <c r="BH44" i="30"/>
  <c r="BI44" i="30"/>
  <c r="BJ44" i="30"/>
  <c r="BK44" i="30"/>
  <c r="BL44" i="30"/>
  <c r="BM44" i="30"/>
  <c r="BE45" i="30"/>
  <c r="BF45" i="30"/>
  <c r="BG45" i="30"/>
  <c r="BH45" i="30"/>
  <c r="BI45" i="30"/>
  <c r="BJ45" i="30"/>
  <c r="BK45" i="30"/>
  <c r="BL45" i="30"/>
  <c r="BM45" i="30"/>
  <c r="BE46" i="30"/>
  <c r="BF46" i="30"/>
  <c r="BG46" i="30"/>
  <c r="BH46" i="30"/>
  <c r="BI46" i="30"/>
  <c r="BJ46" i="30"/>
  <c r="BK46" i="30"/>
  <c r="BL46" i="30"/>
  <c r="BM46" i="30"/>
  <c r="BE47" i="30"/>
  <c r="BF47" i="30"/>
  <c r="BG47" i="30"/>
  <c r="BH47" i="30"/>
  <c r="BI47" i="30"/>
  <c r="BJ47" i="30"/>
  <c r="BK47" i="30"/>
  <c r="BL47" i="30"/>
  <c r="BM47" i="30"/>
  <c r="BE48" i="30"/>
  <c r="BF48" i="30"/>
  <c r="BG48" i="30"/>
  <c r="BH48" i="30"/>
  <c r="BI48" i="30"/>
  <c r="BJ48" i="30"/>
  <c r="BK48" i="30"/>
  <c r="BL48" i="30"/>
  <c r="BM48" i="30"/>
  <c r="BE49" i="30"/>
  <c r="BF49" i="30"/>
  <c r="BG49" i="30"/>
  <c r="BH49" i="30"/>
  <c r="BI49" i="30"/>
  <c r="BJ49" i="30"/>
  <c r="BK49" i="30"/>
  <c r="BL49" i="30"/>
  <c r="BM49" i="30"/>
  <c r="BM10" i="30"/>
  <c r="BL10" i="30"/>
  <c r="BK10" i="30"/>
  <c r="BJ10" i="30"/>
  <c r="BI10" i="30"/>
  <c r="BH10" i="30"/>
  <c r="BG10" i="30"/>
  <c r="BF10" i="30"/>
  <c r="BE10" i="30"/>
  <c r="BE7" i="30"/>
  <c r="BE6" i="30"/>
  <c r="AT49" i="30"/>
  <c r="AU49" i="30"/>
  <c r="AV49" i="30"/>
  <c r="AW49" i="30"/>
  <c r="AX49" i="30"/>
  <c r="AY49" i="30"/>
  <c r="AZ49" i="30"/>
  <c r="BA49" i="30"/>
  <c r="BB49" i="30"/>
  <c r="AT11" i="30"/>
  <c r="AU11" i="30"/>
  <c r="AV11" i="30"/>
  <c r="AW11" i="30"/>
  <c r="AX11" i="30"/>
  <c r="AY11" i="30"/>
  <c r="AZ11" i="30"/>
  <c r="BA11" i="30"/>
  <c r="BB11" i="30"/>
  <c r="AT12" i="30"/>
  <c r="AU12" i="30"/>
  <c r="AV12" i="30"/>
  <c r="AW12" i="30"/>
  <c r="AX12" i="30"/>
  <c r="AY12" i="30"/>
  <c r="AZ12" i="30"/>
  <c r="BA12" i="30"/>
  <c r="BB12" i="30"/>
  <c r="AT13" i="30"/>
  <c r="AU13" i="30"/>
  <c r="AV13" i="30"/>
  <c r="AW13" i="30"/>
  <c r="AX13" i="30"/>
  <c r="AY13" i="30"/>
  <c r="AZ13" i="30"/>
  <c r="BA13" i="30"/>
  <c r="BB13" i="30"/>
  <c r="AT14" i="30"/>
  <c r="AU14" i="30"/>
  <c r="AV14" i="30"/>
  <c r="AW14" i="30"/>
  <c r="AX14" i="30"/>
  <c r="AY14" i="30"/>
  <c r="AZ14" i="30"/>
  <c r="BA14" i="30"/>
  <c r="BB14" i="30"/>
  <c r="AT15" i="30"/>
  <c r="AU15" i="30"/>
  <c r="AV15" i="30"/>
  <c r="AW15" i="30"/>
  <c r="AX15" i="30"/>
  <c r="AY15" i="30"/>
  <c r="AZ15" i="30"/>
  <c r="BA15" i="30"/>
  <c r="BB15" i="30"/>
  <c r="AT16" i="30"/>
  <c r="AU16" i="30"/>
  <c r="AV16" i="30"/>
  <c r="AW16" i="30"/>
  <c r="AX16" i="30"/>
  <c r="AY16" i="30"/>
  <c r="AZ16" i="30"/>
  <c r="BA16" i="30"/>
  <c r="BB16" i="30"/>
  <c r="AT17" i="30"/>
  <c r="AU17" i="30"/>
  <c r="AV17" i="30"/>
  <c r="AW17" i="30"/>
  <c r="AX17" i="30"/>
  <c r="AY17" i="30"/>
  <c r="AZ17" i="30"/>
  <c r="BA17" i="30"/>
  <c r="BB17" i="30"/>
  <c r="AT18" i="30"/>
  <c r="AU18" i="30"/>
  <c r="AV18" i="30"/>
  <c r="AW18" i="30"/>
  <c r="AX18" i="30"/>
  <c r="AY18" i="30"/>
  <c r="AZ18" i="30"/>
  <c r="BA18" i="30"/>
  <c r="BB18" i="30"/>
  <c r="AT19" i="30"/>
  <c r="AU19" i="30"/>
  <c r="AV19" i="30"/>
  <c r="AW19" i="30"/>
  <c r="AX19" i="30"/>
  <c r="AY19" i="30"/>
  <c r="AZ19" i="30"/>
  <c r="BA19" i="30"/>
  <c r="BB19" i="30"/>
  <c r="AT20" i="30"/>
  <c r="AU20" i="30"/>
  <c r="AV20" i="30"/>
  <c r="AW20" i="30"/>
  <c r="AX20" i="30"/>
  <c r="AY20" i="30"/>
  <c r="AZ20" i="30"/>
  <c r="BA20" i="30"/>
  <c r="BB20" i="30"/>
  <c r="AT21" i="30"/>
  <c r="AU21" i="30"/>
  <c r="AV21" i="30"/>
  <c r="AW21" i="30"/>
  <c r="AX21" i="30"/>
  <c r="AY21" i="30"/>
  <c r="AZ21" i="30"/>
  <c r="BA21" i="30"/>
  <c r="BB21" i="30"/>
  <c r="AT22" i="30"/>
  <c r="AU22" i="30"/>
  <c r="AV22" i="30"/>
  <c r="AW22" i="30"/>
  <c r="AX22" i="30"/>
  <c r="AY22" i="30"/>
  <c r="AZ22" i="30"/>
  <c r="BA22" i="30"/>
  <c r="BB22" i="30"/>
  <c r="AT23" i="30"/>
  <c r="AU23" i="30"/>
  <c r="AV23" i="30"/>
  <c r="AW23" i="30"/>
  <c r="AX23" i="30"/>
  <c r="AY23" i="30"/>
  <c r="AZ23" i="30"/>
  <c r="BA23" i="30"/>
  <c r="BB23" i="30"/>
  <c r="AT24" i="30"/>
  <c r="AU24" i="30"/>
  <c r="AV24" i="30"/>
  <c r="AW24" i="30"/>
  <c r="AX24" i="30"/>
  <c r="AY24" i="30"/>
  <c r="AZ24" i="30"/>
  <c r="BA24" i="30"/>
  <c r="BB24" i="30"/>
  <c r="AT25" i="30"/>
  <c r="AU25" i="30"/>
  <c r="AV25" i="30"/>
  <c r="AW25" i="30"/>
  <c r="AX25" i="30"/>
  <c r="AY25" i="30"/>
  <c r="AZ25" i="30"/>
  <c r="BA25" i="30"/>
  <c r="BB25" i="30"/>
  <c r="AT26" i="30"/>
  <c r="AU26" i="30"/>
  <c r="AV26" i="30"/>
  <c r="AW26" i="30"/>
  <c r="AX26" i="30"/>
  <c r="AY26" i="30"/>
  <c r="AZ26" i="30"/>
  <c r="BA26" i="30"/>
  <c r="BB26" i="30"/>
  <c r="AT27" i="30"/>
  <c r="AU27" i="30"/>
  <c r="AV27" i="30"/>
  <c r="AW27" i="30"/>
  <c r="AX27" i="30"/>
  <c r="AY27" i="30"/>
  <c r="AZ27" i="30"/>
  <c r="BA27" i="30"/>
  <c r="BB27" i="30"/>
  <c r="AT28" i="30"/>
  <c r="AU28" i="30"/>
  <c r="AV28" i="30"/>
  <c r="AW28" i="30"/>
  <c r="AX28" i="30"/>
  <c r="AY28" i="30"/>
  <c r="AZ28" i="30"/>
  <c r="BA28" i="30"/>
  <c r="BB28" i="30"/>
  <c r="AT29" i="30"/>
  <c r="AU29" i="30"/>
  <c r="AV29" i="30"/>
  <c r="AW29" i="30"/>
  <c r="AX29" i="30"/>
  <c r="AY29" i="30"/>
  <c r="AZ29" i="30"/>
  <c r="BA29" i="30"/>
  <c r="BB29" i="30"/>
  <c r="AT30" i="30"/>
  <c r="AU30" i="30"/>
  <c r="AV30" i="30"/>
  <c r="AW30" i="30"/>
  <c r="AX30" i="30"/>
  <c r="AY30" i="30"/>
  <c r="AZ30" i="30"/>
  <c r="BA30" i="30"/>
  <c r="BB30" i="30"/>
  <c r="AT31" i="30"/>
  <c r="AU31" i="30"/>
  <c r="AV31" i="30"/>
  <c r="AW31" i="30"/>
  <c r="AX31" i="30"/>
  <c r="AY31" i="30"/>
  <c r="AZ31" i="30"/>
  <c r="BA31" i="30"/>
  <c r="BB31" i="30"/>
  <c r="AT32" i="30"/>
  <c r="AU32" i="30"/>
  <c r="AV32" i="30"/>
  <c r="AW32" i="30"/>
  <c r="AX32" i="30"/>
  <c r="AY32" i="30"/>
  <c r="AZ32" i="30"/>
  <c r="BA32" i="30"/>
  <c r="BB32" i="30"/>
  <c r="AT33" i="30"/>
  <c r="AU33" i="30"/>
  <c r="AV33" i="30"/>
  <c r="AW33" i="30"/>
  <c r="AX33" i="30"/>
  <c r="AY33" i="30"/>
  <c r="AZ33" i="30"/>
  <c r="BA33" i="30"/>
  <c r="BB33" i="30"/>
  <c r="AT34" i="30"/>
  <c r="AU34" i="30"/>
  <c r="AV34" i="30"/>
  <c r="AW34" i="30"/>
  <c r="AX34" i="30"/>
  <c r="AY34" i="30"/>
  <c r="AZ34" i="30"/>
  <c r="BA34" i="30"/>
  <c r="BB34" i="30"/>
  <c r="AT35" i="30"/>
  <c r="AU35" i="30"/>
  <c r="AV35" i="30"/>
  <c r="AW35" i="30"/>
  <c r="AX35" i="30"/>
  <c r="AY35" i="30"/>
  <c r="AZ35" i="30"/>
  <c r="BA35" i="30"/>
  <c r="BB35" i="30"/>
  <c r="AT36" i="30"/>
  <c r="AU36" i="30"/>
  <c r="AV36" i="30"/>
  <c r="AW36" i="30"/>
  <c r="AX36" i="30"/>
  <c r="AY36" i="30"/>
  <c r="AZ36" i="30"/>
  <c r="BA36" i="30"/>
  <c r="BB36" i="30"/>
  <c r="AT37" i="30"/>
  <c r="AU37" i="30"/>
  <c r="AV37" i="30"/>
  <c r="AW37" i="30"/>
  <c r="AX37" i="30"/>
  <c r="AY37" i="30"/>
  <c r="AZ37" i="30"/>
  <c r="BA37" i="30"/>
  <c r="BB37" i="30"/>
  <c r="AT38" i="30"/>
  <c r="AU38" i="30"/>
  <c r="AV38" i="30"/>
  <c r="AW38" i="30"/>
  <c r="AX38" i="30"/>
  <c r="AY38" i="30"/>
  <c r="AZ38" i="30"/>
  <c r="BA38" i="30"/>
  <c r="BB38" i="30"/>
  <c r="AT39" i="30"/>
  <c r="AU39" i="30"/>
  <c r="AV39" i="30"/>
  <c r="AW39" i="30"/>
  <c r="AX39" i="30"/>
  <c r="AY39" i="30"/>
  <c r="AZ39" i="30"/>
  <c r="BA39" i="30"/>
  <c r="BB39" i="30"/>
  <c r="AT40" i="30"/>
  <c r="AU40" i="30"/>
  <c r="AV40" i="30"/>
  <c r="AW40" i="30"/>
  <c r="AX40" i="30"/>
  <c r="AY40" i="30"/>
  <c r="AZ40" i="30"/>
  <c r="BA40" i="30"/>
  <c r="BB40" i="30"/>
  <c r="AT41" i="30"/>
  <c r="AU41" i="30"/>
  <c r="AV41" i="30"/>
  <c r="AW41" i="30"/>
  <c r="AX41" i="30"/>
  <c r="AY41" i="30"/>
  <c r="AZ41" i="30"/>
  <c r="BA41" i="30"/>
  <c r="BB41" i="30"/>
  <c r="AT42" i="30"/>
  <c r="AU42" i="30"/>
  <c r="AV42" i="30"/>
  <c r="AW42" i="30"/>
  <c r="AX42" i="30"/>
  <c r="AY42" i="30"/>
  <c r="AZ42" i="30"/>
  <c r="BA42" i="30"/>
  <c r="BB42" i="30"/>
  <c r="AT43" i="30"/>
  <c r="AU43" i="30"/>
  <c r="AV43" i="30"/>
  <c r="AW43" i="30"/>
  <c r="AX43" i="30"/>
  <c r="AY43" i="30"/>
  <c r="AZ43" i="30"/>
  <c r="BA43" i="30"/>
  <c r="BB43" i="30"/>
  <c r="AT44" i="30"/>
  <c r="AU44" i="30"/>
  <c r="AV44" i="30"/>
  <c r="AW44" i="30"/>
  <c r="AX44" i="30"/>
  <c r="AY44" i="30"/>
  <c r="AZ44" i="30"/>
  <c r="BA44" i="30"/>
  <c r="BB44" i="30"/>
  <c r="AT45" i="30"/>
  <c r="AU45" i="30"/>
  <c r="AV45" i="30"/>
  <c r="AW45" i="30"/>
  <c r="AX45" i="30"/>
  <c r="AY45" i="30"/>
  <c r="AZ45" i="30"/>
  <c r="BA45" i="30"/>
  <c r="BB45" i="30"/>
  <c r="AT46" i="30"/>
  <c r="AU46" i="30"/>
  <c r="AV46" i="30"/>
  <c r="AW46" i="30"/>
  <c r="AX46" i="30"/>
  <c r="AY46" i="30"/>
  <c r="AZ46" i="30"/>
  <c r="BA46" i="30"/>
  <c r="BB46" i="30"/>
  <c r="AT47" i="30"/>
  <c r="AU47" i="30"/>
  <c r="AV47" i="30"/>
  <c r="AW47" i="30"/>
  <c r="AX47" i="30"/>
  <c r="AY47" i="30"/>
  <c r="AZ47" i="30"/>
  <c r="BA47" i="30"/>
  <c r="BB47" i="30"/>
  <c r="AT48" i="30"/>
  <c r="AU48" i="30"/>
  <c r="AV48" i="30"/>
  <c r="AW48" i="30"/>
  <c r="AX48" i="30"/>
  <c r="AY48" i="30"/>
  <c r="AZ48" i="30"/>
  <c r="BA48" i="30"/>
  <c r="BB48" i="30"/>
  <c r="BB10" i="30"/>
  <c r="BA10" i="30"/>
  <c r="AZ10" i="30"/>
  <c r="AY10" i="30"/>
  <c r="AX10" i="30"/>
  <c r="AW10" i="30"/>
  <c r="AV10" i="30"/>
  <c r="AU10" i="30"/>
  <c r="AT10" i="30"/>
  <c r="AT7" i="30"/>
  <c r="AT6" i="30"/>
  <c r="AI11" i="30"/>
  <c r="AJ11" i="30"/>
  <c r="AK11" i="30"/>
  <c r="AL11" i="30"/>
  <c r="AM11" i="30"/>
  <c r="AN11" i="30"/>
  <c r="AO11" i="30"/>
  <c r="AP11" i="30"/>
  <c r="AQ11" i="30"/>
  <c r="AI12" i="30"/>
  <c r="AJ12" i="30"/>
  <c r="AK12" i="30"/>
  <c r="AL12" i="30"/>
  <c r="AM12" i="30"/>
  <c r="AN12" i="30"/>
  <c r="AO12" i="30"/>
  <c r="AP12" i="30"/>
  <c r="AQ12" i="30"/>
  <c r="AI13" i="30"/>
  <c r="AJ13" i="30"/>
  <c r="AK13" i="30"/>
  <c r="AL13" i="30"/>
  <c r="AM13" i="30"/>
  <c r="AN13" i="30"/>
  <c r="AO13" i="30"/>
  <c r="AP13" i="30"/>
  <c r="AQ13" i="30"/>
  <c r="AI14" i="30"/>
  <c r="AJ14" i="30"/>
  <c r="AK14" i="30"/>
  <c r="AL14" i="30"/>
  <c r="AM14" i="30"/>
  <c r="AN14" i="30"/>
  <c r="AO14" i="30"/>
  <c r="AP14" i="30"/>
  <c r="AQ14" i="30"/>
  <c r="AI15" i="30"/>
  <c r="AJ15" i="30"/>
  <c r="AK15" i="30"/>
  <c r="AL15" i="30"/>
  <c r="AM15" i="30"/>
  <c r="AN15" i="30"/>
  <c r="AO15" i="30"/>
  <c r="AP15" i="30"/>
  <c r="AQ15" i="30"/>
  <c r="AI16" i="30"/>
  <c r="AJ16" i="30"/>
  <c r="AK16" i="30"/>
  <c r="AL16" i="30"/>
  <c r="AM16" i="30"/>
  <c r="AN16" i="30"/>
  <c r="AO16" i="30"/>
  <c r="AP16" i="30"/>
  <c r="AQ16" i="30"/>
  <c r="AI17" i="30"/>
  <c r="AJ17" i="30"/>
  <c r="AK17" i="30"/>
  <c r="AL17" i="30"/>
  <c r="AM17" i="30"/>
  <c r="AN17" i="30"/>
  <c r="AO17" i="30"/>
  <c r="AP17" i="30"/>
  <c r="AQ17" i="30"/>
  <c r="AI18" i="30"/>
  <c r="AJ18" i="30"/>
  <c r="AK18" i="30"/>
  <c r="AL18" i="30"/>
  <c r="AM18" i="30"/>
  <c r="AN18" i="30"/>
  <c r="AO18" i="30"/>
  <c r="AP18" i="30"/>
  <c r="AQ18" i="30"/>
  <c r="AI19" i="30"/>
  <c r="AJ19" i="30"/>
  <c r="AK19" i="30"/>
  <c r="AL19" i="30"/>
  <c r="AM19" i="30"/>
  <c r="AN19" i="30"/>
  <c r="AO19" i="30"/>
  <c r="AP19" i="30"/>
  <c r="AQ19" i="30"/>
  <c r="AI20" i="30"/>
  <c r="AJ20" i="30"/>
  <c r="AK20" i="30"/>
  <c r="AL20" i="30"/>
  <c r="AM20" i="30"/>
  <c r="AN20" i="30"/>
  <c r="AO20" i="30"/>
  <c r="AP20" i="30"/>
  <c r="AQ20" i="30"/>
  <c r="AI21" i="30"/>
  <c r="AJ21" i="30"/>
  <c r="AK21" i="30"/>
  <c r="AL21" i="30"/>
  <c r="AM21" i="30"/>
  <c r="AN21" i="30"/>
  <c r="AO21" i="30"/>
  <c r="AP21" i="30"/>
  <c r="AQ21" i="30"/>
  <c r="AI22" i="30"/>
  <c r="AJ22" i="30"/>
  <c r="AK22" i="30"/>
  <c r="AL22" i="30"/>
  <c r="AM22" i="30"/>
  <c r="AN22" i="30"/>
  <c r="AO22" i="30"/>
  <c r="AP22" i="30"/>
  <c r="AQ22" i="30"/>
  <c r="AI23" i="30"/>
  <c r="AJ23" i="30"/>
  <c r="AK23" i="30"/>
  <c r="AL23" i="30"/>
  <c r="AM23" i="30"/>
  <c r="AN23" i="30"/>
  <c r="AO23" i="30"/>
  <c r="AP23" i="30"/>
  <c r="AQ23" i="30"/>
  <c r="AI24" i="30"/>
  <c r="AJ24" i="30"/>
  <c r="AK24" i="30"/>
  <c r="AL24" i="30"/>
  <c r="AM24" i="30"/>
  <c r="AN24" i="30"/>
  <c r="AO24" i="30"/>
  <c r="AP24" i="30"/>
  <c r="AQ24" i="30"/>
  <c r="AI25" i="30"/>
  <c r="AJ25" i="30"/>
  <c r="AK25" i="30"/>
  <c r="AL25" i="30"/>
  <c r="AM25" i="30"/>
  <c r="AN25" i="30"/>
  <c r="AO25" i="30"/>
  <c r="AP25" i="30"/>
  <c r="AQ25" i="30"/>
  <c r="AI26" i="30"/>
  <c r="AJ26" i="30"/>
  <c r="AK26" i="30"/>
  <c r="AL26" i="30"/>
  <c r="AM26" i="30"/>
  <c r="AN26" i="30"/>
  <c r="AO26" i="30"/>
  <c r="AP26" i="30"/>
  <c r="AQ26" i="30"/>
  <c r="AI27" i="30"/>
  <c r="AJ27" i="30"/>
  <c r="AK27" i="30"/>
  <c r="AL27" i="30"/>
  <c r="AM27" i="30"/>
  <c r="AN27" i="30"/>
  <c r="AO27" i="30"/>
  <c r="AP27" i="30"/>
  <c r="AQ27" i="30"/>
  <c r="AI28" i="30"/>
  <c r="AJ28" i="30"/>
  <c r="AK28" i="30"/>
  <c r="AL28" i="30"/>
  <c r="AM28" i="30"/>
  <c r="AN28" i="30"/>
  <c r="AO28" i="30"/>
  <c r="AP28" i="30"/>
  <c r="AQ28" i="30"/>
  <c r="AI29" i="30"/>
  <c r="AJ29" i="30"/>
  <c r="AK29" i="30"/>
  <c r="AL29" i="30"/>
  <c r="AM29" i="30"/>
  <c r="AN29" i="30"/>
  <c r="AO29" i="30"/>
  <c r="AP29" i="30"/>
  <c r="AQ29" i="30"/>
  <c r="AI30" i="30"/>
  <c r="AJ30" i="30"/>
  <c r="AK30" i="30"/>
  <c r="AL30" i="30"/>
  <c r="AM30" i="30"/>
  <c r="AN30" i="30"/>
  <c r="AO30" i="30"/>
  <c r="AP30" i="30"/>
  <c r="AQ30" i="30"/>
  <c r="AI31" i="30"/>
  <c r="AJ31" i="30"/>
  <c r="AK31" i="30"/>
  <c r="AL31" i="30"/>
  <c r="AM31" i="30"/>
  <c r="AN31" i="30"/>
  <c r="AO31" i="30"/>
  <c r="AP31" i="30"/>
  <c r="AQ31" i="30"/>
  <c r="AI32" i="30"/>
  <c r="AJ32" i="30"/>
  <c r="AK32" i="30"/>
  <c r="AL32" i="30"/>
  <c r="AM32" i="30"/>
  <c r="AN32" i="30"/>
  <c r="AO32" i="30"/>
  <c r="AP32" i="30"/>
  <c r="AQ32" i="30"/>
  <c r="AI33" i="30"/>
  <c r="AJ33" i="30"/>
  <c r="AK33" i="30"/>
  <c r="AL33" i="30"/>
  <c r="AM33" i="30"/>
  <c r="AN33" i="30"/>
  <c r="AO33" i="30"/>
  <c r="AP33" i="30"/>
  <c r="AQ33" i="30"/>
  <c r="AI34" i="30"/>
  <c r="AJ34" i="30"/>
  <c r="AK34" i="30"/>
  <c r="AL34" i="30"/>
  <c r="AM34" i="30"/>
  <c r="AN34" i="30"/>
  <c r="AO34" i="30"/>
  <c r="AP34" i="30"/>
  <c r="AQ34" i="30"/>
  <c r="AI35" i="30"/>
  <c r="AJ35" i="30"/>
  <c r="AK35" i="30"/>
  <c r="AL35" i="30"/>
  <c r="AM35" i="30"/>
  <c r="AN35" i="30"/>
  <c r="AO35" i="30"/>
  <c r="AP35" i="30"/>
  <c r="AQ35" i="30"/>
  <c r="AI36" i="30"/>
  <c r="AJ36" i="30"/>
  <c r="AK36" i="30"/>
  <c r="AL36" i="30"/>
  <c r="AM36" i="30"/>
  <c r="AN36" i="30"/>
  <c r="AO36" i="30"/>
  <c r="AP36" i="30"/>
  <c r="AQ36" i="30"/>
  <c r="AI37" i="30"/>
  <c r="AJ37" i="30"/>
  <c r="AK37" i="30"/>
  <c r="AL37" i="30"/>
  <c r="AM37" i="30"/>
  <c r="AN37" i="30"/>
  <c r="AO37" i="30"/>
  <c r="AP37" i="30"/>
  <c r="AQ37" i="30"/>
  <c r="AI38" i="30"/>
  <c r="AJ38" i="30"/>
  <c r="AK38" i="30"/>
  <c r="AL38" i="30"/>
  <c r="AM38" i="30"/>
  <c r="AN38" i="30"/>
  <c r="AO38" i="30"/>
  <c r="AP38" i="30"/>
  <c r="AQ38" i="30"/>
  <c r="AI39" i="30"/>
  <c r="AJ39" i="30"/>
  <c r="AK39" i="30"/>
  <c r="AL39" i="30"/>
  <c r="AM39" i="30"/>
  <c r="AN39" i="30"/>
  <c r="AO39" i="30"/>
  <c r="AP39" i="30"/>
  <c r="AQ39" i="30"/>
  <c r="AI40" i="30"/>
  <c r="AJ40" i="30"/>
  <c r="AK40" i="30"/>
  <c r="AL40" i="30"/>
  <c r="AM40" i="30"/>
  <c r="AN40" i="30"/>
  <c r="AO40" i="30"/>
  <c r="AP40" i="30"/>
  <c r="AQ40" i="30"/>
  <c r="AI41" i="30"/>
  <c r="AJ41" i="30"/>
  <c r="AK41" i="30"/>
  <c r="AL41" i="30"/>
  <c r="AM41" i="30"/>
  <c r="AN41" i="30"/>
  <c r="AO41" i="30"/>
  <c r="AP41" i="30"/>
  <c r="AQ41" i="30"/>
  <c r="AI42" i="30"/>
  <c r="AJ42" i="30"/>
  <c r="AK42" i="30"/>
  <c r="AL42" i="30"/>
  <c r="AM42" i="30"/>
  <c r="AN42" i="30"/>
  <c r="AO42" i="30"/>
  <c r="AP42" i="30"/>
  <c r="AQ42" i="30"/>
  <c r="AI43" i="30"/>
  <c r="AJ43" i="30"/>
  <c r="AK43" i="30"/>
  <c r="AL43" i="30"/>
  <c r="AM43" i="30"/>
  <c r="AN43" i="30"/>
  <c r="AO43" i="30"/>
  <c r="AP43" i="30"/>
  <c r="AQ43" i="30"/>
  <c r="AI44" i="30"/>
  <c r="AJ44" i="30"/>
  <c r="AK44" i="30"/>
  <c r="AL44" i="30"/>
  <c r="AM44" i="30"/>
  <c r="AN44" i="30"/>
  <c r="AO44" i="30"/>
  <c r="AP44" i="30"/>
  <c r="AQ44" i="30"/>
  <c r="AI45" i="30"/>
  <c r="AJ45" i="30"/>
  <c r="AK45" i="30"/>
  <c r="AL45" i="30"/>
  <c r="AM45" i="30"/>
  <c r="AN45" i="30"/>
  <c r="AO45" i="30"/>
  <c r="AP45" i="30"/>
  <c r="AQ45" i="30"/>
  <c r="AI46" i="30"/>
  <c r="AJ46" i="30"/>
  <c r="AK46" i="30"/>
  <c r="AL46" i="30"/>
  <c r="AM46" i="30"/>
  <c r="AN46" i="30"/>
  <c r="AO46" i="30"/>
  <c r="AP46" i="30"/>
  <c r="AQ46" i="30"/>
  <c r="AI47" i="30"/>
  <c r="AJ47" i="30"/>
  <c r="AK47" i="30"/>
  <c r="AL47" i="30"/>
  <c r="AM47" i="30"/>
  <c r="AN47" i="30"/>
  <c r="AO47" i="30"/>
  <c r="AP47" i="30"/>
  <c r="AQ47" i="30"/>
  <c r="AI48" i="30"/>
  <c r="AJ48" i="30"/>
  <c r="AK48" i="30"/>
  <c r="AL48" i="30"/>
  <c r="AM48" i="30"/>
  <c r="AN48" i="30"/>
  <c r="AO48" i="30"/>
  <c r="AP48" i="30"/>
  <c r="AQ48" i="30"/>
  <c r="AI49" i="30"/>
  <c r="AJ49" i="30"/>
  <c r="AK49" i="30"/>
  <c r="AL49" i="30"/>
  <c r="AM49" i="30"/>
  <c r="AN49" i="30"/>
  <c r="AO49" i="30"/>
  <c r="AP49" i="30"/>
  <c r="AQ49" i="30"/>
  <c r="AQ10" i="30"/>
  <c r="AP10" i="30"/>
  <c r="AO10" i="30"/>
  <c r="AN10" i="30"/>
  <c r="AM10" i="30"/>
  <c r="AL10" i="30"/>
  <c r="AK10" i="30"/>
  <c r="AJ10" i="30"/>
  <c r="AI10" i="30"/>
  <c r="AI7" i="30"/>
  <c r="AI6" i="30"/>
  <c r="M11" i="30"/>
  <c r="N11" i="30"/>
  <c r="O11" i="30"/>
  <c r="P11" i="30"/>
  <c r="Q11" i="30"/>
  <c r="R11" i="30"/>
  <c r="S11" i="30"/>
  <c r="T11" i="30"/>
  <c r="U11" i="30"/>
  <c r="M12" i="30"/>
  <c r="N12" i="30"/>
  <c r="O12" i="30"/>
  <c r="P12" i="30"/>
  <c r="Q12" i="30"/>
  <c r="R12" i="30"/>
  <c r="S12" i="30"/>
  <c r="T12" i="30"/>
  <c r="U12" i="30"/>
  <c r="M13" i="30"/>
  <c r="N13" i="30"/>
  <c r="O13" i="30"/>
  <c r="P13" i="30"/>
  <c r="Q13" i="30"/>
  <c r="R13" i="30"/>
  <c r="S13" i="30"/>
  <c r="T13" i="30"/>
  <c r="U13" i="30"/>
  <c r="M14" i="30"/>
  <c r="N14" i="30"/>
  <c r="O14" i="30"/>
  <c r="P14" i="30"/>
  <c r="Q14" i="30"/>
  <c r="R14" i="30"/>
  <c r="S14" i="30"/>
  <c r="T14" i="30"/>
  <c r="U14" i="30"/>
  <c r="M15" i="30"/>
  <c r="N15" i="30"/>
  <c r="O15" i="30"/>
  <c r="P15" i="30"/>
  <c r="Q15" i="30"/>
  <c r="R15" i="30"/>
  <c r="S15" i="30"/>
  <c r="T15" i="30"/>
  <c r="U15" i="30"/>
  <c r="M16" i="30"/>
  <c r="N16" i="30"/>
  <c r="O16" i="30"/>
  <c r="P16" i="30"/>
  <c r="Q16" i="30"/>
  <c r="R16" i="30"/>
  <c r="S16" i="30"/>
  <c r="T16" i="30"/>
  <c r="U16" i="30"/>
  <c r="M17" i="30"/>
  <c r="N17" i="30"/>
  <c r="O17" i="30"/>
  <c r="P17" i="30"/>
  <c r="Q17" i="30"/>
  <c r="R17" i="30"/>
  <c r="S17" i="30"/>
  <c r="T17" i="30"/>
  <c r="U17" i="30"/>
  <c r="M18" i="30"/>
  <c r="N18" i="30"/>
  <c r="O18" i="30"/>
  <c r="P18" i="30"/>
  <c r="Q18" i="30"/>
  <c r="R18" i="30"/>
  <c r="S18" i="30"/>
  <c r="T18" i="30"/>
  <c r="U18" i="30"/>
  <c r="M19" i="30"/>
  <c r="N19" i="30"/>
  <c r="O19" i="30"/>
  <c r="P19" i="30"/>
  <c r="Q19" i="30"/>
  <c r="R19" i="30"/>
  <c r="S19" i="30"/>
  <c r="T19" i="30"/>
  <c r="U19" i="30"/>
  <c r="M20" i="30"/>
  <c r="N20" i="30"/>
  <c r="O20" i="30"/>
  <c r="P20" i="30"/>
  <c r="Q20" i="30"/>
  <c r="R20" i="30"/>
  <c r="S20" i="30"/>
  <c r="T20" i="30"/>
  <c r="U20" i="30"/>
  <c r="M21" i="30"/>
  <c r="N21" i="30"/>
  <c r="O21" i="30"/>
  <c r="P21" i="30"/>
  <c r="Q21" i="30"/>
  <c r="R21" i="30"/>
  <c r="S21" i="30"/>
  <c r="T21" i="30"/>
  <c r="U21" i="30"/>
  <c r="M22" i="30"/>
  <c r="N22" i="30"/>
  <c r="O22" i="30"/>
  <c r="P22" i="30"/>
  <c r="Q22" i="30"/>
  <c r="R22" i="30"/>
  <c r="S22" i="30"/>
  <c r="T22" i="30"/>
  <c r="U22" i="30"/>
  <c r="M23" i="30"/>
  <c r="N23" i="30"/>
  <c r="O23" i="30"/>
  <c r="P23" i="30"/>
  <c r="Q23" i="30"/>
  <c r="R23" i="30"/>
  <c r="S23" i="30"/>
  <c r="T23" i="30"/>
  <c r="U23" i="30"/>
  <c r="M24" i="30"/>
  <c r="N24" i="30"/>
  <c r="O24" i="30"/>
  <c r="P24" i="30"/>
  <c r="Q24" i="30"/>
  <c r="R24" i="30"/>
  <c r="S24" i="30"/>
  <c r="T24" i="30"/>
  <c r="U24" i="30"/>
  <c r="M25" i="30"/>
  <c r="N25" i="30"/>
  <c r="O25" i="30"/>
  <c r="P25" i="30"/>
  <c r="Q25" i="30"/>
  <c r="R25" i="30"/>
  <c r="S25" i="30"/>
  <c r="T25" i="30"/>
  <c r="U25" i="30"/>
  <c r="M26" i="30"/>
  <c r="N26" i="30"/>
  <c r="O26" i="30"/>
  <c r="P26" i="30"/>
  <c r="Q26" i="30"/>
  <c r="R26" i="30"/>
  <c r="S26" i="30"/>
  <c r="T26" i="30"/>
  <c r="U26" i="30"/>
  <c r="M27" i="30"/>
  <c r="N27" i="30"/>
  <c r="O27" i="30"/>
  <c r="P27" i="30"/>
  <c r="Q27" i="30"/>
  <c r="R27" i="30"/>
  <c r="S27" i="30"/>
  <c r="T27" i="30"/>
  <c r="U27" i="30"/>
  <c r="M28" i="30"/>
  <c r="N28" i="30"/>
  <c r="O28" i="30"/>
  <c r="P28" i="30"/>
  <c r="Q28" i="30"/>
  <c r="R28" i="30"/>
  <c r="S28" i="30"/>
  <c r="T28" i="30"/>
  <c r="U28" i="30"/>
  <c r="M29" i="30"/>
  <c r="N29" i="30"/>
  <c r="O29" i="30"/>
  <c r="P29" i="30"/>
  <c r="Q29" i="30"/>
  <c r="R29" i="30"/>
  <c r="S29" i="30"/>
  <c r="T29" i="30"/>
  <c r="U29" i="30"/>
  <c r="M30" i="30"/>
  <c r="N30" i="30"/>
  <c r="O30" i="30"/>
  <c r="P30" i="30"/>
  <c r="Q30" i="30"/>
  <c r="R30" i="30"/>
  <c r="S30" i="30"/>
  <c r="T30" i="30"/>
  <c r="U30" i="30"/>
  <c r="M31" i="30"/>
  <c r="N31" i="30"/>
  <c r="O31" i="30"/>
  <c r="P31" i="30"/>
  <c r="Q31" i="30"/>
  <c r="R31" i="30"/>
  <c r="S31" i="30"/>
  <c r="T31" i="30"/>
  <c r="U31" i="30"/>
  <c r="M32" i="30"/>
  <c r="N32" i="30"/>
  <c r="O32" i="30"/>
  <c r="P32" i="30"/>
  <c r="Q32" i="30"/>
  <c r="R32" i="30"/>
  <c r="S32" i="30"/>
  <c r="T32" i="30"/>
  <c r="U32" i="30"/>
  <c r="M33" i="30"/>
  <c r="N33" i="30"/>
  <c r="O33" i="30"/>
  <c r="P33" i="30"/>
  <c r="Q33" i="30"/>
  <c r="R33" i="30"/>
  <c r="S33" i="30"/>
  <c r="T33" i="30"/>
  <c r="U33" i="30"/>
  <c r="M34" i="30"/>
  <c r="N34" i="30"/>
  <c r="O34" i="30"/>
  <c r="P34" i="30"/>
  <c r="Q34" i="30"/>
  <c r="R34" i="30"/>
  <c r="S34" i="30"/>
  <c r="T34" i="30"/>
  <c r="U34" i="30"/>
  <c r="M35" i="30"/>
  <c r="N35" i="30"/>
  <c r="O35" i="30"/>
  <c r="P35" i="30"/>
  <c r="Q35" i="30"/>
  <c r="R35" i="30"/>
  <c r="S35" i="30"/>
  <c r="T35" i="30"/>
  <c r="U35" i="30"/>
  <c r="M36" i="30"/>
  <c r="N36" i="30"/>
  <c r="O36" i="30"/>
  <c r="P36" i="30"/>
  <c r="Q36" i="30"/>
  <c r="R36" i="30"/>
  <c r="S36" i="30"/>
  <c r="T36" i="30"/>
  <c r="U36" i="30"/>
  <c r="M37" i="30"/>
  <c r="N37" i="30"/>
  <c r="O37" i="30"/>
  <c r="P37" i="30"/>
  <c r="Q37" i="30"/>
  <c r="R37" i="30"/>
  <c r="S37" i="30"/>
  <c r="T37" i="30"/>
  <c r="U37" i="30"/>
  <c r="M38" i="30"/>
  <c r="N38" i="30"/>
  <c r="O38" i="30"/>
  <c r="P38" i="30"/>
  <c r="Q38" i="30"/>
  <c r="R38" i="30"/>
  <c r="S38" i="30"/>
  <c r="T38" i="30"/>
  <c r="U38" i="30"/>
  <c r="M39" i="30"/>
  <c r="N39" i="30"/>
  <c r="O39" i="30"/>
  <c r="P39" i="30"/>
  <c r="Q39" i="30"/>
  <c r="R39" i="30"/>
  <c r="S39" i="30"/>
  <c r="T39" i="30"/>
  <c r="U39" i="30"/>
  <c r="M40" i="30"/>
  <c r="N40" i="30"/>
  <c r="O40" i="30"/>
  <c r="P40" i="30"/>
  <c r="Q40" i="30"/>
  <c r="R40" i="30"/>
  <c r="S40" i="30"/>
  <c r="T40" i="30"/>
  <c r="U40" i="30"/>
  <c r="M41" i="30"/>
  <c r="N41" i="30"/>
  <c r="O41" i="30"/>
  <c r="P41" i="30"/>
  <c r="Q41" i="30"/>
  <c r="R41" i="30"/>
  <c r="S41" i="30"/>
  <c r="T41" i="30"/>
  <c r="U41" i="30"/>
  <c r="M42" i="30"/>
  <c r="N42" i="30"/>
  <c r="O42" i="30"/>
  <c r="P42" i="30"/>
  <c r="Q42" i="30"/>
  <c r="R42" i="30"/>
  <c r="S42" i="30"/>
  <c r="T42" i="30"/>
  <c r="U42" i="30"/>
  <c r="M43" i="30"/>
  <c r="N43" i="30"/>
  <c r="O43" i="30"/>
  <c r="P43" i="30"/>
  <c r="Q43" i="30"/>
  <c r="R43" i="30"/>
  <c r="S43" i="30"/>
  <c r="T43" i="30"/>
  <c r="U43" i="30"/>
  <c r="M44" i="30"/>
  <c r="N44" i="30"/>
  <c r="O44" i="30"/>
  <c r="P44" i="30"/>
  <c r="Q44" i="30"/>
  <c r="R44" i="30"/>
  <c r="S44" i="30"/>
  <c r="T44" i="30"/>
  <c r="U44" i="30"/>
  <c r="M45" i="30"/>
  <c r="N45" i="30"/>
  <c r="O45" i="30"/>
  <c r="P45" i="30"/>
  <c r="Q45" i="30"/>
  <c r="R45" i="30"/>
  <c r="S45" i="30"/>
  <c r="T45" i="30"/>
  <c r="U45" i="30"/>
  <c r="M46" i="30"/>
  <c r="N46" i="30"/>
  <c r="O46" i="30"/>
  <c r="P46" i="30"/>
  <c r="Q46" i="30"/>
  <c r="R46" i="30"/>
  <c r="S46" i="30"/>
  <c r="T46" i="30"/>
  <c r="U46" i="30"/>
  <c r="M47" i="30"/>
  <c r="N47" i="30"/>
  <c r="O47" i="30"/>
  <c r="P47" i="30"/>
  <c r="Q47" i="30"/>
  <c r="R47" i="30"/>
  <c r="S47" i="30"/>
  <c r="T47" i="30"/>
  <c r="U47" i="30"/>
  <c r="M48" i="30"/>
  <c r="N48" i="30"/>
  <c r="O48" i="30"/>
  <c r="P48" i="30"/>
  <c r="Q48" i="30"/>
  <c r="R48" i="30"/>
  <c r="S48" i="30"/>
  <c r="T48" i="30"/>
  <c r="U48" i="30"/>
  <c r="M49" i="30"/>
  <c r="N49" i="30"/>
  <c r="O49" i="30"/>
  <c r="P49" i="30"/>
  <c r="Q49" i="30"/>
  <c r="R49" i="30"/>
  <c r="S49" i="30"/>
  <c r="T49" i="30"/>
  <c r="U49" i="30"/>
  <c r="U10" i="30"/>
  <c r="T10" i="30"/>
  <c r="S10" i="30"/>
  <c r="R10" i="30"/>
  <c r="Q10" i="30"/>
  <c r="P10" i="30"/>
  <c r="O10" i="30"/>
  <c r="N10" i="30"/>
  <c r="M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J10" i="30"/>
  <c r="I10" i="30"/>
  <c r="H10" i="30"/>
  <c r="G10" i="30"/>
  <c r="F10" i="30"/>
  <c r="E10" i="30"/>
  <c r="D10" i="30"/>
  <c r="C10" i="30"/>
  <c r="B10" i="30"/>
  <c r="X11" i="30"/>
  <c r="Y11" i="30"/>
  <c r="Z11" i="30"/>
  <c r="AA11" i="30"/>
  <c r="AB11" i="30"/>
  <c r="AC11" i="30"/>
  <c r="AD11" i="30"/>
  <c r="AE11" i="30"/>
  <c r="AF11" i="30"/>
  <c r="X12" i="30"/>
  <c r="Y12" i="30"/>
  <c r="Z12" i="30"/>
  <c r="AA12" i="30"/>
  <c r="AB12" i="30"/>
  <c r="AC12" i="30"/>
  <c r="AD12" i="30"/>
  <c r="AE12" i="30"/>
  <c r="AF12" i="30"/>
  <c r="X13" i="30"/>
  <c r="Y13" i="30"/>
  <c r="Z13" i="30"/>
  <c r="AA13" i="30"/>
  <c r="AB13" i="30"/>
  <c r="AC13" i="30"/>
  <c r="AD13" i="30"/>
  <c r="AE13" i="30"/>
  <c r="AF13" i="30"/>
  <c r="X14" i="30"/>
  <c r="Y14" i="30"/>
  <c r="Z14" i="30"/>
  <c r="AA14" i="30"/>
  <c r="AB14" i="30"/>
  <c r="AC14" i="30"/>
  <c r="AD14" i="30"/>
  <c r="AE14" i="30"/>
  <c r="AF14" i="30"/>
  <c r="X15" i="30"/>
  <c r="Y15" i="30"/>
  <c r="Z15" i="30"/>
  <c r="AA15" i="30"/>
  <c r="AB15" i="30"/>
  <c r="AC15" i="30"/>
  <c r="AD15" i="30"/>
  <c r="AE15" i="30"/>
  <c r="AF15" i="30"/>
  <c r="X16" i="30"/>
  <c r="Y16" i="30"/>
  <c r="Z16" i="30"/>
  <c r="AA16" i="30"/>
  <c r="AB16" i="30"/>
  <c r="AC16" i="30"/>
  <c r="AD16" i="30"/>
  <c r="AE16" i="30"/>
  <c r="AF16" i="30"/>
  <c r="X17" i="30"/>
  <c r="Y17" i="30"/>
  <c r="Z17" i="30"/>
  <c r="AA17" i="30"/>
  <c r="AB17" i="30"/>
  <c r="AC17" i="30"/>
  <c r="AD17" i="30"/>
  <c r="AE17" i="30"/>
  <c r="AF17" i="30"/>
  <c r="X18" i="30"/>
  <c r="Y18" i="30"/>
  <c r="Z18" i="30"/>
  <c r="AA18" i="30"/>
  <c r="AB18" i="30"/>
  <c r="AC18" i="30"/>
  <c r="AD18" i="30"/>
  <c r="AE18" i="30"/>
  <c r="AF18" i="30"/>
  <c r="X19" i="30"/>
  <c r="Y19" i="30"/>
  <c r="Z19" i="30"/>
  <c r="AA19" i="30"/>
  <c r="AB19" i="30"/>
  <c r="AC19" i="30"/>
  <c r="AD19" i="30"/>
  <c r="AE19" i="30"/>
  <c r="AF19" i="30"/>
  <c r="X20" i="30"/>
  <c r="Y20" i="30"/>
  <c r="Z20" i="30"/>
  <c r="AA20" i="30"/>
  <c r="AB20" i="30"/>
  <c r="AC20" i="30"/>
  <c r="AD20" i="30"/>
  <c r="AE20" i="30"/>
  <c r="AF20" i="30"/>
  <c r="X21" i="30"/>
  <c r="Y21" i="30"/>
  <c r="Z21" i="30"/>
  <c r="AA21" i="30"/>
  <c r="AB21" i="30"/>
  <c r="AC21" i="30"/>
  <c r="AD21" i="30"/>
  <c r="AE21" i="30"/>
  <c r="AF21" i="30"/>
  <c r="X22" i="30"/>
  <c r="Y22" i="30"/>
  <c r="Z22" i="30"/>
  <c r="AA22" i="30"/>
  <c r="AB22" i="30"/>
  <c r="AC22" i="30"/>
  <c r="AD22" i="30"/>
  <c r="AE22" i="30"/>
  <c r="AF22" i="30"/>
  <c r="X23" i="30"/>
  <c r="Y23" i="30"/>
  <c r="Z23" i="30"/>
  <c r="AA23" i="30"/>
  <c r="AB23" i="30"/>
  <c r="AC23" i="30"/>
  <c r="AD23" i="30"/>
  <c r="AE23" i="30"/>
  <c r="AF23" i="30"/>
  <c r="X24" i="30"/>
  <c r="Y24" i="30"/>
  <c r="Z24" i="30"/>
  <c r="AA24" i="30"/>
  <c r="AB24" i="30"/>
  <c r="AC24" i="30"/>
  <c r="AD24" i="30"/>
  <c r="AE24" i="30"/>
  <c r="AF24" i="30"/>
  <c r="X25" i="30"/>
  <c r="Y25" i="30"/>
  <c r="Z25" i="30"/>
  <c r="AA25" i="30"/>
  <c r="AB25" i="30"/>
  <c r="AC25" i="30"/>
  <c r="AD25" i="30"/>
  <c r="AE25" i="30"/>
  <c r="AF25" i="30"/>
  <c r="X26" i="30"/>
  <c r="Y26" i="30"/>
  <c r="Z26" i="30"/>
  <c r="AA26" i="30"/>
  <c r="AB26" i="30"/>
  <c r="AC26" i="30"/>
  <c r="AD26" i="30"/>
  <c r="AE26" i="30"/>
  <c r="AF26" i="30"/>
  <c r="X27" i="30"/>
  <c r="Y27" i="30"/>
  <c r="Z27" i="30"/>
  <c r="AA27" i="30"/>
  <c r="AB27" i="30"/>
  <c r="AC27" i="30"/>
  <c r="AD27" i="30"/>
  <c r="AE27" i="30"/>
  <c r="AF27" i="30"/>
  <c r="X28" i="30"/>
  <c r="Y28" i="30"/>
  <c r="Z28" i="30"/>
  <c r="AA28" i="30"/>
  <c r="AB28" i="30"/>
  <c r="AC28" i="30"/>
  <c r="AD28" i="30"/>
  <c r="AE28" i="30"/>
  <c r="AF28" i="30"/>
  <c r="X29" i="30"/>
  <c r="Y29" i="30"/>
  <c r="Z29" i="30"/>
  <c r="AA29" i="30"/>
  <c r="AB29" i="30"/>
  <c r="AC29" i="30"/>
  <c r="AD29" i="30"/>
  <c r="AE29" i="30"/>
  <c r="AF29" i="30"/>
  <c r="X30" i="30"/>
  <c r="Y30" i="30"/>
  <c r="Z30" i="30"/>
  <c r="AA30" i="30"/>
  <c r="AB30" i="30"/>
  <c r="AC30" i="30"/>
  <c r="AD30" i="30"/>
  <c r="AE30" i="30"/>
  <c r="AF30" i="30"/>
  <c r="X31" i="30"/>
  <c r="Y31" i="30"/>
  <c r="Z31" i="30"/>
  <c r="AA31" i="30"/>
  <c r="AB31" i="30"/>
  <c r="AC31" i="30"/>
  <c r="AD31" i="30"/>
  <c r="AE31" i="30"/>
  <c r="AF31" i="30"/>
  <c r="X32" i="30"/>
  <c r="Y32" i="30"/>
  <c r="Z32" i="30"/>
  <c r="AA32" i="30"/>
  <c r="AB32" i="30"/>
  <c r="AC32" i="30"/>
  <c r="AD32" i="30"/>
  <c r="AE32" i="30"/>
  <c r="AF32" i="30"/>
  <c r="X33" i="30"/>
  <c r="Y33" i="30"/>
  <c r="Z33" i="30"/>
  <c r="AA33" i="30"/>
  <c r="AB33" i="30"/>
  <c r="AC33" i="30"/>
  <c r="AD33" i="30"/>
  <c r="AE33" i="30"/>
  <c r="AF33" i="30"/>
  <c r="X34" i="30"/>
  <c r="Y34" i="30"/>
  <c r="Z34" i="30"/>
  <c r="AA34" i="30"/>
  <c r="AB34" i="30"/>
  <c r="AC34" i="30"/>
  <c r="AD34" i="30"/>
  <c r="AE34" i="30"/>
  <c r="AF34" i="30"/>
  <c r="X35" i="30"/>
  <c r="Y35" i="30"/>
  <c r="Z35" i="30"/>
  <c r="AA35" i="30"/>
  <c r="AB35" i="30"/>
  <c r="AC35" i="30"/>
  <c r="AD35" i="30"/>
  <c r="AE35" i="30"/>
  <c r="AF35" i="30"/>
  <c r="X36" i="30"/>
  <c r="Y36" i="30"/>
  <c r="Z36" i="30"/>
  <c r="AA36" i="30"/>
  <c r="AB36" i="30"/>
  <c r="AC36" i="30"/>
  <c r="AD36" i="30"/>
  <c r="AE36" i="30"/>
  <c r="AF36" i="30"/>
  <c r="X37" i="30"/>
  <c r="Y37" i="30"/>
  <c r="Z37" i="30"/>
  <c r="AA37" i="30"/>
  <c r="AB37" i="30"/>
  <c r="AC37" i="30"/>
  <c r="AD37" i="30"/>
  <c r="AE37" i="30"/>
  <c r="AF37" i="30"/>
  <c r="X38" i="30"/>
  <c r="Y38" i="30"/>
  <c r="Z38" i="30"/>
  <c r="AA38" i="30"/>
  <c r="AB38" i="30"/>
  <c r="AC38" i="30"/>
  <c r="AD38" i="30"/>
  <c r="AE38" i="30"/>
  <c r="AF38" i="30"/>
  <c r="X39" i="30"/>
  <c r="Y39" i="30"/>
  <c r="Z39" i="30"/>
  <c r="AA39" i="30"/>
  <c r="AB39" i="30"/>
  <c r="AC39" i="30"/>
  <c r="AD39" i="30"/>
  <c r="AE39" i="30"/>
  <c r="AF39" i="30"/>
  <c r="X40" i="30"/>
  <c r="Y40" i="30"/>
  <c r="Z40" i="30"/>
  <c r="AA40" i="30"/>
  <c r="AB40" i="30"/>
  <c r="AC40" i="30"/>
  <c r="AD40" i="30"/>
  <c r="AE40" i="30"/>
  <c r="AF40" i="30"/>
  <c r="X41" i="30"/>
  <c r="Y41" i="30"/>
  <c r="Z41" i="30"/>
  <c r="AA41" i="30"/>
  <c r="AB41" i="30"/>
  <c r="AC41" i="30"/>
  <c r="AD41" i="30"/>
  <c r="AE41" i="30"/>
  <c r="AF41" i="30"/>
  <c r="X42" i="30"/>
  <c r="Y42" i="30"/>
  <c r="Z42" i="30"/>
  <c r="AA42" i="30"/>
  <c r="AB42" i="30"/>
  <c r="AC42" i="30"/>
  <c r="AD42" i="30"/>
  <c r="AE42" i="30"/>
  <c r="AF42" i="30"/>
  <c r="X43" i="30"/>
  <c r="Y43" i="30"/>
  <c r="Z43" i="30"/>
  <c r="AA43" i="30"/>
  <c r="AB43" i="30"/>
  <c r="AC43" i="30"/>
  <c r="AD43" i="30"/>
  <c r="AE43" i="30"/>
  <c r="AF43" i="30"/>
  <c r="X44" i="30"/>
  <c r="Y44" i="30"/>
  <c r="Z44" i="30"/>
  <c r="AA44" i="30"/>
  <c r="AB44" i="30"/>
  <c r="AC44" i="30"/>
  <c r="AD44" i="30"/>
  <c r="AE44" i="30"/>
  <c r="AF44" i="30"/>
  <c r="X45" i="30"/>
  <c r="Y45" i="30"/>
  <c r="Z45" i="30"/>
  <c r="AA45" i="30"/>
  <c r="AB45" i="30"/>
  <c r="AC45" i="30"/>
  <c r="AD45" i="30"/>
  <c r="AE45" i="30"/>
  <c r="AF45" i="30"/>
  <c r="X46" i="30"/>
  <c r="Y46" i="30"/>
  <c r="Z46" i="30"/>
  <c r="AA46" i="30"/>
  <c r="AB46" i="30"/>
  <c r="AC46" i="30"/>
  <c r="AD46" i="30"/>
  <c r="AE46" i="30"/>
  <c r="AF46" i="30"/>
  <c r="X47" i="30"/>
  <c r="Y47" i="30"/>
  <c r="Z47" i="30"/>
  <c r="AA47" i="30"/>
  <c r="AB47" i="30"/>
  <c r="AC47" i="30"/>
  <c r="AD47" i="30"/>
  <c r="AE47" i="30"/>
  <c r="AF47" i="30"/>
  <c r="X48" i="30"/>
  <c r="Y48" i="30"/>
  <c r="Z48" i="30"/>
  <c r="AA48" i="30"/>
  <c r="AB48" i="30"/>
  <c r="AC48" i="30"/>
  <c r="AD48" i="30"/>
  <c r="AE48" i="30"/>
  <c r="AF48" i="30"/>
  <c r="X49" i="30"/>
  <c r="Y49" i="30"/>
  <c r="Z49" i="30"/>
  <c r="AA49" i="30"/>
  <c r="AB49" i="30"/>
  <c r="AC49" i="30"/>
  <c r="AD49" i="30"/>
  <c r="AE49" i="30"/>
  <c r="AF49" i="30"/>
  <c r="AF10" i="30"/>
  <c r="AE10" i="30"/>
  <c r="AD10" i="30"/>
  <c r="AC10" i="30"/>
  <c r="AB10" i="30"/>
  <c r="AA10" i="30"/>
  <c r="Z10" i="30"/>
  <c r="Y10" i="30"/>
  <c r="X10" i="30"/>
  <c r="X7" i="30"/>
  <c r="X6" i="30"/>
  <c r="M7" i="30"/>
  <c r="M6" i="30"/>
  <c r="B7" i="30"/>
  <c r="B6" i="30"/>
  <c r="AG115" i="30" l="1"/>
  <c r="AH115" i="30" s="1"/>
  <c r="AG125" i="30"/>
  <c r="AH125" i="30" s="1"/>
  <c r="V144" i="30"/>
  <c r="W144" i="30" s="1"/>
  <c r="BN154" i="30"/>
  <c r="BO154" i="30" s="1"/>
  <c r="K136" i="30"/>
  <c r="V152" i="30"/>
  <c r="W152" i="30" s="1"/>
  <c r="BN146" i="30"/>
  <c r="BO146" i="30" s="1"/>
  <c r="BC130" i="30"/>
  <c r="BD130" i="30" s="1"/>
  <c r="AG123" i="30"/>
  <c r="AH123" i="30" s="1"/>
  <c r="K118" i="30"/>
  <c r="AR149" i="30"/>
  <c r="AS149" i="30" s="1"/>
  <c r="BC120" i="30"/>
  <c r="BD120" i="30" s="1"/>
  <c r="BC138" i="30"/>
  <c r="BD138" i="30" s="1"/>
  <c r="K163" i="30"/>
  <c r="AG141" i="30"/>
  <c r="AH141" i="30" s="1"/>
  <c r="AG133" i="30"/>
  <c r="AH133" i="30" s="1"/>
  <c r="K128" i="30"/>
  <c r="K122" i="30"/>
  <c r="V156" i="30"/>
  <c r="W156" i="30" s="1"/>
  <c r="AR145" i="30"/>
  <c r="AS145" i="30" s="1"/>
  <c r="BC60" i="30"/>
  <c r="BD60" i="30" s="1"/>
  <c r="AR153" i="30"/>
  <c r="AS153" i="30" s="1"/>
  <c r="BC134" i="30"/>
  <c r="BD134" i="30" s="1"/>
  <c r="K10" i="30"/>
  <c r="K165" i="30"/>
  <c r="BC164" i="30"/>
  <c r="BD164" i="30" s="1"/>
  <c r="AG164" i="30"/>
  <c r="AH164" i="30" s="1"/>
  <c r="K164" i="30"/>
  <c r="BN161" i="30"/>
  <c r="BO161" i="30" s="1"/>
  <c r="AR155" i="30"/>
  <c r="AS155" i="30" s="1"/>
  <c r="AR154" i="30"/>
  <c r="AS154" i="30" s="1"/>
  <c r="AG154" i="30"/>
  <c r="AH154" i="30" s="1"/>
  <c r="AR151" i="30"/>
  <c r="AS151" i="30" s="1"/>
  <c r="BN150" i="30"/>
  <c r="BO150" i="30" s="1"/>
  <c r="K148" i="30"/>
  <c r="BN144" i="30"/>
  <c r="BO144" i="30" s="1"/>
  <c r="BN143" i="30"/>
  <c r="BO143" i="30" s="1"/>
  <c r="BC143" i="30"/>
  <c r="BD143" i="30" s="1"/>
  <c r="BC136" i="30"/>
  <c r="BD136" i="30" s="1"/>
  <c r="BC132" i="30"/>
  <c r="BD132" i="30" s="1"/>
  <c r="K132" i="30"/>
  <c r="K126" i="30"/>
  <c r="BC122" i="30"/>
  <c r="BD122" i="30" s="1"/>
  <c r="AG122" i="30"/>
  <c r="AH122" i="30" s="1"/>
  <c r="V119" i="30"/>
  <c r="W119" i="30" s="1"/>
  <c r="BN118" i="30"/>
  <c r="BO118" i="30" s="1"/>
  <c r="K116" i="30"/>
  <c r="BN165" i="30"/>
  <c r="BC165" i="30"/>
  <c r="V165" i="30"/>
  <c r="AG162" i="30"/>
  <c r="AH162" i="30" s="1"/>
  <c r="BN152" i="30"/>
  <c r="BO152" i="30" s="1"/>
  <c r="BN151" i="30"/>
  <c r="BO151" i="30" s="1"/>
  <c r="BC151" i="30"/>
  <c r="BD151" i="30" s="1"/>
  <c r="BN148" i="30"/>
  <c r="BO148" i="30" s="1"/>
  <c r="V148" i="30"/>
  <c r="W148" i="30" s="1"/>
  <c r="AG145" i="30"/>
  <c r="AH145" i="30" s="1"/>
  <c r="BC140" i="30"/>
  <c r="BD140" i="30" s="1"/>
  <c r="K140" i="30"/>
  <c r="K134" i="30"/>
  <c r="K130" i="30"/>
  <c r="AG129" i="30"/>
  <c r="AH129" i="30" s="1"/>
  <c r="K124" i="30"/>
  <c r="K120" i="30"/>
  <c r="BC119" i="30"/>
  <c r="BD119" i="30" s="1"/>
  <c r="AG119" i="30"/>
  <c r="AH119" i="30" s="1"/>
  <c r="AR116" i="30"/>
  <c r="AS116" i="30" s="1"/>
  <c r="V116" i="30"/>
  <c r="W116" i="30" s="1"/>
  <c r="AG90" i="30"/>
  <c r="AH90" i="30" s="1"/>
  <c r="BC87" i="30"/>
  <c r="BD87" i="30" s="1"/>
  <c r="BC72" i="30"/>
  <c r="K70" i="30"/>
  <c r="BC163" i="30"/>
  <c r="BD163" i="30" s="1"/>
  <c r="AR162" i="30"/>
  <c r="AS162" i="30" s="1"/>
  <c r="BN156" i="30"/>
  <c r="BO156" i="30" s="1"/>
  <c r="AG153" i="30"/>
  <c r="AH153" i="30" s="1"/>
  <c r="V150" i="30"/>
  <c r="W150" i="30" s="1"/>
  <c r="V149" i="30"/>
  <c r="W149" i="30" s="1"/>
  <c r="K149" i="30"/>
  <c r="V146" i="30"/>
  <c r="W146" i="30" s="1"/>
  <c r="K142" i="30"/>
  <c r="K138" i="30"/>
  <c r="AG137" i="30"/>
  <c r="AH137" i="30" s="1"/>
  <c r="AG131" i="30"/>
  <c r="AH131" i="30" s="1"/>
  <c r="AG127" i="30"/>
  <c r="AH127" i="30" s="1"/>
  <c r="BC126" i="30"/>
  <c r="BD126" i="30" s="1"/>
  <c r="V124" i="30"/>
  <c r="W124" i="30" s="1"/>
  <c r="AG121" i="30"/>
  <c r="AH121" i="30" s="1"/>
  <c r="AG117" i="30"/>
  <c r="AH117" i="30" s="1"/>
  <c r="BC116" i="30"/>
  <c r="BD116" i="30" s="1"/>
  <c r="V164" i="30"/>
  <c r="W164" i="30" s="1"/>
  <c r="K157" i="30"/>
  <c r="V154" i="30"/>
  <c r="W154" i="30" s="1"/>
  <c r="BC150" i="30"/>
  <c r="BD150" i="30" s="1"/>
  <c r="AR147" i="30"/>
  <c r="AS147" i="30" s="1"/>
  <c r="AR146" i="30"/>
  <c r="AS146" i="30" s="1"/>
  <c r="AG146" i="30"/>
  <c r="AH146" i="30" s="1"/>
  <c r="AR143" i="30"/>
  <c r="AS143" i="30" s="1"/>
  <c r="AR142" i="30"/>
  <c r="AS142" i="30" s="1"/>
  <c r="AG139" i="30"/>
  <c r="AH139" i="30" s="1"/>
  <c r="AG135" i="30"/>
  <c r="AH135" i="30" s="1"/>
  <c r="BC128" i="30"/>
  <c r="BD128" i="30" s="1"/>
  <c r="BC124" i="30"/>
  <c r="BD124" i="30" s="1"/>
  <c r="BN121" i="30"/>
  <c r="BO121" i="30" s="1"/>
  <c r="AR121" i="30"/>
  <c r="AS121" i="30" s="1"/>
  <c r="BC118" i="30"/>
  <c r="BD118" i="30" s="1"/>
  <c r="BC117" i="30"/>
  <c r="BD117" i="30" s="1"/>
  <c r="K115" i="30"/>
  <c r="BN115" i="30"/>
  <c r="BO115" i="30" s="1"/>
  <c r="AR115" i="30"/>
  <c r="AS115" i="30" s="1"/>
  <c r="AR161" i="30"/>
  <c r="AS161" i="30" s="1"/>
  <c r="V160" i="30"/>
  <c r="W160" i="30" s="1"/>
  <c r="AR159" i="30"/>
  <c r="AS159" i="30" s="1"/>
  <c r="V158" i="30"/>
  <c r="W158" i="30" s="1"/>
  <c r="AR157" i="30"/>
  <c r="AS157" i="30" s="1"/>
  <c r="BC153" i="30"/>
  <c r="BD153" i="30" s="1"/>
  <c r="BC152" i="30"/>
  <c r="BD152" i="30" s="1"/>
  <c r="K151" i="30"/>
  <c r="K150" i="30"/>
  <c r="AR148" i="30"/>
  <c r="AS148" i="30" s="1"/>
  <c r="AG148" i="30"/>
  <c r="AH148" i="30" s="1"/>
  <c r="BN145" i="30"/>
  <c r="BO145" i="30" s="1"/>
  <c r="V143" i="30"/>
  <c r="W143" i="30" s="1"/>
  <c r="BC142" i="30"/>
  <c r="BD142" i="30" s="1"/>
  <c r="BC121" i="30"/>
  <c r="BD121" i="30" s="1"/>
  <c r="V121" i="30"/>
  <c r="W121" i="30" s="1"/>
  <c r="BC66" i="30"/>
  <c r="BD66" i="30" s="1"/>
  <c r="K64" i="30"/>
  <c r="AR165" i="30"/>
  <c r="BN163" i="30"/>
  <c r="BO163" i="30" s="1"/>
  <c r="AG163" i="30"/>
  <c r="AH163" i="30" s="1"/>
  <c r="BN162" i="30"/>
  <c r="BO162" i="30" s="1"/>
  <c r="BN155" i="30"/>
  <c r="BO155" i="30" s="1"/>
  <c r="BC155" i="30"/>
  <c r="BD155" i="30" s="1"/>
  <c r="BC154" i="30"/>
  <c r="BD154" i="30" s="1"/>
  <c r="V153" i="30"/>
  <c r="W153" i="30" s="1"/>
  <c r="K153" i="30"/>
  <c r="K152" i="30"/>
  <c r="AR150" i="30"/>
  <c r="AS150" i="30" s="1"/>
  <c r="AG150" i="30"/>
  <c r="AH150" i="30" s="1"/>
  <c r="AG149" i="30"/>
  <c r="AH149" i="30" s="1"/>
  <c r="BN147" i="30"/>
  <c r="BO147" i="30" s="1"/>
  <c r="BC147" i="30"/>
  <c r="BD147" i="30" s="1"/>
  <c r="BC146" i="30"/>
  <c r="BD146" i="30" s="1"/>
  <c r="V145" i="30"/>
  <c r="W145" i="30" s="1"/>
  <c r="K145" i="30"/>
  <c r="K144" i="30"/>
  <c r="BC123" i="30"/>
  <c r="BD123" i="30" s="1"/>
  <c r="V123" i="30"/>
  <c r="W123" i="30" s="1"/>
  <c r="BN122" i="30"/>
  <c r="BO122" i="30" s="1"/>
  <c r="K121" i="30"/>
  <c r="AR120" i="30"/>
  <c r="AS120" i="30" s="1"/>
  <c r="V120" i="30"/>
  <c r="W120" i="30" s="1"/>
  <c r="BN117" i="30"/>
  <c r="BO117" i="30" s="1"/>
  <c r="AR117" i="30"/>
  <c r="AS117" i="30" s="1"/>
  <c r="AG116" i="30"/>
  <c r="AH116" i="30" s="1"/>
  <c r="V115" i="30"/>
  <c r="W115" i="30" s="1"/>
  <c r="K76" i="30"/>
  <c r="K58" i="30"/>
  <c r="AR164" i="30"/>
  <c r="AS164" i="30" s="1"/>
  <c r="AR163" i="30"/>
  <c r="AS163" i="30" s="1"/>
  <c r="BN160" i="30"/>
  <c r="BO160" i="30" s="1"/>
  <c r="BN158" i="30"/>
  <c r="BO158" i="30" s="1"/>
  <c r="AG155" i="30"/>
  <c r="AH155" i="30" s="1"/>
  <c r="BN153" i="30"/>
  <c r="BO153" i="30" s="1"/>
  <c r="V151" i="30"/>
  <c r="W151" i="30" s="1"/>
  <c r="AG147" i="30"/>
  <c r="AH147" i="30" s="1"/>
  <c r="BC145" i="30"/>
  <c r="BD145" i="30" s="1"/>
  <c r="BC144" i="30"/>
  <c r="BD144" i="30" s="1"/>
  <c r="BN123" i="30"/>
  <c r="BO123" i="30" s="1"/>
  <c r="AR123" i="30"/>
  <c r="AS123" i="30" s="1"/>
  <c r="BN120" i="30"/>
  <c r="BO120" i="30" s="1"/>
  <c r="K119" i="30"/>
  <c r="AR118" i="30"/>
  <c r="AS118" i="30" s="1"/>
  <c r="V118" i="30"/>
  <c r="W118" i="30" s="1"/>
  <c r="K117" i="30"/>
  <c r="K82" i="30"/>
  <c r="AG79" i="30"/>
  <c r="AH79" i="30" s="1"/>
  <c r="AG165" i="30"/>
  <c r="BN164" i="30"/>
  <c r="BO164" i="30" s="1"/>
  <c r="V163" i="30"/>
  <c r="W163" i="30" s="1"/>
  <c r="BC162" i="30"/>
  <c r="BD162" i="30" s="1"/>
  <c r="V162" i="30"/>
  <c r="W162" i="30" s="1"/>
  <c r="BC161" i="30"/>
  <c r="BD161" i="30" s="1"/>
  <c r="V161" i="30"/>
  <c r="W161" i="30" s="1"/>
  <c r="AR160" i="30"/>
  <c r="AS160" i="30" s="1"/>
  <c r="BN159" i="30"/>
  <c r="BO159" i="30" s="1"/>
  <c r="V159" i="30"/>
  <c r="W159" i="30" s="1"/>
  <c r="AR158" i="30"/>
  <c r="AS158" i="30" s="1"/>
  <c r="BN157" i="30"/>
  <c r="BO157" i="30" s="1"/>
  <c r="V157" i="30"/>
  <c r="W157" i="30" s="1"/>
  <c r="V155" i="30"/>
  <c r="W155" i="30" s="1"/>
  <c r="K155" i="30"/>
  <c r="K154" i="30"/>
  <c r="AR152" i="30"/>
  <c r="AS152" i="30" s="1"/>
  <c r="AG152" i="30"/>
  <c r="AH152" i="30" s="1"/>
  <c r="AG151" i="30"/>
  <c r="AH151" i="30" s="1"/>
  <c r="BN149" i="30"/>
  <c r="BO149" i="30" s="1"/>
  <c r="BC149" i="30"/>
  <c r="BD149" i="30" s="1"/>
  <c r="BC148" i="30"/>
  <c r="BD148" i="30" s="1"/>
  <c r="V147" i="30"/>
  <c r="W147" i="30" s="1"/>
  <c r="K147" i="30"/>
  <c r="K146" i="30"/>
  <c r="AR144" i="30"/>
  <c r="AS144" i="30" s="1"/>
  <c r="AG144" i="30"/>
  <c r="AH144" i="30" s="1"/>
  <c r="AG143" i="30"/>
  <c r="AH143" i="30" s="1"/>
  <c r="K123" i="30"/>
  <c r="AR122" i="30"/>
  <c r="AS122" i="30" s="1"/>
  <c r="V122" i="30"/>
  <c r="W122" i="30" s="1"/>
  <c r="AG120" i="30"/>
  <c r="AH120" i="30" s="1"/>
  <c r="BN119" i="30"/>
  <c r="BO119" i="30" s="1"/>
  <c r="AR119" i="30"/>
  <c r="AS119" i="30" s="1"/>
  <c r="AG118" i="30"/>
  <c r="AH118" i="30" s="1"/>
  <c r="V117" i="30"/>
  <c r="W117" i="30" s="1"/>
  <c r="BN116" i="30"/>
  <c r="BO116" i="30" s="1"/>
  <c r="BC115" i="30"/>
  <c r="BD115" i="30" s="1"/>
  <c r="AR156" i="30"/>
  <c r="AS156" i="30" s="1"/>
  <c r="K156" i="30"/>
  <c r="K162" i="30"/>
  <c r="AG156" i="30"/>
  <c r="AH156" i="30" s="1"/>
  <c r="BC156" i="30"/>
  <c r="BD156" i="30" s="1"/>
  <c r="AG161" i="30"/>
  <c r="AH161" i="30" s="1"/>
  <c r="K161" i="30"/>
  <c r="BC160" i="30"/>
  <c r="BD160" i="30" s="1"/>
  <c r="AG160" i="30"/>
  <c r="AH160" i="30" s="1"/>
  <c r="K160" i="30"/>
  <c r="BC159" i="30"/>
  <c r="BD159" i="30" s="1"/>
  <c r="AG159" i="30"/>
  <c r="AH159" i="30" s="1"/>
  <c r="K159" i="30"/>
  <c r="BC158" i="30"/>
  <c r="BD158" i="30" s="1"/>
  <c r="AG158" i="30"/>
  <c r="AH158" i="30" s="1"/>
  <c r="K158" i="30"/>
  <c r="BC157" i="30"/>
  <c r="BD157" i="30" s="1"/>
  <c r="AG157" i="30"/>
  <c r="AH157" i="30" s="1"/>
  <c r="BC141" i="30"/>
  <c r="BD141" i="30" s="1"/>
  <c r="AR141" i="30"/>
  <c r="AS141" i="30" s="1"/>
  <c r="AG140" i="30"/>
  <c r="AH140" i="30" s="1"/>
  <c r="V140" i="30"/>
  <c r="W140" i="30" s="1"/>
  <c r="K139" i="30"/>
  <c r="BN138" i="30"/>
  <c r="BO138" i="30" s="1"/>
  <c r="BC137" i="30"/>
  <c r="BD137" i="30" s="1"/>
  <c r="AR137" i="30"/>
  <c r="AS137" i="30" s="1"/>
  <c r="AG136" i="30"/>
  <c r="AH136" i="30" s="1"/>
  <c r="V136" i="30"/>
  <c r="W136" i="30" s="1"/>
  <c r="K135" i="30"/>
  <c r="BN134" i="30"/>
  <c r="BO134" i="30" s="1"/>
  <c r="BC133" i="30"/>
  <c r="BD133" i="30" s="1"/>
  <c r="AR133" i="30"/>
  <c r="AS133" i="30" s="1"/>
  <c r="AG132" i="30"/>
  <c r="AH132" i="30" s="1"/>
  <c r="V132" i="30"/>
  <c r="W132" i="30" s="1"/>
  <c r="K131" i="30"/>
  <c r="BN130" i="30"/>
  <c r="BO130" i="30" s="1"/>
  <c r="BC129" i="30"/>
  <c r="BD129" i="30" s="1"/>
  <c r="AR129" i="30"/>
  <c r="AS129" i="30" s="1"/>
  <c r="AG128" i="30"/>
  <c r="AH128" i="30" s="1"/>
  <c r="V128" i="30"/>
  <c r="W128" i="30" s="1"/>
  <c r="K127" i="30"/>
  <c r="BN126" i="30"/>
  <c r="BO126" i="30" s="1"/>
  <c r="BC125" i="30"/>
  <c r="BD125" i="30" s="1"/>
  <c r="AR125" i="30"/>
  <c r="AS125" i="30" s="1"/>
  <c r="AG124" i="30"/>
  <c r="AH124" i="30" s="1"/>
  <c r="V141" i="30"/>
  <c r="W141" i="30" s="1"/>
  <c r="BN139" i="30"/>
  <c r="BO139" i="30" s="1"/>
  <c r="AR138" i="30"/>
  <c r="AS138" i="30" s="1"/>
  <c r="V137" i="30"/>
  <c r="W137" i="30" s="1"/>
  <c r="BN135" i="30"/>
  <c r="BO135" i="30" s="1"/>
  <c r="AR134" i="30"/>
  <c r="AS134" i="30" s="1"/>
  <c r="V133" i="30"/>
  <c r="W133" i="30" s="1"/>
  <c r="BN131" i="30"/>
  <c r="BO131" i="30" s="1"/>
  <c r="AR130" i="30"/>
  <c r="AS130" i="30" s="1"/>
  <c r="V129" i="30"/>
  <c r="W129" i="30" s="1"/>
  <c r="BN127" i="30"/>
  <c r="BO127" i="30" s="1"/>
  <c r="AR126" i="30"/>
  <c r="AS126" i="30" s="1"/>
  <c r="V125" i="30"/>
  <c r="W125" i="30" s="1"/>
  <c r="K143" i="30"/>
  <c r="BN142" i="30"/>
  <c r="BO142" i="30" s="1"/>
  <c r="AG142" i="30"/>
  <c r="AH142" i="30" s="1"/>
  <c r="V142" i="30"/>
  <c r="W142" i="30" s="1"/>
  <c r="K141" i="30"/>
  <c r="BN140" i="30"/>
  <c r="BO140" i="30" s="1"/>
  <c r="BC139" i="30"/>
  <c r="BD139" i="30" s="1"/>
  <c r="AR139" i="30"/>
  <c r="AS139" i="30" s="1"/>
  <c r="AG138" i="30"/>
  <c r="AH138" i="30" s="1"/>
  <c r="V138" i="30"/>
  <c r="W138" i="30" s="1"/>
  <c r="K137" i="30"/>
  <c r="BN136" i="30"/>
  <c r="BO136" i="30" s="1"/>
  <c r="BC135" i="30"/>
  <c r="BD135" i="30" s="1"/>
  <c r="AR135" i="30"/>
  <c r="AS135" i="30" s="1"/>
  <c r="AG134" i="30"/>
  <c r="AH134" i="30" s="1"/>
  <c r="V134" i="30"/>
  <c r="W134" i="30" s="1"/>
  <c r="K133" i="30"/>
  <c r="BN132" i="30"/>
  <c r="BO132" i="30" s="1"/>
  <c r="BC131" i="30"/>
  <c r="BD131" i="30" s="1"/>
  <c r="AR131" i="30"/>
  <c r="AS131" i="30" s="1"/>
  <c r="AG130" i="30"/>
  <c r="AH130" i="30" s="1"/>
  <c r="V130" i="30"/>
  <c r="W130" i="30" s="1"/>
  <c r="K129" i="30"/>
  <c r="BN128" i="30"/>
  <c r="BO128" i="30" s="1"/>
  <c r="BC127" i="30"/>
  <c r="BD127" i="30" s="1"/>
  <c r="AR127" i="30"/>
  <c r="AS127" i="30" s="1"/>
  <c r="AG126" i="30"/>
  <c r="AH126" i="30" s="1"/>
  <c r="V126" i="30"/>
  <c r="W126" i="30" s="1"/>
  <c r="K125" i="30"/>
  <c r="BN124" i="30"/>
  <c r="BO124" i="30" s="1"/>
  <c r="BN141" i="30"/>
  <c r="BO141" i="30" s="1"/>
  <c r="AR140" i="30"/>
  <c r="AS140" i="30" s="1"/>
  <c r="V139" i="30"/>
  <c r="W139" i="30" s="1"/>
  <c r="BN137" i="30"/>
  <c r="BO137" i="30" s="1"/>
  <c r="AR136" i="30"/>
  <c r="AS136" i="30" s="1"/>
  <c r="V135" i="30"/>
  <c r="W135" i="30" s="1"/>
  <c r="BN133" i="30"/>
  <c r="BO133" i="30" s="1"/>
  <c r="AR132" i="30"/>
  <c r="AS132" i="30" s="1"/>
  <c r="V131" i="30"/>
  <c r="W131" i="30" s="1"/>
  <c r="BN129" i="30"/>
  <c r="BO129" i="30" s="1"/>
  <c r="AR128" i="30"/>
  <c r="AS128" i="30" s="1"/>
  <c r="V127" i="30"/>
  <c r="W127" i="30" s="1"/>
  <c r="BN125" i="30"/>
  <c r="BO125" i="30" s="1"/>
  <c r="AR124" i="30"/>
  <c r="AS124" i="30" s="1"/>
  <c r="BN114" i="30"/>
  <c r="BC114" i="30"/>
  <c r="AR114" i="30"/>
  <c r="AG114" i="30"/>
  <c r="V114" i="30"/>
  <c r="K114" i="30"/>
  <c r="BC89" i="30"/>
  <c r="BD89" i="30" s="1"/>
  <c r="K89" i="30"/>
  <c r="AG81" i="30"/>
  <c r="AH81" i="30" s="1"/>
  <c r="BC80" i="30"/>
  <c r="BD80" i="30" s="1"/>
  <c r="K74" i="30"/>
  <c r="AG65" i="30"/>
  <c r="AH65" i="30" s="1"/>
  <c r="AG63" i="30"/>
  <c r="AH63" i="30" s="1"/>
  <c r="AG61" i="30"/>
  <c r="AH61" i="30" s="1"/>
  <c r="K91" i="30"/>
  <c r="K87" i="30"/>
  <c r="AG86" i="30"/>
  <c r="AH86" i="30" s="1"/>
  <c r="BC82" i="30"/>
  <c r="BD82" i="30" s="1"/>
  <c r="K78" i="30"/>
  <c r="AG77" i="30"/>
  <c r="AH77" i="30" s="1"/>
  <c r="BC70" i="30"/>
  <c r="BD70" i="30" s="1"/>
  <c r="K62" i="30"/>
  <c r="K60" i="30"/>
  <c r="BC58" i="30"/>
  <c r="BD58" i="30" s="1"/>
  <c r="AG105" i="30"/>
  <c r="AH105" i="30" s="1"/>
  <c r="AG101" i="30"/>
  <c r="AH101" i="30" s="1"/>
  <c r="BC100" i="30"/>
  <c r="BD100" i="30" s="1"/>
  <c r="BC97" i="30"/>
  <c r="BD97" i="30" s="1"/>
  <c r="AG88" i="30"/>
  <c r="AH88" i="30" s="1"/>
  <c r="K80" i="30"/>
  <c r="BC78" i="30"/>
  <c r="BD78" i="30" s="1"/>
  <c r="AG75" i="30"/>
  <c r="AH75" i="30" s="1"/>
  <c r="BC74" i="30"/>
  <c r="BD74" i="30" s="1"/>
  <c r="AG69" i="30"/>
  <c r="AH69" i="30" s="1"/>
  <c r="AG67" i="30"/>
  <c r="AH67" i="30" s="1"/>
  <c r="AG59" i="30"/>
  <c r="AH59" i="30" s="1"/>
  <c r="AG16" i="30"/>
  <c r="AH16" i="30" s="1"/>
  <c r="K16" i="30"/>
  <c r="V37" i="30"/>
  <c r="W37" i="30" s="1"/>
  <c r="BC85" i="30"/>
  <c r="BD85" i="30" s="1"/>
  <c r="AG83" i="30"/>
  <c r="AH83" i="30" s="1"/>
  <c r="BC76" i="30"/>
  <c r="BD76" i="30" s="1"/>
  <c r="K72" i="30"/>
  <c r="AG71" i="30"/>
  <c r="AH71" i="30" s="1"/>
  <c r="BC68" i="30"/>
  <c r="BD68" i="30" s="1"/>
  <c r="K66" i="30"/>
  <c r="BC64" i="30"/>
  <c r="BD64" i="30" s="1"/>
  <c r="AG94" i="30"/>
  <c r="AH94" i="30" s="1"/>
  <c r="BC93" i="30"/>
  <c r="BD93" i="30" s="1"/>
  <c r="K93" i="30"/>
  <c r="AG92" i="30"/>
  <c r="AH92" i="30" s="1"/>
  <c r="BC91" i="30"/>
  <c r="BD91" i="30" s="1"/>
  <c r="AG57" i="30"/>
  <c r="K57" i="30"/>
  <c r="V89" i="30"/>
  <c r="W89" i="30" s="1"/>
  <c r="AR86" i="30"/>
  <c r="AS86" i="30" s="1"/>
  <c r="K84" i="30"/>
  <c r="V67" i="30"/>
  <c r="W67" i="30" s="1"/>
  <c r="BC62" i="30"/>
  <c r="BD62" i="30" s="1"/>
  <c r="AG107" i="30"/>
  <c r="BC106" i="30"/>
  <c r="BD106" i="30" s="1"/>
  <c r="K106" i="30"/>
  <c r="BC104" i="30"/>
  <c r="BD104" i="30" s="1"/>
  <c r="K104" i="30"/>
  <c r="BC102" i="30"/>
  <c r="BD102" i="30" s="1"/>
  <c r="K100" i="30"/>
  <c r="K99" i="30"/>
  <c r="AG98" i="30"/>
  <c r="AH98" i="30" s="1"/>
  <c r="AG96" i="30"/>
  <c r="AH96" i="30" s="1"/>
  <c r="BN107" i="30"/>
  <c r="AR107" i="30"/>
  <c r="V107" i="30"/>
  <c r="BN106" i="30"/>
  <c r="BO106" i="30" s="1"/>
  <c r="AR106" i="30"/>
  <c r="AS106" i="30" s="1"/>
  <c r="V106" i="30"/>
  <c r="W106" i="30" s="1"/>
  <c r="BN105" i="30"/>
  <c r="BO105" i="30" s="1"/>
  <c r="AR105" i="30"/>
  <c r="AS105" i="30" s="1"/>
  <c r="V105" i="30"/>
  <c r="W105" i="30" s="1"/>
  <c r="BN104" i="30"/>
  <c r="BO104" i="30" s="1"/>
  <c r="AR104" i="30"/>
  <c r="AS104" i="30" s="1"/>
  <c r="V104" i="30"/>
  <c r="W104" i="30" s="1"/>
  <c r="BN103" i="30"/>
  <c r="BO103" i="30" s="1"/>
  <c r="AR103" i="30"/>
  <c r="AS103" i="30" s="1"/>
  <c r="V103" i="30"/>
  <c r="W103" i="30" s="1"/>
  <c r="BN102" i="30"/>
  <c r="BO102" i="30" s="1"/>
  <c r="AR102" i="30"/>
  <c r="AS102" i="30" s="1"/>
  <c r="V102" i="30"/>
  <c r="W102" i="30" s="1"/>
  <c r="BN101" i="30"/>
  <c r="BO101" i="30" s="1"/>
  <c r="AR101" i="30"/>
  <c r="AS101" i="30" s="1"/>
  <c r="V101" i="30"/>
  <c r="W101" i="30" s="1"/>
  <c r="BN100" i="30"/>
  <c r="BO100" i="30" s="1"/>
  <c r="AR100" i="30"/>
  <c r="AS100" i="30" s="1"/>
  <c r="V100" i="30"/>
  <c r="W100" i="30" s="1"/>
  <c r="BN99" i="30"/>
  <c r="BO99" i="30" s="1"/>
  <c r="AG99" i="30"/>
  <c r="AH99" i="30" s="1"/>
  <c r="BC98" i="30"/>
  <c r="BD98" i="30" s="1"/>
  <c r="K98" i="30"/>
  <c r="AG97" i="30"/>
  <c r="AH97" i="30" s="1"/>
  <c r="BC96" i="30"/>
  <c r="BD96" i="30" s="1"/>
  <c r="K96" i="30"/>
  <c r="AG95" i="30"/>
  <c r="AH95" i="30" s="1"/>
  <c r="BC94" i="30"/>
  <c r="BD94" i="30" s="1"/>
  <c r="K94" i="30"/>
  <c r="AG93" i="30"/>
  <c r="AH93" i="30" s="1"/>
  <c r="BC92" i="30"/>
  <c r="BD92" i="30" s="1"/>
  <c r="K92" i="30"/>
  <c r="AG91" i="30"/>
  <c r="AH91" i="30" s="1"/>
  <c r="K68" i="30"/>
  <c r="AG103" i="30"/>
  <c r="AH103" i="30" s="1"/>
  <c r="K102" i="30"/>
  <c r="K97" i="30"/>
  <c r="BC95" i="30"/>
  <c r="BD95" i="30" s="1"/>
  <c r="K95" i="30"/>
  <c r="BC107" i="30"/>
  <c r="K107" i="30"/>
  <c r="AG106" i="30"/>
  <c r="AH106" i="30" s="1"/>
  <c r="BC105" i="30"/>
  <c r="BD105" i="30" s="1"/>
  <c r="K105" i="30"/>
  <c r="AG104" i="30"/>
  <c r="AH104" i="30" s="1"/>
  <c r="BC103" i="30"/>
  <c r="BD103" i="30" s="1"/>
  <c r="K103" i="30"/>
  <c r="AG102" i="30"/>
  <c r="AH102" i="30" s="1"/>
  <c r="BC101" i="30"/>
  <c r="BD101" i="30" s="1"/>
  <c r="K101" i="30"/>
  <c r="AG100" i="30"/>
  <c r="AH100" i="30" s="1"/>
  <c r="BC99" i="30"/>
  <c r="BD99" i="30" s="1"/>
  <c r="AR90" i="30"/>
  <c r="AS90" i="30" s="1"/>
  <c r="BN87" i="30"/>
  <c r="BO87" i="30" s="1"/>
  <c r="V85" i="30"/>
  <c r="W85" i="30" s="1"/>
  <c r="AG73" i="30"/>
  <c r="AH73" i="30" s="1"/>
  <c r="AR72" i="30"/>
  <c r="AR99" i="30"/>
  <c r="AS99" i="30" s="1"/>
  <c r="BN90" i="30"/>
  <c r="BO90" i="30" s="1"/>
  <c r="K90" i="30"/>
  <c r="AR89" i="30"/>
  <c r="AS89" i="30" s="1"/>
  <c r="BC88" i="30"/>
  <c r="BD88" i="30" s="1"/>
  <c r="V88" i="30"/>
  <c r="W88" i="30" s="1"/>
  <c r="AG87" i="30"/>
  <c r="AH87" i="30" s="1"/>
  <c r="BN86" i="30"/>
  <c r="BO86" i="30" s="1"/>
  <c r="K86" i="30"/>
  <c r="AR85" i="30"/>
  <c r="AS85" i="30" s="1"/>
  <c r="K85" i="30"/>
  <c r="AR84" i="30"/>
  <c r="AS84" i="30" s="1"/>
  <c r="V79" i="30"/>
  <c r="W79" i="30" s="1"/>
  <c r="BN73" i="30"/>
  <c r="BO73" i="30" s="1"/>
  <c r="AR68" i="30"/>
  <c r="AS68" i="30" s="1"/>
  <c r="V63" i="30"/>
  <c r="W63" i="30" s="1"/>
  <c r="AG58" i="30"/>
  <c r="AH58" i="30" s="1"/>
  <c r="BN57" i="30"/>
  <c r="V83" i="30"/>
  <c r="W83" i="30" s="1"/>
  <c r="BN61" i="30"/>
  <c r="BO61" i="30" s="1"/>
  <c r="V99" i="30"/>
  <c r="W99" i="30" s="1"/>
  <c r="BN98" i="30"/>
  <c r="BO98" i="30" s="1"/>
  <c r="AR98" i="30"/>
  <c r="AS98" i="30" s="1"/>
  <c r="V98" i="30"/>
  <c r="W98" i="30" s="1"/>
  <c r="BN97" i="30"/>
  <c r="BO97" i="30" s="1"/>
  <c r="AR97" i="30"/>
  <c r="AS97" i="30" s="1"/>
  <c r="V97" i="30"/>
  <c r="W97" i="30" s="1"/>
  <c r="BN96" i="30"/>
  <c r="BO96" i="30" s="1"/>
  <c r="AR96" i="30"/>
  <c r="AS96" i="30" s="1"/>
  <c r="V96" i="30"/>
  <c r="W96" i="30" s="1"/>
  <c r="BN95" i="30"/>
  <c r="BO95" i="30" s="1"/>
  <c r="AR95" i="30"/>
  <c r="AS95" i="30" s="1"/>
  <c r="V95" i="30"/>
  <c r="W95" i="30" s="1"/>
  <c r="BN94" i="30"/>
  <c r="BO94" i="30" s="1"/>
  <c r="AR94" i="30"/>
  <c r="AS94" i="30" s="1"/>
  <c r="V94" i="30"/>
  <c r="W94" i="30" s="1"/>
  <c r="BN93" i="30"/>
  <c r="BO93" i="30" s="1"/>
  <c r="AR93" i="30"/>
  <c r="AS93" i="30" s="1"/>
  <c r="V93" i="30"/>
  <c r="W93" i="30" s="1"/>
  <c r="BN92" i="30"/>
  <c r="BO92" i="30" s="1"/>
  <c r="AR92" i="30"/>
  <c r="AS92" i="30" s="1"/>
  <c r="V92" i="30"/>
  <c r="W92" i="30" s="1"/>
  <c r="BN91" i="30"/>
  <c r="BO91" i="30" s="1"/>
  <c r="AR91" i="30"/>
  <c r="AS91" i="30" s="1"/>
  <c r="V91" i="30"/>
  <c r="W91" i="30" s="1"/>
  <c r="BN89" i="30"/>
  <c r="BO89" i="30" s="1"/>
  <c r="AR88" i="30"/>
  <c r="AS88" i="30" s="1"/>
  <c r="V87" i="30"/>
  <c r="W87" i="30" s="1"/>
  <c r="BN85" i="30"/>
  <c r="BO85" i="30" s="1"/>
  <c r="BC84" i="30"/>
  <c r="BD84" i="30" s="1"/>
  <c r="AR80" i="30"/>
  <c r="AS80" i="30" s="1"/>
  <c r="V75" i="30"/>
  <c r="W75" i="30" s="1"/>
  <c r="BN69" i="30"/>
  <c r="BO69" i="30" s="1"/>
  <c r="AR64" i="30"/>
  <c r="AS64" i="30" s="1"/>
  <c r="V59" i="30"/>
  <c r="W59" i="30" s="1"/>
  <c r="BN77" i="30"/>
  <c r="BO77" i="30" s="1"/>
  <c r="BC90" i="30"/>
  <c r="BD90" i="30" s="1"/>
  <c r="V90" i="30"/>
  <c r="W90" i="30" s="1"/>
  <c r="AG89" i="30"/>
  <c r="AH89" i="30" s="1"/>
  <c r="BN88" i="30"/>
  <c r="BO88" i="30" s="1"/>
  <c r="K88" i="30"/>
  <c r="AR87" i="30"/>
  <c r="AS87" i="30" s="1"/>
  <c r="BC86" i="30"/>
  <c r="BD86" i="30" s="1"/>
  <c r="V86" i="30"/>
  <c r="W86" i="30" s="1"/>
  <c r="AG85" i="30"/>
  <c r="AH85" i="30" s="1"/>
  <c r="BN84" i="30"/>
  <c r="BO84" i="30" s="1"/>
  <c r="BN81" i="30"/>
  <c r="BO81" i="30" s="1"/>
  <c r="AR76" i="30"/>
  <c r="AS76" i="30" s="1"/>
  <c r="V71" i="30"/>
  <c r="W71" i="30" s="1"/>
  <c r="BN65" i="30"/>
  <c r="BO65" i="30" s="1"/>
  <c r="AR60" i="30"/>
  <c r="AS60" i="30" s="1"/>
  <c r="AG84" i="30"/>
  <c r="AH84" i="30" s="1"/>
  <c r="V84" i="30"/>
  <c r="W84" i="30" s="1"/>
  <c r="K83" i="30"/>
  <c r="BN82" i="30"/>
  <c r="BO82" i="30" s="1"/>
  <c r="BC81" i="30"/>
  <c r="BD81" i="30" s="1"/>
  <c r="AR81" i="30"/>
  <c r="AS81" i="30" s="1"/>
  <c r="AG80" i="30"/>
  <c r="AH80" i="30" s="1"/>
  <c r="V80" i="30"/>
  <c r="W80" i="30" s="1"/>
  <c r="K79" i="30"/>
  <c r="BN78" i="30"/>
  <c r="BO78" i="30" s="1"/>
  <c r="BC77" i="30"/>
  <c r="BD77" i="30" s="1"/>
  <c r="AR77" i="30"/>
  <c r="AS77" i="30" s="1"/>
  <c r="AG76" i="30"/>
  <c r="AH76" i="30" s="1"/>
  <c r="V76" i="30"/>
  <c r="W76" i="30" s="1"/>
  <c r="K75" i="30"/>
  <c r="BN74" i="30"/>
  <c r="BO74" i="30" s="1"/>
  <c r="BC73" i="30"/>
  <c r="BD73" i="30" s="1"/>
  <c r="AR73" i="30"/>
  <c r="AS73" i="30" s="1"/>
  <c r="AG72" i="30"/>
  <c r="V72" i="30"/>
  <c r="K71" i="30"/>
  <c r="BN70" i="30"/>
  <c r="BO70" i="30" s="1"/>
  <c r="BC69" i="30"/>
  <c r="BD69" i="30" s="1"/>
  <c r="AR69" i="30"/>
  <c r="AS69" i="30" s="1"/>
  <c r="AG68" i="30"/>
  <c r="AH68" i="30" s="1"/>
  <c r="V68" i="30"/>
  <c r="W68" i="30" s="1"/>
  <c r="K67" i="30"/>
  <c r="BN66" i="30"/>
  <c r="BO66" i="30" s="1"/>
  <c r="BC65" i="30"/>
  <c r="BD65" i="30" s="1"/>
  <c r="AR65" i="30"/>
  <c r="AS65" i="30" s="1"/>
  <c r="AG64" i="30"/>
  <c r="AH64" i="30" s="1"/>
  <c r="V64" i="30"/>
  <c r="W64" i="30" s="1"/>
  <c r="BN62" i="30"/>
  <c r="BO62" i="30" s="1"/>
  <c r="AG62" i="30"/>
  <c r="AH62" i="30" s="1"/>
  <c r="AR61" i="30"/>
  <c r="AS61" i="30" s="1"/>
  <c r="K61" i="30"/>
  <c r="V60" i="30"/>
  <c r="W60" i="30" s="1"/>
  <c r="BN58" i="30"/>
  <c r="BO58" i="30" s="1"/>
  <c r="AR57" i="30"/>
  <c r="BN83" i="30"/>
  <c r="BO83" i="30" s="1"/>
  <c r="AR82" i="30"/>
  <c r="AS82" i="30" s="1"/>
  <c r="V81" i="30"/>
  <c r="W81" i="30" s="1"/>
  <c r="BN79" i="30"/>
  <c r="BO79" i="30" s="1"/>
  <c r="AR78" i="30"/>
  <c r="AS78" i="30" s="1"/>
  <c r="V77" i="30"/>
  <c r="W77" i="30" s="1"/>
  <c r="BN75" i="30"/>
  <c r="BO75" i="30" s="1"/>
  <c r="AR74" i="30"/>
  <c r="AS74" i="30" s="1"/>
  <c r="V73" i="30"/>
  <c r="W73" i="30" s="1"/>
  <c r="BN71" i="30"/>
  <c r="BO71" i="30" s="1"/>
  <c r="AR70" i="30"/>
  <c r="AS70" i="30" s="1"/>
  <c r="V69" i="30"/>
  <c r="W69" i="30" s="1"/>
  <c r="BN67" i="30"/>
  <c r="BO67" i="30" s="1"/>
  <c r="AR66" i="30"/>
  <c r="AS66" i="30" s="1"/>
  <c r="V65" i="30"/>
  <c r="W65" i="30" s="1"/>
  <c r="BN63" i="30"/>
  <c r="BO63" i="30" s="1"/>
  <c r="AR62" i="30"/>
  <c r="AS62" i="30" s="1"/>
  <c r="V61" i="30"/>
  <c r="W61" i="30" s="1"/>
  <c r="BN59" i="30"/>
  <c r="BO59" i="30" s="1"/>
  <c r="K59" i="30"/>
  <c r="AR58" i="30"/>
  <c r="AS58" i="30" s="1"/>
  <c r="BC57" i="30"/>
  <c r="V57" i="30"/>
  <c r="BC83" i="30"/>
  <c r="BD83" i="30" s="1"/>
  <c r="AR83" i="30"/>
  <c r="AS83" i="30" s="1"/>
  <c r="AG82" i="30"/>
  <c r="AH82" i="30" s="1"/>
  <c r="V82" i="30"/>
  <c r="W82" i="30" s="1"/>
  <c r="K81" i="30"/>
  <c r="BN80" i="30"/>
  <c r="BO80" i="30" s="1"/>
  <c r="BC79" i="30"/>
  <c r="BD79" i="30" s="1"/>
  <c r="AR79" i="30"/>
  <c r="AS79" i="30" s="1"/>
  <c r="AG78" i="30"/>
  <c r="AH78" i="30" s="1"/>
  <c r="V78" i="30"/>
  <c r="W78" i="30" s="1"/>
  <c r="K77" i="30"/>
  <c r="BN76" i="30"/>
  <c r="BO76" i="30" s="1"/>
  <c r="BC75" i="30"/>
  <c r="BD75" i="30" s="1"/>
  <c r="AR75" i="30"/>
  <c r="AS75" i="30" s="1"/>
  <c r="AG74" i="30"/>
  <c r="AH74" i="30" s="1"/>
  <c r="V74" i="30"/>
  <c r="W74" i="30" s="1"/>
  <c r="K73" i="30"/>
  <c r="BN72" i="30"/>
  <c r="BC71" i="30"/>
  <c r="BD71" i="30" s="1"/>
  <c r="AR71" i="30"/>
  <c r="AS71" i="30" s="1"/>
  <c r="AG70" i="30"/>
  <c r="AH70" i="30" s="1"/>
  <c r="V70" i="30"/>
  <c r="W70" i="30" s="1"/>
  <c r="K69" i="30"/>
  <c r="BN68" i="30"/>
  <c r="BO68" i="30" s="1"/>
  <c r="BC67" i="30"/>
  <c r="BD67" i="30" s="1"/>
  <c r="AR67" i="30"/>
  <c r="AS67" i="30" s="1"/>
  <c r="AG66" i="30"/>
  <c r="AH66" i="30" s="1"/>
  <c r="V66" i="30"/>
  <c r="W66" i="30" s="1"/>
  <c r="K65" i="30"/>
  <c r="BN64" i="30"/>
  <c r="BO64" i="30" s="1"/>
  <c r="BC63" i="30"/>
  <c r="BD63" i="30" s="1"/>
  <c r="AR63" i="30"/>
  <c r="AS63" i="30" s="1"/>
  <c r="K63" i="30"/>
  <c r="V62" i="30"/>
  <c r="W62" i="30" s="1"/>
  <c r="BC61" i="30"/>
  <c r="BD61" i="30" s="1"/>
  <c r="BN60" i="30"/>
  <c r="BO60" i="30" s="1"/>
  <c r="AG60" i="30"/>
  <c r="AH60" i="30" s="1"/>
  <c r="BC59" i="30"/>
  <c r="BD59" i="30" s="1"/>
  <c r="AR59" i="30"/>
  <c r="AS59" i="30" s="1"/>
  <c r="V58" i="30"/>
  <c r="W58" i="30" s="1"/>
  <c r="BN56" i="30"/>
  <c r="BC56" i="30"/>
  <c r="AR56" i="30"/>
  <c r="AG56" i="30"/>
  <c r="V56" i="30"/>
  <c r="K56" i="30"/>
  <c r="BN28" i="30"/>
  <c r="BO28" i="30" s="1"/>
  <c r="AR44" i="30"/>
  <c r="AS44" i="30" s="1"/>
  <c r="BC43" i="30"/>
  <c r="BD43" i="30" s="1"/>
  <c r="BN44" i="30"/>
  <c r="BO44" i="30" s="1"/>
  <c r="BN12" i="30"/>
  <c r="BO12" i="30" s="1"/>
  <c r="AG40" i="30"/>
  <c r="AH40" i="30" s="1"/>
  <c r="AG28" i="30"/>
  <c r="AH28" i="30" s="1"/>
  <c r="AG24" i="30"/>
  <c r="AH24" i="30" s="1"/>
  <c r="AG12" i="30"/>
  <c r="AH12" i="30" s="1"/>
  <c r="K32" i="30"/>
  <c r="K28" i="30"/>
  <c r="K27" i="30"/>
  <c r="K14" i="30"/>
  <c r="V48" i="30"/>
  <c r="V47" i="30"/>
  <c r="W47" i="30" s="1"/>
  <c r="V42" i="30"/>
  <c r="W42" i="30" s="1"/>
  <c r="V31" i="30"/>
  <c r="W31" i="30" s="1"/>
  <c r="V26" i="30"/>
  <c r="W26" i="30" s="1"/>
  <c r="V16" i="30"/>
  <c r="W16" i="30" s="1"/>
  <c r="V15" i="30"/>
  <c r="W15" i="30" s="1"/>
  <c r="BC27" i="30"/>
  <c r="BD27" i="30" s="1"/>
  <c r="AR28" i="30"/>
  <c r="AS28" i="30" s="1"/>
  <c r="AR12" i="30"/>
  <c r="AS12" i="30" s="1"/>
  <c r="BN16" i="30"/>
  <c r="BO16" i="30" s="1"/>
  <c r="BN40" i="30"/>
  <c r="BO40" i="30" s="1"/>
  <c r="BN32" i="30"/>
  <c r="BO32" i="30" s="1"/>
  <c r="BN24" i="30"/>
  <c r="BO24" i="30" s="1"/>
  <c r="AG44" i="30"/>
  <c r="AH44" i="30" s="1"/>
  <c r="BC11" i="30"/>
  <c r="AG48" i="30"/>
  <c r="AG36" i="30"/>
  <c r="AH36" i="30" s="1"/>
  <c r="AG32" i="30"/>
  <c r="AH32" i="30" s="1"/>
  <c r="AG20" i="30"/>
  <c r="AH20" i="30" s="1"/>
  <c r="AG19" i="30"/>
  <c r="AH19" i="30" s="1"/>
  <c r="V32" i="30"/>
  <c r="W32" i="30" s="1"/>
  <c r="V21" i="30"/>
  <c r="W21" i="30" s="1"/>
  <c r="BN48" i="30"/>
  <c r="BN36" i="30"/>
  <c r="BO36" i="30" s="1"/>
  <c r="BN20" i="30"/>
  <c r="BO20" i="30" s="1"/>
  <c r="AR48" i="30"/>
  <c r="AR40" i="30"/>
  <c r="AS40" i="30" s="1"/>
  <c r="AR36" i="30"/>
  <c r="AS36" i="30" s="1"/>
  <c r="AR32" i="30"/>
  <c r="AS32" i="30" s="1"/>
  <c r="AR24" i="30"/>
  <c r="AS24" i="30" s="1"/>
  <c r="AR20" i="30"/>
  <c r="AS20" i="30" s="1"/>
  <c r="AR16" i="30"/>
  <c r="AS16" i="30" s="1"/>
  <c r="BC47" i="30"/>
  <c r="BD47" i="30" s="1"/>
  <c r="BC39" i="30"/>
  <c r="BD39" i="30" s="1"/>
  <c r="BC35" i="30"/>
  <c r="BD35" i="30" s="1"/>
  <c r="BC31" i="30"/>
  <c r="BD31" i="30" s="1"/>
  <c r="BC23" i="30"/>
  <c r="BD23" i="30" s="1"/>
  <c r="BC19" i="30"/>
  <c r="BD19" i="30" s="1"/>
  <c r="BC15" i="30"/>
  <c r="BD15" i="30" s="1"/>
  <c r="AG21" i="30"/>
  <c r="AH21" i="30" s="1"/>
  <c r="AG47" i="30"/>
  <c r="AH47" i="30" s="1"/>
  <c r="AG43" i="30"/>
  <c r="AH43" i="30" s="1"/>
  <c r="AG42" i="30"/>
  <c r="AH42" i="30" s="1"/>
  <c r="AG41" i="30"/>
  <c r="AH41" i="30" s="1"/>
  <c r="AG33" i="30"/>
  <c r="AH33" i="30" s="1"/>
  <c r="AG27" i="30"/>
  <c r="AH27" i="30" s="1"/>
  <c r="AG26" i="30"/>
  <c r="AH26" i="30" s="1"/>
  <c r="AG22" i="30"/>
  <c r="AH22" i="30" s="1"/>
  <c r="AG18" i="30"/>
  <c r="AH18" i="30" s="1"/>
  <c r="AG17" i="30"/>
  <c r="AH17" i="30" s="1"/>
  <c r="AG15" i="30"/>
  <c r="AH15" i="30" s="1"/>
  <c r="AG14" i="30"/>
  <c r="AG13" i="30"/>
  <c r="AH13" i="30" s="1"/>
  <c r="AG11" i="30"/>
  <c r="K48" i="30"/>
  <c r="K46" i="30"/>
  <c r="AG45" i="30"/>
  <c r="AH45" i="30" s="1"/>
  <c r="AG39" i="30"/>
  <c r="AH39" i="30" s="1"/>
  <c r="AG34" i="30"/>
  <c r="AH34" i="30" s="1"/>
  <c r="AG49" i="30"/>
  <c r="AG46" i="30"/>
  <c r="AH46" i="30" s="1"/>
  <c r="AG38" i="30"/>
  <c r="AH38" i="30" s="1"/>
  <c r="AG37" i="30"/>
  <c r="AH37" i="30" s="1"/>
  <c r="AG35" i="30"/>
  <c r="AH35" i="30" s="1"/>
  <c r="AG31" i="30"/>
  <c r="AH31" i="30" s="1"/>
  <c r="AG30" i="30"/>
  <c r="AH30" i="30" s="1"/>
  <c r="AG29" i="30"/>
  <c r="AH29" i="30" s="1"/>
  <c r="AG25" i="30"/>
  <c r="AH25" i="30" s="1"/>
  <c r="AG23" i="30"/>
  <c r="AH23" i="30" s="1"/>
  <c r="K26" i="30"/>
  <c r="K24" i="30"/>
  <c r="K23" i="30"/>
  <c r="K22" i="30"/>
  <c r="K20" i="30"/>
  <c r="K19" i="30"/>
  <c r="K15" i="30"/>
  <c r="K12" i="30"/>
  <c r="V49" i="30"/>
  <c r="V46" i="30"/>
  <c r="W46" i="30" s="1"/>
  <c r="V44" i="30"/>
  <c r="W44" i="30" s="1"/>
  <c r="V43" i="30"/>
  <c r="W43" i="30" s="1"/>
  <c r="V41" i="30"/>
  <c r="W41" i="30" s="1"/>
  <c r="V38" i="30"/>
  <c r="W38" i="30" s="1"/>
  <c r="V36" i="30"/>
  <c r="W36" i="30" s="1"/>
  <c r="V35" i="30"/>
  <c r="W35" i="30" s="1"/>
  <c r="V34" i="30"/>
  <c r="W34" i="30" s="1"/>
  <c r="V33" i="30"/>
  <c r="W33" i="30" s="1"/>
  <c r="V30" i="30"/>
  <c r="W30" i="30" s="1"/>
  <c r="V28" i="30"/>
  <c r="W28" i="30" s="1"/>
  <c r="V27" i="30"/>
  <c r="W27" i="30" s="1"/>
  <c r="V25" i="30"/>
  <c r="W25" i="30" s="1"/>
  <c r="V22" i="30"/>
  <c r="W22" i="30" s="1"/>
  <c r="V20" i="30"/>
  <c r="W20" i="30" s="1"/>
  <c r="V19" i="30"/>
  <c r="W19" i="30" s="1"/>
  <c r="V18" i="30"/>
  <c r="W18" i="30" s="1"/>
  <c r="V17" i="30"/>
  <c r="W17" i="30" s="1"/>
  <c r="V14" i="30"/>
  <c r="V13" i="30"/>
  <c r="W13" i="30" s="1"/>
  <c r="V12" i="30"/>
  <c r="W12" i="30" s="1"/>
  <c r="V11" i="30"/>
  <c r="AR49" i="30"/>
  <c r="AR46" i="30"/>
  <c r="AS46" i="30" s="1"/>
  <c r="AR45" i="30"/>
  <c r="AS45" i="30" s="1"/>
  <c r="AR42" i="30"/>
  <c r="AS42" i="30" s="1"/>
  <c r="AR41" i="30"/>
  <c r="AS41" i="30" s="1"/>
  <c r="AR38" i="30"/>
  <c r="AS38" i="30" s="1"/>
  <c r="AR37" i="30"/>
  <c r="AS37" i="30" s="1"/>
  <c r="AR34" i="30"/>
  <c r="AS34" i="30" s="1"/>
  <c r="AR33" i="30"/>
  <c r="AS33" i="30" s="1"/>
  <c r="AR30" i="30"/>
  <c r="AS30" i="30" s="1"/>
  <c r="AR29" i="30"/>
  <c r="AS29" i="30" s="1"/>
  <c r="AR27" i="30"/>
  <c r="AS27" i="30" s="1"/>
  <c r="AR26" i="30"/>
  <c r="AS26" i="30" s="1"/>
  <c r="AR25" i="30"/>
  <c r="AS25" i="30" s="1"/>
  <c r="AR23" i="30"/>
  <c r="AS23" i="30" s="1"/>
  <c r="AR22" i="30"/>
  <c r="AS22" i="30" s="1"/>
  <c r="AR21" i="30"/>
  <c r="AS21" i="30" s="1"/>
  <c r="AR19" i="30"/>
  <c r="AS19" i="30" s="1"/>
  <c r="AR18" i="30"/>
  <c r="AS18" i="30" s="1"/>
  <c r="AR17" i="30"/>
  <c r="AS17" i="30" s="1"/>
  <c r="AR15" i="30"/>
  <c r="AS15" i="30" s="1"/>
  <c r="AR14" i="30"/>
  <c r="AR13" i="30"/>
  <c r="AS13" i="30" s="1"/>
  <c r="AR11" i="30"/>
  <c r="BC49" i="30"/>
  <c r="BN49" i="30"/>
  <c r="BN47" i="30"/>
  <c r="BO47" i="30" s="1"/>
  <c r="BN46" i="30"/>
  <c r="BO46" i="30" s="1"/>
  <c r="BN45" i="30"/>
  <c r="BO45" i="30" s="1"/>
  <c r="BN43" i="30"/>
  <c r="BO43" i="30" s="1"/>
  <c r="BN42" i="30"/>
  <c r="BO42" i="30" s="1"/>
  <c r="BN41" i="30"/>
  <c r="BO41" i="30" s="1"/>
  <c r="BN39" i="30"/>
  <c r="BO39" i="30" s="1"/>
  <c r="BN38" i="30"/>
  <c r="BO38" i="30" s="1"/>
  <c r="BN37" i="30"/>
  <c r="BO37" i="30" s="1"/>
  <c r="BN35" i="30"/>
  <c r="BO35" i="30" s="1"/>
  <c r="BN34" i="30"/>
  <c r="BO34" i="30" s="1"/>
  <c r="BN33" i="30"/>
  <c r="BO33" i="30" s="1"/>
  <c r="BN31" i="30"/>
  <c r="BO31" i="30" s="1"/>
  <c r="BN30" i="30"/>
  <c r="BO30" i="30" s="1"/>
  <c r="BN29" i="30"/>
  <c r="BO29" i="30" s="1"/>
  <c r="BN27" i="30"/>
  <c r="BO27" i="30" s="1"/>
  <c r="BN26" i="30"/>
  <c r="BO26" i="30" s="1"/>
  <c r="BN25" i="30"/>
  <c r="BO25" i="30" s="1"/>
  <c r="BN23" i="30"/>
  <c r="BO23" i="30" s="1"/>
  <c r="BN22" i="30"/>
  <c r="BO22" i="30" s="1"/>
  <c r="BN21" i="30"/>
  <c r="BO21" i="30" s="1"/>
  <c r="BN19" i="30"/>
  <c r="BO19" i="30" s="1"/>
  <c r="BN18" i="30"/>
  <c r="BO18" i="30" s="1"/>
  <c r="BN17" i="30"/>
  <c r="BO17" i="30" s="1"/>
  <c r="BN15" i="30"/>
  <c r="BO15" i="30" s="1"/>
  <c r="BN14" i="30"/>
  <c r="BN13" i="30"/>
  <c r="BO13" i="30" s="1"/>
  <c r="BN11" i="30"/>
  <c r="K44" i="30"/>
  <c r="K40" i="30"/>
  <c r="K39" i="30"/>
  <c r="K36" i="30"/>
  <c r="V45" i="30"/>
  <c r="W45" i="30" s="1"/>
  <c r="V40" i="30"/>
  <c r="W40" i="30" s="1"/>
  <c r="V29" i="30"/>
  <c r="W29" i="30" s="1"/>
  <c r="V24" i="30"/>
  <c r="W24" i="30" s="1"/>
  <c r="V23" i="30"/>
  <c r="W23" i="30" s="1"/>
  <c r="AR47" i="30"/>
  <c r="AS47" i="30" s="1"/>
  <c r="AR43" i="30"/>
  <c r="AS43" i="30" s="1"/>
  <c r="AR39" i="30"/>
  <c r="AS39" i="30" s="1"/>
  <c r="AR35" i="30"/>
  <c r="AS35" i="30" s="1"/>
  <c r="AR31" i="30"/>
  <c r="AS31" i="30" s="1"/>
  <c r="V39" i="30"/>
  <c r="W39" i="30" s="1"/>
  <c r="BC48" i="30"/>
  <c r="BC46" i="30"/>
  <c r="BD46" i="30" s="1"/>
  <c r="BC45" i="30"/>
  <c r="BD45" i="30" s="1"/>
  <c r="BC44" i="30"/>
  <c r="BD44" i="30" s="1"/>
  <c r="BC42" i="30"/>
  <c r="BD42" i="30" s="1"/>
  <c r="BC41" i="30"/>
  <c r="BD41" i="30" s="1"/>
  <c r="BC40" i="30"/>
  <c r="BD40" i="30" s="1"/>
  <c r="BC38" i="30"/>
  <c r="BD38" i="30" s="1"/>
  <c r="BC37" i="30"/>
  <c r="BD37" i="30" s="1"/>
  <c r="BC36" i="30"/>
  <c r="BD36" i="30" s="1"/>
  <c r="BC34" i="30"/>
  <c r="BD34" i="30" s="1"/>
  <c r="BC33" i="30"/>
  <c r="BD33" i="30" s="1"/>
  <c r="BC32" i="30"/>
  <c r="BD32" i="30" s="1"/>
  <c r="BC30" i="30"/>
  <c r="BD30" i="30" s="1"/>
  <c r="BC29" i="30"/>
  <c r="BD29" i="30" s="1"/>
  <c r="BC28" i="30"/>
  <c r="BD28" i="30" s="1"/>
  <c r="BC26" i="30"/>
  <c r="BD26" i="30" s="1"/>
  <c r="BC25" i="30"/>
  <c r="BD25" i="30" s="1"/>
  <c r="BC24" i="30"/>
  <c r="BD24" i="30" s="1"/>
  <c r="BC22" i="30"/>
  <c r="BD22" i="30" s="1"/>
  <c r="BC21" i="30"/>
  <c r="BD21" i="30" s="1"/>
  <c r="BC20" i="30"/>
  <c r="BD20" i="30" s="1"/>
  <c r="BC18" i="30"/>
  <c r="BD18" i="30" s="1"/>
  <c r="BC17" i="30"/>
  <c r="BD17" i="30" s="1"/>
  <c r="BC16" i="30"/>
  <c r="BD16" i="30" s="1"/>
  <c r="BC14" i="30"/>
  <c r="BC13" i="30"/>
  <c r="BD13" i="30" s="1"/>
  <c r="BC12" i="30"/>
  <c r="BD12" i="30" s="1"/>
  <c r="BN10" i="30"/>
  <c r="D209" i="30" s="1"/>
  <c r="BC10" i="30"/>
  <c r="AR10" i="30"/>
  <c r="AG10" i="30"/>
  <c r="V10" i="30"/>
  <c r="D205" i="30" s="1"/>
  <c r="K47" i="30"/>
  <c r="K43" i="30"/>
  <c r="K42" i="30"/>
  <c r="K38" i="30"/>
  <c r="K35" i="30"/>
  <c r="K34" i="30"/>
  <c r="K31" i="30"/>
  <c r="K30" i="30"/>
  <c r="K18" i="30"/>
  <c r="K11" i="30"/>
  <c r="K49" i="30"/>
  <c r="K45" i="30"/>
  <c r="K41" i="30"/>
  <c r="K37" i="30"/>
  <c r="K33" i="30"/>
  <c r="K29" i="30"/>
  <c r="K25" i="30"/>
  <c r="K21" i="30"/>
  <c r="K17" i="30"/>
  <c r="K13" i="30"/>
  <c r="U66" i="9"/>
  <c r="B178" i="30"/>
  <c r="B177" i="30"/>
  <c r="B175" i="30"/>
  <c r="V175" i="30"/>
  <c r="V176" i="30"/>
  <c r="B176" i="30"/>
  <c r="V177" i="30"/>
  <c r="V178" i="30"/>
  <c r="V179" i="30"/>
  <c r="W72" i="30" l="1"/>
  <c r="H205" i="30"/>
  <c r="G204" i="30"/>
  <c r="V194" i="30"/>
  <c r="V198" i="30"/>
  <c r="W203" i="30"/>
  <c r="D204" i="30"/>
  <c r="B209" i="30"/>
  <c r="B199" i="30"/>
  <c r="AS14" i="30"/>
  <c r="C207" i="30"/>
  <c r="F208" i="30"/>
  <c r="L198" i="30"/>
  <c r="BO72" i="30"/>
  <c r="H209" i="30"/>
  <c r="D206" i="30"/>
  <c r="W14" i="30"/>
  <c r="C205" i="30"/>
  <c r="F205" i="30"/>
  <c r="I205" i="30" s="1"/>
  <c r="L195" i="30"/>
  <c r="F209" i="30"/>
  <c r="L199" i="30"/>
  <c r="AS57" i="30"/>
  <c r="G207" i="30"/>
  <c r="AH72" i="30"/>
  <c r="H206" i="30"/>
  <c r="BO57" i="30"/>
  <c r="G209" i="30"/>
  <c r="AH57" i="30"/>
  <c r="G206" i="30"/>
  <c r="V195" i="30"/>
  <c r="V199" i="30"/>
  <c r="W201" i="30"/>
  <c r="BD72" i="30"/>
  <c r="H208" i="30"/>
  <c r="B206" i="30"/>
  <c r="B196" i="30"/>
  <c r="F204" i="30"/>
  <c r="L194" i="30"/>
  <c r="B204" i="30"/>
  <c r="B194" i="30"/>
  <c r="D207" i="30"/>
  <c r="BO14" i="30"/>
  <c r="C209" i="30"/>
  <c r="B207" i="30"/>
  <c r="E207" i="30" s="1"/>
  <c r="B197" i="30"/>
  <c r="B205" i="30"/>
  <c r="E205" i="30" s="1"/>
  <c r="B195" i="30"/>
  <c r="AH14" i="30"/>
  <c r="C206" i="30"/>
  <c r="F206" i="30"/>
  <c r="I206" i="30" s="1"/>
  <c r="L196" i="30"/>
  <c r="W57" i="30"/>
  <c r="G205" i="30"/>
  <c r="V196" i="30"/>
  <c r="D208" i="30"/>
  <c r="BD14" i="30"/>
  <c r="C208" i="30"/>
  <c r="B208" i="30"/>
  <c r="E208" i="30" s="1"/>
  <c r="B198" i="30"/>
  <c r="C204" i="30"/>
  <c r="F207" i="30"/>
  <c r="L197" i="30"/>
  <c r="BD57" i="30"/>
  <c r="G208" i="30"/>
  <c r="AS72" i="30"/>
  <c r="H207" i="30"/>
  <c r="H204" i="30"/>
  <c r="V197" i="30"/>
  <c r="L85" i="30"/>
  <c r="BR85" i="30"/>
  <c r="L90" i="30"/>
  <c r="BR90" i="30"/>
  <c r="L92" i="30"/>
  <c r="BR92" i="30"/>
  <c r="L158" i="30"/>
  <c r="BR158" i="30"/>
  <c r="L117" i="30"/>
  <c r="BR117" i="30"/>
  <c r="L115" i="30"/>
  <c r="BR115" i="30"/>
  <c r="L157" i="30"/>
  <c r="BR157" i="30"/>
  <c r="L70" i="30"/>
  <c r="BR70" i="30"/>
  <c r="L120" i="30"/>
  <c r="BR120" i="30"/>
  <c r="L134" i="30"/>
  <c r="BR134" i="30"/>
  <c r="BR49" i="30"/>
  <c r="L63" i="30"/>
  <c r="BR63" i="30"/>
  <c r="L65" i="30"/>
  <c r="BR65" i="30"/>
  <c r="L73" i="30"/>
  <c r="BR73" i="30"/>
  <c r="L81" i="30"/>
  <c r="BR81" i="30"/>
  <c r="L59" i="30"/>
  <c r="BR59" i="30"/>
  <c r="L67" i="30"/>
  <c r="BR67" i="30"/>
  <c r="L75" i="30"/>
  <c r="BR75" i="30"/>
  <c r="L83" i="30"/>
  <c r="BR83" i="30"/>
  <c r="L103" i="30"/>
  <c r="BR103" i="30"/>
  <c r="L95" i="30"/>
  <c r="BR95" i="30"/>
  <c r="L98" i="30"/>
  <c r="BR98" i="30"/>
  <c r="L84" i="30"/>
  <c r="BR84" i="30"/>
  <c r="L125" i="30"/>
  <c r="BR125" i="30"/>
  <c r="L133" i="30"/>
  <c r="BR133" i="30"/>
  <c r="L141" i="30"/>
  <c r="BR141" i="30"/>
  <c r="L143" i="30"/>
  <c r="BR143" i="30"/>
  <c r="L131" i="30"/>
  <c r="BR131" i="30"/>
  <c r="L139" i="30"/>
  <c r="BR139" i="30"/>
  <c r="L161" i="30"/>
  <c r="BR161" i="30"/>
  <c r="L162" i="30"/>
  <c r="BR162" i="30"/>
  <c r="L123" i="30"/>
  <c r="BR123" i="30"/>
  <c r="L146" i="30"/>
  <c r="BR146" i="30"/>
  <c r="L58" i="30"/>
  <c r="BR58" i="30"/>
  <c r="L121" i="30"/>
  <c r="BR121" i="30"/>
  <c r="L144" i="30"/>
  <c r="BR144" i="30"/>
  <c r="L150" i="30"/>
  <c r="BR150" i="30"/>
  <c r="L149" i="30"/>
  <c r="BR149" i="30"/>
  <c r="L124" i="30"/>
  <c r="BR124" i="30"/>
  <c r="L140" i="30"/>
  <c r="BR140" i="30"/>
  <c r="L116" i="30"/>
  <c r="BR116" i="30"/>
  <c r="L148" i="30"/>
  <c r="BR148" i="30"/>
  <c r="BO11" i="30"/>
  <c r="L105" i="30"/>
  <c r="BR105" i="30"/>
  <c r="L102" i="30"/>
  <c r="BR102" i="30"/>
  <c r="L62" i="30"/>
  <c r="BR62" i="30"/>
  <c r="BR114" i="30"/>
  <c r="L64" i="30"/>
  <c r="BR64" i="30"/>
  <c r="L164" i="30"/>
  <c r="BR164" i="30"/>
  <c r="AS11" i="30"/>
  <c r="W11" i="30"/>
  <c r="L88" i="30"/>
  <c r="BR88" i="30"/>
  <c r="L86" i="30"/>
  <c r="BR86" i="30"/>
  <c r="L101" i="30"/>
  <c r="BR101" i="30"/>
  <c r="L68" i="30"/>
  <c r="BR68" i="30"/>
  <c r="L96" i="30"/>
  <c r="BR96" i="30"/>
  <c r="L104" i="30"/>
  <c r="BR104" i="30"/>
  <c r="L87" i="30"/>
  <c r="BR87" i="30"/>
  <c r="L89" i="30"/>
  <c r="BR89" i="30"/>
  <c r="L160" i="30"/>
  <c r="BR160" i="30"/>
  <c r="L156" i="30"/>
  <c r="BR156" i="30"/>
  <c r="L147" i="30"/>
  <c r="BR147" i="30"/>
  <c r="L154" i="30"/>
  <c r="BR154" i="30"/>
  <c r="L76" i="30"/>
  <c r="BR76" i="30"/>
  <c r="L145" i="30"/>
  <c r="BR145" i="30"/>
  <c r="L152" i="30"/>
  <c r="BR152" i="30"/>
  <c r="L151" i="30"/>
  <c r="BR151" i="30"/>
  <c r="L138" i="30"/>
  <c r="BR138" i="30"/>
  <c r="L126" i="30"/>
  <c r="BR126" i="30"/>
  <c r="L122" i="30"/>
  <c r="BR122" i="30"/>
  <c r="L163" i="30"/>
  <c r="BR163" i="30"/>
  <c r="L118" i="30"/>
  <c r="BR118" i="30"/>
  <c r="AH11" i="30"/>
  <c r="BR56" i="30"/>
  <c r="L61" i="30"/>
  <c r="BR61" i="30"/>
  <c r="L100" i="30"/>
  <c r="BR100" i="30"/>
  <c r="L106" i="30"/>
  <c r="BR106" i="30"/>
  <c r="L57" i="30"/>
  <c r="BR57" i="30"/>
  <c r="L93" i="30"/>
  <c r="BR93" i="30"/>
  <c r="L66" i="30"/>
  <c r="BR66" i="30"/>
  <c r="L80" i="30"/>
  <c r="BR80" i="30"/>
  <c r="BR48" i="30"/>
  <c r="BD11" i="30"/>
  <c r="L69" i="30"/>
  <c r="BR69" i="30"/>
  <c r="L77" i="30"/>
  <c r="BR77" i="30"/>
  <c r="L71" i="30"/>
  <c r="BR71" i="30"/>
  <c r="L79" i="30"/>
  <c r="BR79" i="30"/>
  <c r="BR107" i="30"/>
  <c r="L97" i="30"/>
  <c r="BR97" i="30"/>
  <c r="L94" i="30"/>
  <c r="BR94" i="30"/>
  <c r="L99" i="30"/>
  <c r="BR99" i="30"/>
  <c r="L72" i="30"/>
  <c r="BR72" i="30"/>
  <c r="L60" i="30"/>
  <c r="BR60" i="30"/>
  <c r="L78" i="30"/>
  <c r="BR78" i="30"/>
  <c r="L91" i="30"/>
  <c r="BR91" i="30"/>
  <c r="L74" i="30"/>
  <c r="BR74" i="30"/>
  <c r="L129" i="30"/>
  <c r="BR129" i="30"/>
  <c r="L137" i="30"/>
  <c r="BR137" i="30"/>
  <c r="L127" i="30"/>
  <c r="BR127" i="30"/>
  <c r="L135" i="30"/>
  <c r="BR135" i="30"/>
  <c r="L159" i="30"/>
  <c r="BR159" i="30"/>
  <c r="L155" i="30"/>
  <c r="BR155" i="30"/>
  <c r="L82" i="30"/>
  <c r="BR82" i="30"/>
  <c r="L119" i="30"/>
  <c r="BR119" i="30"/>
  <c r="L153" i="30"/>
  <c r="BR153" i="30"/>
  <c r="L142" i="30"/>
  <c r="BR142" i="30"/>
  <c r="L130" i="30"/>
  <c r="BR130" i="30"/>
  <c r="L132" i="30"/>
  <c r="BR132" i="30"/>
  <c r="BR165" i="30"/>
  <c r="L128" i="30"/>
  <c r="BR128" i="30"/>
  <c r="L136" i="30"/>
  <c r="BR136" i="30"/>
  <c r="L25" i="30"/>
  <c r="BR25" i="30"/>
  <c r="L35" i="30"/>
  <c r="BR35" i="30"/>
  <c r="L19" i="30"/>
  <c r="BR19" i="30"/>
  <c r="L24" i="30"/>
  <c r="BR24" i="30"/>
  <c r="L13" i="30"/>
  <c r="BR13" i="30"/>
  <c r="L29" i="30"/>
  <c r="BR29" i="30"/>
  <c r="L45" i="30"/>
  <c r="BR45" i="30"/>
  <c r="L30" i="30"/>
  <c r="BR30" i="30"/>
  <c r="L38" i="30"/>
  <c r="BR38" i="30"/>
  <c r="L36" i="30"/>
  <c r="BR36" i="30"/>
  <c r="L20" i="30"/>
  <c r="BR20" i="30"/>
  <c r="L26" i="30"/>
  <c r="BR26" i="30"/>
  <c r="L27" i="30"/>
  <c r="BR27" i="30"/>
  <c r="L16" i="30"/>
  <c r="BR16" i="30"/>
  <c r="BR10" i="30"/>
  <c r="L18" i="30"/>
  <c r="BR18" i="30"/>
  <c r="L44" i="30"/>
  <c r="BR44" i="30"/>
  <c r="L17" i="30"/>
  <c r="BR17" i="30"/>
  <c r="L33" i="30"/>
  <c r="BR33" i="30"/>
  <c r="L31" i="30"/>
  <c r="BR31" i="30"/>
  <c r="L39" i="30"/>
  <c r="BR39" i="30"/>
  <c r="L12" i="30"/>
  <c r="BR12" i="30"/>
  <c r="L22" i="30"/>
  <c r="BR22" i="30"/>
  <c r="L28" i="30"/>
  <c r="BR28" i="30"/>
  <c r="L41" i="30"/>
  <c r="BR41" i="30"/>
  <c r="L47" i="30"/>
  <c r="BR47" i="30"/>
  <c r="L14" i="30"/>
  <c r="BR14" i="30"/>
  <c r="L42" i="30"/>
  <c r="BR42" i="30"/>
  <c r="L21" i="30"/>
  <c r="BR21" i="30"/>
  <c r="L37" i="30"/>
  <c r="BR37" i="30"/>
  <c r="L11" i="30"/>
  <c r="BR11" i="30"/>
  <c r="L34" i="30"/>
  <c r="BR34" i="30"/>
  <c r="L43" i="30"/>
  <c r="BR43" i="30"/>
  <c r="L40" i="30"/>
  <c r="BR40" i="30"/>
  <c r="L15" i="30"/>
  <c r="BR15" i="30"/>
  <c r="L23" i="30"/>
  <c r="BR23" i="30"/>
  <c r="L46" i="30"/>
  <c r="BR46" i="30"/>
  <c r="L32" i="30"/>
  <c r="BR32" i="30"/>
  <c r="AS56" i="30"/>
  <c r="AR108" i="30"/>
  <c r="I214" i="30" s="1"/>
  <c r="AS114" i="30"/>
  <c r="AR166" i="30"/>
  <c r="BD165" i="30"/>
  <c r="W10" i="30"/>
  <c r="V50" i="30"/>
  <c r="E212" i="30" s="1"/>
  <c r="BO10" i="30"/>
  <c r="BN50" i="30"/>
  <c r="L56" i="30"/>
  <c r="K108" i="30"/>
  <c r="I211" i="30" s="1"/>
  <c r="BD56" i="30"/>
  <c r="BC108" i="30"/>
  <c r="I215" i="30" s="1"/>
  <c r="L114" i="30"/>
  <c r="K166" i="30"/>
  <c r="BD114" i="30"/>
  <c r="BC166" i="30"/>
  <c r="BO165" i="30"/>
  <c r="L10" i="30"/>
  <c r="K50" i="30"/>
  <c r="E211" i="30" s="1"/>
  <c r="AH10" i="30"/>
  <c r="AG50" i="30"/>
  <c r="W56" i="30"/>
  <c r="V108" i="30"/>
  <c r="I212" i="30" s="1"/>
  <c r="BO56" i="30"/>
  <c r="BN108" i="30"/>
  <c r="BD10" i="30"/>
  <c r="BC50" i="30"/>
  <c r="AS165" i="30"/>
  <c r="L165" i="30"/>
  <c r="W114" i="30"/>
  <c r="V166" i="30"/>
  <c r="BO114" i="30"/>
  <c r="BN166" i="30"/>
  <c r="AH165" i="30"/>
  <c r="AS10" i="30"/>
  <c r="AR50" i="30"/>
  <c r="AH56" i="30"/>
  <c r="AG108" i="30"/>
  <c r="I213" i="30" s="1"/>
  <c r="AH114" i="30"/>
  <c r="AG166" i="30"/>
  <c r="W165" i="30"/>
  <c r="AS48" i="30"/>
  <c r="AH48" i="30"/>
  <c r="W48" i="30"/>
  <c r="V170" i="30"/>
  <c r="W107" i="30"/>
  <c r="AH107" i="30"/>
  <c r="BD48" i="30"/>
  <c r="BD107" i="30"/>
  <c r="BO107" i="30"/>
  <c r="L48" i="30"/>
  <c r="BO48" i="30"/>
  <c r="L107" i="30"/>
  <c r="AS107" i="30"/>
  <c r="BO49" i="30"/>
  <c r="W49" i="30"/>
  <c r="L49" i="30"/>
  <c r="BD49" i="30"/>
  <c r="AH49" i="30"/>
  <c r="AS49" i="30"/>
  <c r="AC97" i="9"/>
  <c r="L178" i="30"/>
  <c r="L175" i="30"/>
  <c r="L174" i="30"/>
  <c r="V174" i="30"/>
  <c r="B179" i="30"/>
  <c r="L176" i="30"/>
  <c r="B174" i="30"/>
  <c r="L177" i="30"/>
  <c r="L179" i="30"/>
  <c r="I207" i="30" l="1"/>
  <c r="I204" i="30"/>
  <c r="BC170" i="30"/>
  <c r="E215" i="30"/>
  <c r="AG170" i="30"/>
  <c r="E213" i="30"/>
  <c r="I209" i="30"/>
  <c r="BP166" i="30"/>
  <c r="I216" i="30"/>
  <c r="BP108" i="30"/>
  <c r="AR170" i="30"/>
  <c r="E214" i="30"/>
  <c r="E216" i="30"/>
  <c r="BP50" i="30"/>
  <c r="E204" i="30"/>
  <c r="E206" i="30"/>
  <c r="I208" i="30"/>
  <c r="E209" i="30"/>
  <c r="O160" i="26"/>
  <c r="O140" i="26" l="1"/>
  <c r="O141" i="26"/>
  <c r="O142" i="26"/>
  <c r="O143" i="26"/>
  <c r="O144" i="26"/>
  <c r="O145" i="26"/>
  <c r="O146" i="26"/>
  <c r="O147" i="26"/>
  <c r="O148" i="26"/>
  <c r="O149" i="26"/>
  <c r="O150" i="26"/>
  <c r="O151" i="26"/>
  <c r="O152" i="26"/>
  <c r="O153" i="26"/>
  <c r="O154" i="26"/>
  <c r="O155" i="26"/>
  <c r="O156" i="26"/>
  <c r="O157" i="26"/>
  <c r="O158" i="26"/>
  <c r="O159" i="26"/>
  <c r="O161" i="26"/>
  <c r="O162" i="26"/>
  <c r="O163" i="26"/>
  <c r="O164" i="26"/>
  <c r="O165" i="26"/>
  <c r="O166" i="26"/>
  <c r="O167" i="26"/>
  <c r="O168" i="26"/>
  <c r="O169" i="26"/>
  <c r="O170" i="26"/>
  <c r="O171" i="26"/>
  <c r="O172" i="26"/>
  <c r="O173" i="26"/>
  <c r="O174" i="26"/>
  <c r="O175" i="26"/>
  <c r="O176" i="26"/>
  <c r="O139" i="26"/>
  <c r="I140" i="26"/>
  <c r="J140" i="26"/>
  <c r="K140" i="26"/>
  <c r="L140" i="26"/>
  <c r="M140" i="26"/>
  <c r="I141" i="26"/>
  <c r="J141" i="26"/>
  <c r="K141" i="26"/>
  <c r="L141" i="26"/>
  <c r="M141" i="26"/>
  <c r="I142" i="26"/>
  <c r="J142" i="26"/>
  <c r="K142" i="26"/>
  <c r="L142" i="26"/>
  <c r="M142" i="26"/>
  <c r="I143" i="26"/>
  <c r="J143" i="26"/>
  <c r="K143" i="26"/>
  <c r="L143" i="26"/>
  <c r="M143" i="26"/>
  <c r="I144" i="26"/>
  <c r="J144" i="26"/>
  <c r="K144" i="26"/>
  <c r="L144" i="26"/>
  <c r="M144" i="26"/>
  <c r="I145" i="26"/>
  <c r="J145" i="26"/>
  <c r="K145" i="26"/>
  <c r="L145" i="26"/>
  <c r="M145" i="26"/>
  <c r="I146" i="26"/>
  <c r="J146" i="26"/>
  <c r="K146" i="26"/>
  <c r="L146" i="26"/>
  <c r="M146" i="26"/>
  <c r="I147" i="26"/>
  <c r="J147" i="26"/>
  <c r="K147" i="26"/>
  <c r="L147" i="26"/>
  <c r="M147" i="26"/>
  <c r="I148" i="26"/>
  <c r="J148" i="26"/>
  <c r="K148" i="26"/>
  <c r="L148" i="26"/>
  <c r="M148" i="26"/>
  <c r="I149" i="26"/>
  <c r="J149" i="26"/>
  <c r="K149" i="26"/>
  <c r="L149" i="26"/>
  <c r="M149" i="26"/>
  <c r="I150" i="26"/>
  <c r="J150" i="26"/>
  <c r="K150" i="26"/>
  <c r="L150" i="26"/>
  <c r="M150" i="26"/>
  <c r="I151" i="26"/>
  <c r="J151" i="26"/>
  <c r="K151" i="26"/>
  <c r="L151" i="26"/>
  <c r="M151" i="26"/>
  <c r="I152" i="26"/>
  <c r="J152" i="26"/>
  <c r="K152" i="26"/>
  <c r="L152" i="26"/>
  <c r="M152" i="26"/>
  <c r="I153" i="26"/>
  <c r="J153" i="26"/>
  <c r="K153" i="26"/>
  <c r="L153" i="26"/>
  <c r="M153" i="26"/>
  <c r="I154" i="26"/>
  <c r="J154" i="26"/>
  <c r="K154" i="26"/>
  <c r="L154" i="26"/>
  <c r="M154" i="26"/>
  <c r="I155" i="26"/>
  <c r="J155" i="26"/>
  <c r="K155" i="26"/>
  <c r="L155" i="26"/>
  <c r="M155" i="26"/>
  <c r="I156" i="26"/>
  <c r="J156" i="26"/>
  <c r="K156" i="26"/>
  <c r="L156" i="26"/>
  <c r="M156" i="26"/>
  <c r="I157" i="26"/>
  <c r="J157" i="26"/>
  <c r="K157" i="26"/>
  <c r="L157" i="26"/>
  <c r="M157" i="26"/>
  <c r="I158" i="26"/>
  <c r="J158" i="26"/>
  <c r="K158" i="26"/>
  <c r="L158" i="26"/>
  <c r="M158" i="26"/>
  <c r="I159" i="26"/>
  <c r="J159" i="26"/>
  <c r="K159" i="26"/>
  <c r="L159" i="26"/>
  <c r="M159" i="26"/>
  <c r="I160" i="26"/>
  <c r="J160" i="26"/>
  <c r="K160" i="26"/>
  <c r="L160" i="26"/>
  <c r="M160" i="26"/>
  <c r="I161" i="26"/>
  <c r="J161" i="26"/>
  <c r="K161" i="26"/>
  <c r="L161" i="26"/>
  <c r="M161" i="26"/>
  <c r="I162" i="26"/>
  <c r="J162" i="26"/>
  <c r="K162" i="26"/>
  <c r="L162" i="26"/>
  <c r="M162" i="26"/>
  <c r="I163" i="26"/>
  <c r="J163" i="26"/>
  <c r="K163" i="26"/>
  <c r="L163" i="26"/>
  <c r="M163" i="26"/>
  <c r="I164" i="26"/>
  <c r="J164" i="26"/>
  <c r="K164" i="26"/>
  <c r="L164" i="26"/>
  <c r="M164" i="26"/>
  <c r="I165" i="26"/>
  <c r="J165" i="26"/>
  <c r="K165" i="26"/>
  <c r="L165" i="26"/>
  <c r="M165" i="26"/>
  <c r="I166" i="26"/>
  <c r="J166" i="26"/>
  <c r="K166" i="26"/>
  <c r="L166" i="26"/>
  <c r="M166" i="26"/>
  <c r="I167" i="26"/>
  <c r="J167" i="26"/>
  <c r="K167" i="26"/>
  <c r="L167" i="26"/>
  <c r="M167" i="26"/>
  <c r="I168" i="26"/>
  <c r="J168" i="26"/>
  <c r="K168" i="26"/>
  <c r="L168" i="26"/>
  <c r="M168" i="26"/>
  <c r="I169" i="26"/>
  <c r="J169" i="26"/>
  <c r="K169" i="26"/>
  <c r="L169" i="26"/>
  <c r="M169" i="26"/>
  <c r="I170" i="26"/>
  <c r="J170" i="26"/>
  <c r="K170" i="26"/>
  <c r="L170" i="26"/>
  <c r="M170" i="26"/>
  <c r="I171" i="26"/>
  <c r="J171" i="26"/>
  <c r="K171" i="26"/>
  <c r="L171" i="26"/>
  <c r="M171" i="26"/>
  <c r="I172" i="26"/>
  <c r="J172" i="26"/>
  <c r="K172" i="26"/>
  <c r="L172" i="26"/>
  <c r="M172" i="26"/>
  <c r="I173" i="26"/>
  <c r="J173" i="26"/>
  <c r="K173" i="26"/>
  <c r="L173" i="26"/>
  <c r="M173" i="26"/>
  <c r="I174" i="26"/>
  <c r="J174" i="26"/>
  <c r="K174" i="26"/>
  <c r="L174" i="26"/>
  <c r="M174" i="26"/>
  <c r="I175" i="26"/>
  <c r="J175" i="26"/>
  <c r="K175" i="26"/>
  <c r="L175" i="26"/>
  <c r="M175" i="26"/>
  <c r="I176" i="26"/>
  <c r="J176" i="26"/>
  <c r="K176" i="26"/>
  <c r="L176" i="26"/>
  <c r="M176" i="26"/>
  <c r="J139" i="26"/>
  <c r="K139" i="26"/>
  <c r="L139" i="26"/>
  <c r="M139" i="26"/>
  <c r="I139" i="26"/>
  <c r="C125" i="26"/>
  <c r="C106" i="26"/>
  <c r="C89" i="26"/>
  <c r="C73" i="26"/>
  <c r="C46" i="26"/>
  <c r="I5" i="26"/>
  <c r="J5" i="26"/>
  <c r="K5" i="26"/>
  <c r="L5" i="26"/>
  <c r="M5" i="26"/>
  <c r="I6" i="26"/>
  <c r="J6" i="26"/>
  <c r="K6" i="26"/>
  <c r="L6" i="26"/>
  <c r="M6" i="26"/>
  <c r="I7" i="26"/>
  <c r="J7" i="26"/>
  <c r="K7" i="26"/>
  <c r="L7" i="26"/>
  <c r="M7" i="26"/>
  <c r="I8" i="26"/>
  <c r="J8" i="26"/>
  <c r="K8" i="26"/>
  <c r="L8" i="26"/>
  <c r="M8" i="26"/>
  <c r="I9" i="26"/>
  <c r="J9" i="26"/>
  <c r="K9" i="26"/>
  <c r="L9" i="26"/>
  <c r="M9" i="26"/>
  <c r="I10" i="26"/>
  <c r="J10" i="26"/>
  <c r="K10" i="26"/>
  <c r="L10" i="26"/>
  <c r="M10" i="26"/>
  <c r="I11" i="26"/>
  <c r="J11" i="26"/>
  <c r="K11" i="26"/>
  <c r="L11" i="26"/>
  <c r="M11" i="26"/>
  <c r="I12" i="26"/>
  <c r="J12" i="26"/>
  <c r="K12" i="26"/>
  <c r="L12" i="26"/>
  <c r="M12" i="26"/>
  <c r="I13" i="26"/>
  <c r="J13" i="26"/>
  <c r="K13" i="26"/>
  <c r="L13" i="26"/>
  <c r="M13" i="26"/>
  <c r="I14" i="26"/>
  <c r="J14" i="26"/>
  <c r="K14" i="26"/>
  <c r="L14" i="26"/>
  <c r="M14" i="26"/>
  <c r="I15" i="26"/>
  <c r="J15" i="26"/>
  <c r="K15" i="26"/>
  <c r="L15" i="26"/>
  <c r="M15" i="26"/>
  <c r="I16" i="26"/>
  <c r="J16" i="26"/>
  <c r="K16" i="26"/>
  <c r="L16" i="26"/>
  <c r="M16" i="26"/>
  <c r="I17" i="26"/>
  <c r="J17" i="26"/>
  <c r="K17" i="26"/>
  <c r="L17" i="26"/>
  <c r="M17" i="26"/>
  <c r="I18" i="26"/>
  <c r="J18" i="26"/>
  <c r="K18" i="26"/>
  <c r="L18" i="26"/>
  <c r="M18" i="26"/>
  <c r="I19" i="26"/>
  <c r="J19" i="26"/>
  <c r="K19" i="26"/>
  <c r="L19" i="26"/>
  <c r="M19" i="26"/>
  <c r="I20" i="26"/>
  <c r="J20" i="26"/>
  <c r="K20" i="26"/>
  <c r="L20" i="26"/>
  <c r="M20" i="26"/>
  <c r="I21" i="26"/>
  <c r="J21" i="26"/>
  <c r="K21" i="26"/>
  <c r="L21" i="26"/>
  <c r="M21" i="26"/>
  <c r="I22" i="26"/>
  <c r="J22" i="26"/>
  <c r="K22" i="26"/>
  <c r="L22" i="26"/>
  <c r="M22" i="26"/>
  <c r="I23" i="26"/>
  <c r="J23" i="26"/>
  <c r="K23" i="26"/>
  <c r="L23" i="26"/>
  <c r="M23" i="26"/>
  <c r="I24" i="26"/>
  <c r="J24" i="26"/>
  <c r="K24" i="26"/>
  <c r="L24" i="26"/>
  <c r="M24" i="26"/>
  <c r="I25" i="26"/>
  <c r="J25" i="26"/>
  <c r="K25" i="26"/>
  <c r="L25" i="26"/>
  <c r="M25" i="26"/>
  <c r="I26" i="26"/>
  <c r="J26" i="26"/>
  <c r="K26" i="26"/>
  <c r="L26" i="26"/>
  <c r="M26" i="26"/>
  <c r="I27" i="26"/>
  <c r="J27" i="26"/>
  <c r="K27" i="26"/>
  <c r="L27" i="26"/>
  <c r="M27" i="26"/>
  <c r="I28" i="26"/>
  <c r="J28" i="26"/>
  <c r="K28" i="26"/>
  <c r="L28" i="26"/>
  <c r="M28" i="26"/>
  <c r="I29" i="26"/>
  <c r="J29" i="26"/>
  <c r="K29" i="26"/>
  <c r="L29" i="26"/>
  <c r="M29" i="26"/>
  <c r="I30" i="26"/>
  <c r="J30" i="26"/>
  <c r="K30" i="26"/>
  <c r="L30" i="26"/>
  <c r="M30" i="26"/>
  <c r="I31" i="26"/>
  <c r="J31" i="26"/>
  <c r="K31" i="26"/>
  <c r="L31" i="26"/>
  <c r="M31" i="26"/>
  <c r="I32" i="26"/>
  <c r="J32" i="26"/>
  <c r="K32" i="26"/>
  <c r="L32" i="26"/>
  <c r="M32" i="26"/>
  <c r="I33" i="26"/>
  <c r="J33" i="26"/>
  <c r="K33" i="26"/>
  <c r="L33" i="26"/>
  <c r="M33" i="26"/>
  <c r="I34" i="26"/>
  <c r="J34" i="26"/>
  <c r="K34" i="26"/>
  <c r="L34" i="26"/>
  <c r="M34" i="26"/>
  <c r="I35" i="26"/>
  <c r="J35" i="26"/>
  <c r="K35" i="26"/>
  <c r="L35" i="26"/>
  <c r="M35" i="26"/>
  <c r="I36" i="26"/>
  <c r="J36" i="26"/>
  <c r="K36" i="26"/>
  <c r="L36" i="26"/>
  <c r="M36" i="26"/>
  <c r="I37" i="26"/>
  <c r="J37" i="26"/>
  <c r="K37" i="26"/>
  <c r="L37" i="26"/>
  <c r="M37" i="26"/>
  <c r="I38" i="26"/>
  <c r="J38" i="26"/>
  <c r="K38" i="26"/>
  <c r="L38" i="26"/>
  <c r="M38" i="26"/>
  <c r="I39" i="26"/>
  <c r="J39" i="26"/>
  <c r="K39" i="26"/>
  <c r="L39" i="26"/>
  <c r="M39" i="26"/>
  <c r="I40" i="26"/>
  <c r="J40" i="26"/>
  <c r="K40" i="26"/>
  <c r="L40" i="26"/>
  <c r="M40" i="26"/>
  <c r="I41" i="26"/>
  <c r="J41" i="26"/>
  <c r="K41" i="26"/>
  <c r="L41" i="26"/>
  <c r="M41" i="26"/>
  <c r="J4" i="26"/>
  <c r="K4" i="26"/>
  <c r="L4" i="26"/>
  <c r="M4" i="26"/>
  <c r="I4" i="26"/>
  <c r="H14" i="25" l="1"/>
  <c r="G14" i="25"/>
  <c r="D14" i="25"/>
  <c r="S6" i="13"/>
  <c r="T6" i="13"/>
  <c r="U6" i="13"/>
  <c r="V6" i="13"/>
  <c r="W6" i="13"/>
  <c r="X6" i="13"/>
  <c r="S7" i="13"/>
  <c r="T7" i="13"/>
  <c r="U7" i="13"/>
  <c r="V7" i="13"/>
  <c r="W7" i="13"/>
  <c r="X7" i="13"/>
  <c r="S8" i="13"/>
  <c r="T8" i="13"/>
  <c r="U8" i="13"/>
  <c r="V8" i="13"/>
  <c r="W8" i="13"/>
  <c r="X8" i="13"/>
  <c r="S9" i="13"/>
  <c r="T9" i="13"/>
  <c r="U9" i="13"/>
  <c r="V9" i="13"/>
  <c r="W9" i="13"/>
  <c r="X9" i="13"/>
  <c r="S10" i="13"/>
  <c r="T10" i="13"/>
  <c r="U10" i="13"/>
  <c r="V10" i="13"/>
  <c r="W10" i="13"/>
  <c r="X10" i="13"/>
  <c r="S11" i="13"/>
  <c r="T11" i="13"/>
  <c r="U11" i="13"/>
  <c r="V11" i="13"/>
  <c r="W11" i="13"/>
  <c r="X11" i="13"/>
  <c r="S12" i="13"/>
  <c r="T12" i="13"/>
  <c r="U12" i="13"/>
  <c r="V12" i="13"/>
  <c r="W12" i="13"/>
  <c r="X12" i="13"/>
  <c r="S13" i="13"/>
  <c r="T13" i="13"/>
  <c r="U13" i="13"/>
  <c r="V13" i="13"/>
  <c r="W13" i="13"/>
  <c r="X13" i="13"/>
  <c r="S14" i="13"/>
  <c r="T14" i="13"/>
  <c r="U14" i="13"/>
  <c r="V14" i="13"/>
  <c r="W14" i="13"/>
  <c r="X14" i="13"/>
  <c r="X5" i="13"/>
  <c r="W5" i="13"/>
  <c r="V5" i="13"/>
  <c r="V15" i="13" s="1"/>
  <c r="U5" i="13"/>
  <c r="T5" i="13"/>
  <c r="S5" i="13"/>
  <c r="E14" i="25"/>
  <c r="C14" i="25"/>
  <c r="B14" i="25"/>
  <c r="S15" i="13" l="1"/>
  <c r="T15" i="13"/>
  <c r="X15" i="13"/>
  <c r="W15" i="13"/>
  <c r="U15" i="13"/>
  <c r="C38" i="22"/>
  <c r="K34" i="22"/>
  <c r="I34" i="22"/>
  <c r="G34" i="22"/>
  <c r="E34" i="22"/>
  <c r="C34" i="22"/>
  <c r="M7" i="22" l="1"/>
  <c r="N7" i="22"/>
  <c r="O7" i="22"/>
  <c r="P7" i="22"/>
  <c r="Q7" i="22"/>
  <c r="M8" i="22"/>
  <c r="N8" i="22"/>
  <c r="O8" i="22"/>
  <c r="P8" i="22"/>
  <c r="Q8" i="22"/>
  <c r="M9" i="22"/>
  <c r="N9" i="22"/>
  <c r="O9" i="22"/>
  <c r="P9" i="22"/>
  <c r="Q9" i="22"/>
  <c r="M10" i="22"/>
  <c r="N10" i="22"/>
  <c r="O10" i="22"/>
  <c r="P10" i="22"/>
  <c r="Q10" i="22"/>
  <c r="M11" i="22"/>
  <c r="N11" i="22"/>
  <c r="O11" i="22"/>
  <c r="P11" i="22"/>
  <c r="Q11" i="22"/>
  <c r="M12" i="22"/>
  <c r="N12" i="22"/>
  <c r="O12" i="22"/>
  <c r="P12" i="22"/>
  <c r="Q12" i="22"/>
  <c r="M13" i="22"/>
  <c r="N13" i="22"/>
  <c r="O13" i="22"/>
  <c r="P13" i="22"/>
  <c r="Q13" i="22"/>
  <c r="M14" i="22"/>
  <c r="N14" i="22"/>
  <c r="O14" i="22"/>
  <c r="P14" i="22"/>
  <c r="Q14" i="22"/>
  <c r="M15" i="22"/>
  <c r="N15" i="22"/>
  <c r="O15" i="22"/>
  <c r="P15" i="22"/>
  <c r="Q15" i="22"/>
  <c r="M16" i="22"/>
  <c r="N16" i="22"/>
  <c r="O16" i="22"/>
  <c r="P16" i="22"/>
  <c r="Q16" i="22"/>
  <c r="M17" i="22"/>
  <c r="N17" i="22"/>
  <c r="O17" i="22"/>
  <c r="P17" i="22"/>
  <c r="Q17" i="22"/>
  <c r="M18" i="22"/>
  <c r="N18" i="22"/>
  <c r="O18" i="22"/>
  <c r="P18" i="22"/>
  <c r="M19" i="22"/>
  <c r="N19" i="22"/>
  <c r="O19" i="22"/>
  <c r="P19" i="22"/>
  <c r="M20" i="22"/>
  <c r="N20" i="22"/>
  <c r="O20" i="22"/>
  <c r="P20" i="22"/>
  <c r="M21" i="22"/>
  <c r="O21" i="22"/>
  <c r="P21" i="22"/>
  <c r="M22" i="22"/>
  <c r="P22" i="22"/>
  <c r="M23" i="22"/>
  <c r="P23" i="22"/>
  <c r="M24" i="22"/>
  <c r="M25" i="22"/>
  <c r="M26" i="22"/>
  <c r="M27" i="22"/>
  <c r="M28" i="22"/>
  <c r="M29" i="22"/>
  <c r="Q6" i="22"/>
  <c r="P6" i="22"/>
  <c r="O6" i="22"/>
  <c r="N6" i="22"/>
  <c r="M6" i="22"/>
  <c r="P56" i="20" l="1"/>
  <c r="Q56" i="20"/>
  <c r="R56" i="20"/>
  <c r="S56" i="20"/>
  <c r="T56" i="20"/>
  <c r="U56" i="20"/>
  <c r="P57" i="20"/>
  <c r="Q57" i="20"/>
  <c r="R57" i="20"/>
  <c r="S57" i="20"/>
  <c r="T57" i="20"/>
  <c r="U57" i="20"/>
  <c r="P58" i="20"/>
  <c r="Q58" i="20"/>
  <c r="R58" i="20"/>
  <c r="S58" i="20"/>
  <c r="T58" i="20"/>
  <c r="U58" i="20"/>
  <c r="P59" i="20"/>
  <c r="Q59" i="20"/>
  <c r="R59" i="20"/>
  <c r="S59" i="20"/>
  <c r="T59" i="20"/>
  <c r="U59" i="20"/>
  <c r="P60" i="20"/>
  <c r="Q60" i="20"/>
  <c r="R60" i="20"/>
  <c r="S60" i="20"/>
  <c r="T60" i="20"/>
  <c r="U60" i="20"/>
  <c r="P61" i="20"/>
  <c r="Q61" i="20"/>
  <c r="R61" i="20"/>
  <c r="S61" i="20"/>
  <c r="T61" i="20"/>
  <c r="U61" i="20"/>
  <c r="P62" i="20"/>
  <c r="Q62" i="20"/>
  <c r="R62" i="20"/>
  <c r="S62" i="20"/>
  <c r="T62" i="20"/>
  <c r="U62" i="20"/>
  <c r="P63" i="20"/>
  <c r="Q63" i="20"/>
  <c r="R63" i="20"/>
  <c r="S63" i="20"/>
  <c r="T63" i="20"/>
  <c r="U63" i="20"/>
  <c r="P64" i="20"/>
  <c r="Q64" i="20"/>
  <c r="R64" i="20"/>
  <c r="S64" i="20"/>
  <c r="T64" i="20"/>
  <c r="U64" i="20"/>
  <c r="P65" i="20"/>
  <c r="Q65" i="20"/>
  <c r="R65" i="20"/>
  <c r="S65" i="20"/>
  <c r="T65" i="20"/>
  <c r="U65" i="20"/>
  <c r="P66" i="20"/>
  <c r="Q66" i="20"/>
  <c r="R66" i="20"/>
  <c r="S66" i="20"/>
  <c r="T66" i="20"/>
  <c r="U66" i="20"/>
  <c r="P67" i="20"/>
  <c r="Q67" i="20"/>
  <c r="R67" i="20"/>
  <c r="S67" i="20"/>
  <c r="T67" i="20"/>
  <c r="U67" i="20"/>
  <c r="P68" i="20"/>
  <c r="Q68" i="20"/>
  <c r="R68" i="20"/>
  <c r="S68" i="20"/>
  <c r="T68" i="20"/>
  <c r="U68" i="20"/>
  <c r="P69" i="20"/>
  <c r="Q69" i="20"/>
  <c r="R69" i="20"/>
  <c r="S69" i="20"/>
  <c r="T69" i="20"/>
  <c r="U69" i="20"/>
  <c r="P70" i="20"/>
  <c r="Q70" i="20"/>
  <c r="R70" i="20"/>
  <c r="S70" i="20"/>
  <c r="T70" i="20"/>
  <c r="U70" i="20"/>
  <c r="P71" i="20"/>
  <c r="Q71" i="20"/>
  <c r="R71" i="20"/>
  <c r="S71" i="20"/>
  <c r="T71" i="20"/>
  <c r="U71" i="20"/>
  <c r="P72" i="20"/>
  <c r="Q72" i="20"/>
  <c r="R72" i="20"/>
  <c r="S72" i="20"/>
  <c r="T72" i="20"/>
  <c r="U72" i="20"/>
  <c r="P73" i="20"/>
  <c r="Q73" i="20"/>
  <c r="R73" i="20"/>
  <c r="S73" i="20"/>
  <c r="T73" i="20"/>
  <c r="U73" i="20"/>
  <c r="P74" i="20"/>
  <c r="Q74" i="20"/>
  <c r="R74" i="20"/>
  <c r="S74" i="20"/>
  <c r="T74" i="20"/>
  <c r="U74" i="20"/>
  <c r="P75" i="20"/>
  <c r="Q75" i="20"/>
  <c r="R75" i="20"/>
  <c r="S75" i="20"/>
  <c r="T75" i="20"/>
  <c r="U75" i="20"/>
  <c r="P76" i="20"/>
  <c r="Q76" i="20"/>
  <c r="R76" i="20"/>
  <c r="S76" i="20"/>
  <c r="T76" i="20"/>
  <c r="U76" i="20"/>
  <c r="P77" i="20"/>
  <c r="Q77" i="20"/>
  <c r="R77" i="20"/>
  <c r="S77" i="20"/>
  <c r="T77" i="20"/>
  <c r="U77" i="20"/>
  <c r="P78" i="20"/>
  <c r="Q78" i="20"/>
  <c r="R78" i="20"/>
  <c r="S78" i="20"/>
  <c r="T78" i="20"/>
  <c r="U78" i="20"/>
  <c r="P79" i="20"/>
  <c r="Q79" i="20"/>
  <c r="R79" i="20"/>
  <c r="S79" i="20"/>
  <c r="T79" i="20"/>
  <c r="U79" i="20"/>
  <c r="P80" i="20"/>
  <c r="Q80" i="20"/>
  <c r="R80" i="20"/>
  <c r="S80" i="20"/>
  <c r="T80" i="20"/>
  <c r="U80" i="20"/>
  <c r="P81" i="20"/>
  <c r="Q81" i="20"/>
  <c r="R81" i="20"/>
  <c r="S81" i="20"/>
  <c r="T81" i="20"/>
  <c r="U81" i="20"/>
  <c r="P82" i="20"/>
  <c r="Q82" i="20"/>
  <c r="R82" i="20"/>
  <c r="S82" i="20"/>
  <c r="T82" i="20"/>
  <c r="U82" i="20"/>
  <c r="P83" i="20"/>
  <c r="Q83" i="20"/>
  <c r="R83" i="20"/>
  <c r="S83" i="20"/>
  <c r="T83" i="20"/>
  <c r="U83" i="20"/>
  <c r="P84" i="20"/>
  <c r="Q84" i="20"/>
  <c r="R84" i="20"/>
  <c r="S84" i="20"/>
  <c r="T84" i="20"/>
  <c r="U84" i="20"/>
  <c r="P85" i="20"/>
  <c r="Q85" i="20"/>
  <c r="R85" i="20"/>
  <c r="S85" i="20"/>
  <c r="T85" i="20"/>
  <c r="U85" i="20"/>
  <c r="P86" i="20"/>
  <c r="Q86" i="20"/>
  <c r="R86" i="20"/>
  <c r="S86" i="20"/>
  <c r="T86" i="20"/>
  <c r="U86" i="20"/>
  <c r="P87" i="20"/>
  <c r="Q87" i="20"/>
  <c r="R87" i="20"/>
  <c r="S87" i="20"/>
  <c r="T87" i="20"/>
  <c r="U87" i="20"/>
  <c r="P88" i="20"/>
  <c r="Q88" i="20"/>
  <c r="R88" i="20"/>
  <c r="S88" i="20"/>
  <c r="T88" i="20"/>
  <c r="U88" i="20"/>
  <c r="P89" i="20"/>
  <c r="Q89" i="20"/>
  <c r="R89" i="20"/>
  <c r="S89" i="20"/>
  <c r="T89" i="20"/>
  <c r="U89" i="20"/>
  <c r="P90" i="20"/>
  <c r="Q90" i="20"/>
  <c r="R90" i="20"/>
  <c r="S90" i="20"/>
  <c r="T90" i="20"/>
  <c r="U90" i="20"/>
  <c r="P91" i="20"/>
  <c r="Q91" i="20"/>
  <c r="R91" i="20"/>
  <c r="S91" i="20"/>
  <c r="T91" i="20"/>
  <c r="U91" i="20"/>
  <c r="P92" i="20"/>
  <c r="Q92" i="20"/>
  <c r="R92" i="20"/>
  <c r="S92" i="20"/>
  <c r="T92" i="20"/>
  <c r="U92" i="20"/>
  <c r="P93" i="20"/>
  <c r="Q93" i="20"/>
  <c r="R93" i="20"/>
  <c r="S93" i="20"/>
  <c r="T93" i="20"/>
  <c r="U93" i="20"/>
  <c r="P94" i="20"/>
  <c r="Q94" i="20"/>
  <c r="R94" i="20"/>
  <c r="S94" i="20"/>
  <c r="T94" i="20"/>
  <c r="U94" i="20"/>
  <c r="P95" i="20"/>
  <c r="Q95" i="20"/>
  <c r="R95" i="20"/>
  <c r="S95" i="20"/>
  <c r="T95" i="20"/>
  <c r="U95" i="20"/>
  <c r="P96" i="20"/>
  <c r="Q96" i="20"/>
  <c r="R96" i="20"/>
  <c r="S96" i="20"/>
  <c r="T96" i="20"/>
  <c r="U96" i="20"/>
  <c r="P97" i="20"/>
  <c r="Q97" i="20"/>
  <c r="R97" i="20"/>
  <c r="S97" i="20"/>
  <c r="T97" i="20"/>
  <c r="U97" i="20"/>
  <c r="P98" i="20"/>
  <c r="Q98" i="20"/>
  <c r="R98" i="20"/>
  <c r="S98" i="20"/>
  <c r="T98" i="20"/>
  <c r="U98" i="20"/>
  <c r="Q55" i="20"/>
  <c r="R55" i="20"/>
  <c r="S55" i="20"/>
  <c r="T55" i="20"/>
  <c r="U55" i="20"/>
  <c r="P55" i="20"/>
  <c r="R5" i="9"/>
  <c r="R135" i="9" s="1"/>
  <c r="P14" i="13" l="1"/>
  <c r="O14" i="13"/>
  <c r="N14" i="13"/>
  <c r="M14" i="13"/>
  <c r="L14" i="13"/>
  <c r="P13" i="13"/>
  <c r="O13" i="13"/>
  <c r="N13" i="13"/>
  <c r="M13" i="13"/>
  <c r="L13" i="13"/>
  <c r="P12" i="13"/>
  <c r="O12" i="13"/>
  <c r="N12" i="13"/>
  <c r="M12" i="13"/>
  <c r="L12" i="13"/>
  <c r="P11" i="13"/>
  <c r="O11" i="13"/>
  <c r="N11" i="13"/>
  <c r="M11" i="13"/>
  <c r="L11" i="13"/>
  <c r="P10" i="13"/>
  <c r="O10" i="13"/>
  <c r="N10" i="13"/>
  <c r="M10" i="13"/>
  <c r="L10" i="13"/>
  <c r="P9" i="13"/>
  <c r="O9" i="13"/>
  <c r="N9" i="13"/>
  <c r="M9" i="13"/>
  <c r="L9" i="13"/>
  <c r="P8" i="13"/>
  <c r="O8" i="13"/>
  <c r="N8" i="13"/>
  <c r="M8" i="13"/>
  <c r="L8" i="13"/>
  <c r="P7" i="13"/>
  <c r="O7" i="13"/>
  <c r="N7" i="13"/>
  <c r="M7" i="13"/>
  <c r="L7" i="13"/>
  <c r="P6" i="13"/>
  <c r="O6" i="13"/>
  <c r="N6" i="13"/>
  <c r="M6" i="13"/>
  <c r="L6" i="13"/>
  <c r="P5" i="13"/>
  <c r="O5" i="13"/>
  <c r="N5" i="13"/>
  <c r="M5" i="13"/>
  <c r="L5" i="13"/>
  <c r="G17" i="13"/>
  <c r="M15" i="13" l="1"/>
  <c r="Q6" i="13"/>
  <c r="Q9" i="13"/>
  <c r="Q13" i="13"/>
  <c r="N15" i="13"/>
  <c r="Q10" i="13"/>
  <c r="Q14" i="13"/>
  <c r="O15" i="13"/>
  <c r="Q7" i="13"/>
  <c r="Q11" i="13"/>
  <c r="L15" i="13"/>
  <c r="P15" i="13"/>
  <c r="Q8" i="13"/>
  <c r="Q12" i="13"/>
  <c r="Q5" i="13"/>
  <c r="C18" i="13"/>
  <c r="D18" i="13"/>
  <c r="E18" i="13"/>
  <c r="F18" i="13"/>
  <c r="H15" i="13"/>
  <c r="Q15" i="13" l="1"/>
  <c r="Z38" i="13"/>
  <c r="AA36" i="13"/>
  <c r="B18" i="13" l="1"/>
  <c r="G18" i="13" s="1"/>
  <c r="B6" i="13"/>
  <c r="C6" i="13"/>
  <c r="D6" i="13"/>
  <c r="E6" i="13"/>
  <c r="F6" i="13"/>
  <c r="B7" i="13"/>
  <c r="C7" i="13"/>
  <c r="D7" i="13"/>
  <c r="E7" i="13"/>
  <c r="F7" i="13"/>
  <c r="B8" i="13"/>
  <c r="C8" i="13"/>
  <c r="D8" i="13"/>
  <c r="E8" i="13"/>
  <c r="F8" i="13"/>
  <c r="B9" i="13"/>
  <c r="C9" i="13"/>
  <c r="D9" i="13"/>
  <c r="E9" i="13"/>
  <c r="F9" i="13"/>
  <c r="B10" i="13"/>
  <c r="C10" i="13"/>
  <c r="D10" i="13"/>
  <c r="E10" i="13"/>
  <c r="F10" i="13"/>
  <c r="B11" i="13"/>
  <c r="C11" i="13"/>
  <c r="D11" i="13"/>
  <c r="E11" i="13"/>
  <c r="F11" i="13"/>
  <c r="B12" i="13"/>
  <c r="C12" i="13"/>
  <c r="D12" i="13"/>
  <c r="E12" i="13"/>
  <c r="F12" i="13"/>
  <c r="B13" i="13"/>
  <c r="C13" i="13"/>
  <c r="D13" i="13"/>
  <c r="E13" i="13"/>
  <c r="F13" i="13"/>
  <c r="B14" i="13"/>
  <c r="C14" i="13"/>
  <c r="D14" i="13"/>
  <c r="E14" i="13"/>
  <c r="F14" i="13"/>
  <c r="F5" i="13"/>
  <c r="E5" i="13"/>
  <c r="D5" i="13"/>
  <c r="C5" i="13"/>
  <c r="B5" i="13"/>
  <c r="R50" i="9"/>
  <c r="R49" i="9"/>
  <c r="P49" i="9"/>
  <c r="O49" i="9"/>
  <c r="Q49" i="9"/>
  <c r="Q50" i="9"/>
  <c r="P50" i="9"/>
  <c r="O50" i="9"/>
  <c r="N50" i="9"/>
  <c r="N49" i="9"/>
  <c r="S50" i="9" l="1"/>
  <c r="S49" i="9"/>
  <c r="S51" i="9" l="1"/>
  <c r="N6" i="12"/>
  <c r="O6" i="12"/>
  <c r="P6" i="12"/>
  <c r="Q6" i="12"/>
  <c r="R6" i="12"/>
  <c r="N7" i="12"/>
  <c r="O7" i="12"/>
  <c r="P7" i="12"/>
  <c r="Q7" i="12"/>
  <c r="R7" i="12"/>
  <c r="N8" i="12"/>
  <c r="O8" i="12"/>
  <c r="P8" i="12"/>
  <c r="Q8" i="12"/>
  <c r="R8" i="12"/>
  <c r="N9" i="12"/>
  <c r="O9" i="12"/>
  <c r="P9" i="12"/>
  <c r="Q9" i="12"/>
  <c r="R9" i="12"/>
  <c r="N10" i="12"/>
  <c r="O10" i="12"/>
  <c r="P10" i="12"/>
  <c r="Q10" i="12"/>
  <c r="R10" i="12"/>
  <c r="N11" i="12"/>
  <c r="O11" i="12"/>
  <c r="P11" i="12"/>
  <c r="Q11" i="12"/>
  <c r="R11" i="12"/>
  <c r="N12" i="12"/>
  <c r="O12" i="12"/>
  <c r="P12" i="12"/>
  <c r="Q12" i="12"/>
  <c r="R12" i="12"/>
  <c r="N13" i="12"/>
  <c r="O13" i="12"/>
  <c r="P13" i="12"/>
  <c r="Q13" i="12"/>
  <c r="R13" i="12"/>
  <c r="N14" i="12"/>
  <c r="O14" i="12"/>
  <c r="P14" i="12"/>
  <c r="Q14" i="12"/>
  <c r="R14" i="12"/>
  <c r="N15" i="12"/>
  <c r="O15" i="12"/>
  <c r="P15" i="12"/>
  <c r="Q15" i="12"/>
  <c r="R15" i="12"/>
  <c r="N16" i="12"/>
  <c r="O16" i="12"/>
  <c r="P16" i="12"/>
  <c r="Q16" i="12"/>
  <c r="R16" i="12"/>
  <c r="N17" i="12"/>
  <c r="O17" i="12"/>
  <c r="P17" i="12"/>
  <c r="Q17" i="12"/>
  <c r="R17" i="12"/>
  <c r="N18" i="12"/>
  <c r="O18" i="12"/>
  <c r="P18" i="12"/>
  <c r="Q18" i="12"/>
  <c r="R18" i="12"/>
  <c r="N19" i="12"/>
  <c r="O19" i="12"/>
  <c r="P19" i="12"/>
  <c r="Q19" i="12"/>
  <c r="R19" i="12"/>
  <c r="N20" i="12"/>
  <c r="O20" i="12"/>
  <c r="P20" i="12"/>
  <c r="Q20" i="12"/>
  <c r="R20" i="12"/>
  <c r="N21" i="12"/>
  <c r="O21" i="12"/>
  <c r="P21" i="12"/>
  <c r="Q21" i="12"/>
  <c r="R21" i="12"/>
  <c r="N22" i="12"/>
  <c r="O22" i="12"/>
  <c r="P22" i="12"/>
  <c r="Q22" i="12"/>
  <c r="R22" i="12"/>
  <c r="N23" i="12"/>
  <c r="O23" i="12"/>
  <c r="P23" i="12"/>
  <c r="Q23" i="12"/>
  <c r="R23" i="12"/>
  <c r="N24" i="12"/>
  <c r="O24" i="12"/>
  <c r="P24" i="12"/>
  <c r="Q24" i="12"/>
  <c r="R24" i="12"/>
  <c r="N25" i="12"/>
  <c r="O25" i="12"/>
  <c r="P25" i="12"/>
  <c r="Q25" i="12"/>
  <c r="R25" i="12"/>
  <c r="N26" i="12"/>
  <c r="O26" i="12"/>
  <c r="P26" i="12"/>
  <c r="Q26" i="12"/>
  <c r="R26" i="12"/>
  <c r="N27" i="12"/>
  <c r="O27" i="12"/>
  <c r="P27" i="12"/>
  <c r="Q27" i="12"/>
  <c r="R27" i="12"/>
  <c r="N28" i="12"/>
  <c r="O28" i="12"/>
  <c r="P28" i="12"/>
  <c r="Q28" i="12"/>
  <c r="R28" i="12"/>
  <c r="N29" i="12"/>
  <c r="O29" i="12"/>
  <c r="P29" i="12"/>
  <c r="Q29" i="12"/>
  <c r="R29" i="12"/>
  <c r="N30" i="12"/>
  <c r="O30" i="12"/>
  <c r="P30" i="12"/>
  <c r="Q30" i="12"/>
  <c r="R30" i="12"/>
  <c r="N31" i="12"/>
  <c r="O31" i="12"/>
  <c r="P31" i="12"/>
  <c r="Q31" i="12"/>
  <c r="R31" i="12"/>
  <c r="N32" i="12"/>
  <c r="O32" i="12"/>
  <c r="P32" i="12"/>
  <c r="Q32" i="12"/>
  <c r="R32" i="12"/>
  <c r="N33" i="12"/>
  <c r="O33" i="12"/>
  <c r="P33" i="12"/>
  <c r="Q33" i="12"/>
  <c r="R33" i="12"/>
  <c r="N34" i="12"/>
  <c r="O34" i="12"/>
  <c r="P34" i="12"/>
  <c r="Q34" i="12"/>
  <c r="R34" i="12"/>
  <c r="N35" i="12"/>
  <c r="O35" i="12"/>
  <c r="P35" i="12"/>
  <c r="Q35" i="12"/>
  <c r="R35" i="12"/>
  <c r="N36" i="12"/>
  <c r="O36" i="12"/>
  <c r="P36" i="12"/>
  <c r="Q36" i="12"/>
  <c r="R36" i="12"/>
  <c r="N37" i="12"/>
  <c r="O37" i="12"/>
  <c r="P37" i="12"/>
  <c r="Q37" i="12"/>
  <c r="R37" i="12"/>
  <c r="N38" i="12"/>
  <c r="O38" i="12"/>
  <c r="P38" i="12"/>
  <c r="Q38" i="12"/>
  <c r="R38" i="12"/>
  <c r="N39" i="12"/>
  <c r="O39" i="12"/>
  <c r="P39" i="12"/>
  <c r="Q39" i="12"/>
  <c r="R39" i="12"/>
  <c r="N40" i="12"/>
  <c r="O40" i="12"/>
  <c r="P40" i="12"/>
  <c r="Q40" i="12"/>
  <c r="R40" i="12"/>
  <c r="N41" i="12"/>
  <c r="O41" i="12"/>
  <c r="P41" i="12"/>
  <c r="Q41" i="12"/>
  <c r="R41" i="12"/>
  <c r="N42" i="12"/>
  <c r="O42" i="12"/>
  <c r="P42" i="12"/>
  <c r="Q42" i="12"/>
  <c r="R42" i="12"/>
  <c r="N43" i="12"/>
  <c r="O43" i="12"/>
  <c r="P43" i="12"/>
  <c r="Q43" i="12"/>
  <c r="R43" i="12"/>
  <c r="N44" i="12"/>
  <c r="O44" i="12"/>
  <c r="P44" i="12"/>
  <c r="Q44" i="12"/>
  <c r="R44" i="12"/>
  <c r="N45" i="12"/>
  <c r="O45" i="12"/>
  <c r="P45" i="12"/>
  <c r="Q45" i="12"/>
  <c r="R45" i="12"/>
  <c r="N46" i="12"/>
  <c r="O46" i="12"/>
  <c r="P46" i="12"/>
  <c r="Q46" i="12"/>
  <c r="R46" i="12"/>
  <c r="N47" i="12"/>
  <c r="O47" i="12"/>
  <c r="P47" i="12"/>
  <c r="Q47" i="12"/>
  <c r="R47" i="12"/>
  <c r="N48" i="12"/>
  <c r="O48" i="12"/>
  <c r="P48" i="12"/>
  <c r="Q48" i="12"/>
  <c r="R48" i="12"/>
  <c r="N49" i="12"/>
  <c r="O49" i="12"/>
  <c r="P49" i="12"/>
  <c r="Q49" i="12"/>
  <c r="R49" i="12"/>
  <c r="N50" i="12"/>
  <c r="O50" i="12"/>
  <c r="P50" i="12"/>
  <c r="Q50" i="12"/>
  <c r="R50" i="12"/>
  <c r="H6" i="12"/>
  <c r="I6" i="12"/>
  <c r="J6" i="12"/>
  <c r="K6" i="12"/>
  <c r="L6" i="12"/>
  <c r="H7" i="12"/>
  <c r="I7" i="12"/>
  <c r="J7" i="12"/>
  <c r="K7" i="12"/>
  <c r="L7" i="12"/>
  <c r="H8" i="12"/>
  <c r="I8" i="12"/>
  <c r="J8" i="12"/>
  <c r="K8" i="12"/>
  <c r="L8" i="12"/>
  <c r="H9" i="12"/>
  <c r="I9" i="12"/>
  <c r="J9" i="12"/>
  <c r="K9" i="12"/>
  <c r="L9" i="12"/>
  <c r="H10" i="12"/>
  <c r="I10" i="12"/>
  <c r="J10" i="12"/>
  <c r="K10" i="12"/>
  <c r="L10" i="12"/>
  <c r="H11" i="12"/>
  <c r="I11" i="12"/>
  <c r="J11" i="12"/>
  <c r="K11" i="12"/>
  <c r="L11" i="12"/>
  <c r="H12" i="12"/>
  <c r="I12" i="12"/>
  <c r="J12" i="12"/>
  <c r="K12" i="12"/>
  <c r="L12" i="12"/>
  <c r="H13" i="12"/>
  <c r="I13" i="12"/>
  <c r="J13" i="12"/>
  <c r="K13" i="12"/>
  <c r="L13" i="12"/>
  <c r="H14" i="12"/>
  <c r="I14" i="12"/>
  <c r="J14" i="12"/>
  <c r="K14" i="12"/>
  <c r="L14" i="12"/>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B6" i="12"/>
  <c r="C6" i="12"/>
  <c r="D6" i="12"/>
  <c r="E6" i="12"/>
  <c r="F6" i="12"/>
  <c r="B7" i="12"/>
  <c r="C7" i="12"/>
  <c r="D7" i="12"/>
  <c r="E7" i="12"/>
  <c r="F7" i="12"/>
  <c r="B8" i="12"/>
  <c r="C8" i="12"/>
  <c r="D8" i="12"/>
  <c r="E8" i="12"/>
  <c r="F8" i="12"/>
  <c r="B9" i="12"/>
  <c r="C9" i="12"/>
  <c r="D9" i="12"/>
  <c r="E9" i="12"/>
  <c r="F9" i="12"/>
  <c r="B10" i="12"/>
  <c r="C10" i="12"/>
  <c r="D10" i="12"/>
  <c r="E10" i="12"/>
  <c r="F10" i="12"/>
  <c r="B11" i="12"/>
  <c r="C11" i="12"/>
  <c r="D11" i="12"/>
  <c r="E11" i="12"/>
  <c r="F11" i="12"/>
  <c r="B12" i="12"/>
  <c r="C12" i="12"/>
  <c r="D12" i="12"/>
  <c r="E12" i="12"/>
  <c r="F12" i="12"/>
  <c r="B13" i="12"/>
  <c r="C13" i="12"/>
  <c r="D13" i="12"/>
  <c r="E13" i="12"/>
  <c r="F13" i="12"/>
  <c r="B14" i="12"/>
  <c r="C14" i="12"/>
  <c r="D14" i="12"/>
  <c r="E14" i="12"/>
  <c r="F14" i="12"/>
  <c r="B15" i="12"/>
  <c r="C15" i="12"/>
  <c r="D15" i="12"/>
  <c r="E15" i="12"/>
  <c r="F15" i="12"/>
  <c r="B16" i="12"/>
  <c r="C16" i="12"/>
  <c r="D16" i="12"/>
  <c r="E16" i="12"/>
  <c r="F16" i="12"/>
  <c r="B17" i="12"/>
  <c r="C17" i="12"/>
  <c r="D17" i="12"/>
  <c r="E17" i="12"/>
  <c r="F17" i="12"/>
  <c r="B18" i="12"/>
  <c r="C18" i="12"/>
  <c r="D18" i="12"/>
  <c r="E18" i="12"/>
  <c r="F18" i="12"/>
  <c r="B19" i="12"/>
  <c r="C19" i="12"/>
  <c r="D19" i="12"/>
  <c r="E19" i="12"/>
  <c r="F19" i="12"/>
  <c r="B20" i="12"/>
  <c r="C20" i="12"/>
  <c r="D20" i="12"/>
  <c r="E20" i="12"/>
  <c r="F20" i="12"/>
  <c r="B21" i="12"/>
  <c r="C21" i="12"/>
  <c r="D21" i="12"/>
  <c r="E21" i="12"/>
  <c r="F21" i="12"/>
  <c r="B22" i="12"/>
  <c r="C22" i="12"/>
  <c r="D22" i="12"/>
  <c r="E22" i="12"/>
  <c r="F22" i="12"/>
  <c r="B23" i="12"/>
  <c r="C23" i="12"/>
  <c r="D23" i="12"/>
  <c r="E23" i="12"/>
  <c r="F23" i="12"/>
  <c r="B24" i="12"/>
  <c r="C24" i="12"/>
  <c r="D24" i="12"/>
  <c r="E24" i="12"/>
  <c r="F24" i="12"/>
  <c r="B25" i="12"/>
  <c r="C25" i="12"/>
  <c r="D25" i="12"/>
  <c r="E25" i="12"/>
  <c r="F25" i="12"/>
  <c r="B26" i="12"/>
  <c r="C26" i="12"/>
  <c r="D26" i="12"/>
  <c r="E26" i="12"/>
  <c r="F26" i="12"/>
  <c r="B27" i="12"/>
  <c r="C27" i="12"/>
  <c r="D27" i="12"/>
  <c r="E27" i="12"/>
  <c r="F27" i="12"/>
  <c r="B28" i="12"/>
  <c r="C28" i="12"/>
  <c r="D28" i="12"/>
  <c r="E28" i="12"/>
  <c r="F28" i="12"/>
  <c r="B29" i="12"/>
  <c r="C29" i="12"/>
  <c r="D29" i="12"/>
  <c r="E29" i="12"/>
  <c r="F29" i="12"/>
  <c r="B30" i="12"/>
  <c r="C30" i="12"/>
  <c r="D30" i="12"/>
  <c r="E30" i="12"/>
  <c r="F30" i="12"/>
  <c r="B31" i="12"/>
  <c r="C31" i="12"/>
  <c r="D31" i="12"/>
  <c r="E31" i="12"/>
  <c r="F31" i="12"/>
  <c r="B32" i="12"/>
  <c r="C32" i="12"/>
  <c r="D32" i="12"/>
  <c r="E32" i="12"/>
  <c r="F32" i="12"/>
  <c r="B33" i="12"/>
  <c r="C33" i="12"/>
  <c r="D33" i="12"/>
  <c r="E33" i="12"/>
  <c r="F33" i="12"/>
  <c r="B34" i="12"/>
  <c r="C34" i="12"/>
  <c r="D34" i="12"/>
  <c r="E34" i="12"/>
  <c r="F34" i="12"/>
  <c r="B35" i="12"/>
  <c r="C35" i="12"/>
  <c r="D35" i="12"/>
  <c r="E35" i="12"/>
  <c r="F35" i="12"/>
  <c r="B36" i="12"/>
  <c r="C36" i="12"/>
  <c r="D36" i="12"/>
  <c r="E36" i="12"/>
  <c r="F36" i="12"/>
  <c r="B37" i="12"/>
  <c r="C37" i="12"/>
  <c r="D37" i="12"/>
  <c r="E37" i="12"/>
  <c r="F37" i="12"/>
  <c r="B38" i="12"/>
  <c r="C38" i="12"/>
  <c r="D38" i="12"/>
  <c r="E38" i="12"/>
  <c r="F38" i="12"/>
  <c r="B39" i="12"/>
  <c r="C39" i="12"/>
  <c r="D39" i="12"/>
  <c r="E39" i="12"/>
  <c r="F39" i="12"/>
  <c r="B40" i="12"/>
  <c r="C40" i="12"/>
  <c r="D40" i="12"/>
  <c r="E40" i="12"/>
  <c r="F40" i="12"/>
  <c r="B41" i="12"/>
  <c r="C41" i="12"/>
  <c r="D41" i="12"/>
  <c r="E41" i="12"/>
  <c r="F41" i="12"/>
  <c r="B42" i="12"/>
  <c r="C42" i="12"/>
  <c r="D42" i="12"/>
  <c r="E42" i="12"/>
  <c r="F42" i="12"/>
  <c r="B43" i="12"/>
  <c r="C43" i="12"/>
  <c r="D43" i="12"/>
  <c r="E43" i="12"/>
  <c r="F43" i="12"/>
  <c r="B44" i="12"/>
  <c r="C44" i="12"/>
  <c r="D44" i="12"/>
  <c r="E44" i="12"/>
  <c r="F44" i="12"/>
  <c r="B45" i="12"/>
  <c r="C45" i="12"/>
  <c r="D45" i="12"/>
  <c r="E45" i="12"/>
  <c r="F45" i="12"/>
  <c r="B46" i="12"/>
  <c r="C46" i="12"/>
  <c r="D46" i="12"/>
  <c r="E46" i="12"/>
  <c r="F46" i="12"/>
  <c r="B47" i="12"/>
  <c r="C47" i="12"/>
  <c r="D47" i="12"/>
  <c r="E47" i="12"/>
  <c r="F47" i="12"/>
  <c r="B48" i="12"/>
  <c r="C48" i="12"/>
  <c r="D48" i="12"/>
  <c r="E48" i="12"/>
  <c r="F48" i="12"/>
  <c r="B49" i="12"/>
  <c r="C49" i="12"/>
  <c r="D49" i="12"/>
  <c r="E49" i="12"/>
  <c r="F49" i="12"/>
  <c r="B50" i="12"/>
  <c r="C50" i="12"/>
  <c r="D50" i="12"/>
  <c r="E50" i="12"/>
  <c r="F50" i="12"/>
  <c r="R5" i="12"/>
  <c r="Q5" i="12"/>
  <c r="P5" i="12"/>
  <c r="O5" i="12"/>
  <c r="N5" i="12"/>
  <c r="L5" i="12"/>
  <c r="K5" i="12"/>
  <c r="J5" i="12"/>
  <c r="I5" i="12"/>
  <c r="H5" i="12"/>
  <c r="F5" i="12"/>
  <c r="E5" i="12"/>
  <c r="D5" i="12"/>
  <c r="C5" i="12"/>
  <c r="B5" i="12"/>
  <c r="X50" i="12" l="1"/>
  <c r="T50" i="12"/>
  <c r="U49" i="12"/>
  <c r="W50" i="12"/>
  <c r="V47" i="12"/>
  <c r="T41" i="12"/>
  <c r="X37" i="12"/>
  <c r="W34" i="12"/>
  <c r="U28" i="12"/>
  <c r="T25" i="12"/>
  <c r="X21" i="12"/>
  <c r="V15" i="12"/>
  <c r="U12" i="12"/>
  <c r="T9" i="12"/>
  <c r="V50" i="12"/>
  <c r="W49" i="12"/>
  <c r="X48" i="12"/>
  <c r="T48" i="12"/>
  <c r="U47" i="12"/>
  <c r="V46" i="12"/>
  <c r="W45" i="12"/>
  <c r="X44" i="12"/>
  <c r="T44" i="12"/>
  <c r="U43" i="12"/>
  <c r="V42" i="12"/>
  <c r="W41" i="12"/>
  <c r="X40" i="12"/>
  <c r="T40" i="12"/>
  <c r="U39" i="12"/>
  <c r="V38" i="12"/>
  <c r="W37" i="12"/>
  <c r="X36" i="12"/>
  <c r="T36" i="12"/>
  <c r="U35" i="12"/>
  <c r="V34" i="12"/>
  <c r="W33" i="12"/>
  <c r="X32" i="12"/>
  <c r="T32" i="12"/>
  <c r="U31" i="12"/>
  <c r="V30" i="12"/>
  <c r="W29" i="12"/>
  <c r="X28" i="12"/>
  <c r="T28" i="12"/>
  <c r="U27" i="12"/>
  <c r="V26" i="12"/>
  <c r="W25" i="12"/>
  <c r="X24" i="12"/>
  <c r="T24" i="12"/>
  <c r="U23" i="12"/>
  <c r="V22" i="12"/>
  <c r="W21" i="12"/>
  <c r="X20" i="12"/>
  <c r="T20" i="12"/>
  <c r="U19" i="12"/>
  <c r="V18" i="12"/>
  <c r="W17" i="12"/>
  <c r="X16" i="12"/>
  <c r="T16" i="12"/>
  <c r="U15" i="12"/>
  <c r="V14" i="12"/>
  <c r="W13" i="12"/>
  <c r="X12" i="12"/>
  <c r="T12" i="12"/>
  <c r="U11" i="12"/>
  <c r="V10" i="12"/>
  <c r="W9" i="12"/>
  <c r="X8" i="12"/>
  <c r="T8" i="12"/>
  <c r="U7" i="12"/>
  <c r="V6" i="12"/>
  <c r="U50" i="12"/>
  <c r="V49" i="12"/>
  <c r="W48" i="12"/>
  <c r="X47" i="12"/>
  <c r="T47" i="12"/>
  <c r="U46" i="12"/>
  <c r="V45" i="12"/>
  <c r="W44" i="12"/>
  <c r="X43" i="12"/>
  <c r="T43" i="12"/>
  <c r="U42" i="12"/>
  <c r="V41" i="12"/>
  <c r="W40" i="12"/>
  <c r="X39" i="12"/>
  <c r="T39" i="12"/>
  <c r="U38" i="12"/>
  <c r="V37" i="12"/>
  <c r="V48" i="12"/>
  <c r="W47" i="12"/>
  <c r="X46" i="12"/>
  <c r="T46" i="12"/>
  <c r="U45" i="12"/>
  <c r="V44" i="12"/>
  <c r="W43" i="12"/>
  <c r="X42" i="12"/>
  <c r="T42" i="12"/>
  <c r="U41" i="12"/>
  <c r="V40" i="12"/>
  <c r="W39" i="12"/>
  <c r="X38" i="12"/>
  <c r="T38" i="12"/>
  <c r="U37" i="12"/>
  <c r="V36" i="12"/>
  <c r="W35" i="12"/>
  <c r="X34" i="12"/>
  <c r="T34" i="12"/>
  <c r="U33" i="12"/>
  <c r="V32" i="12"/>
  <c r="W31" i="12"/>
  <c r="X30" i="12"/>
  <c r="T30" i="12"/>
  <c r="U29" i="12"/>
  <c r="V28" i="12"/>
  <c r="W27" i="12"/>
  <c r="X26" i="12"/>
  <c r="T26" i="12"/>
  <c r="U25" i="12"/>
  <c r="V24" i="12"/>
  <c r="W23" i="12"/>
  <c r="X22" i="12"/>
  <c r="T22" i="12"/>
  <c r="U21" i="12"/>
  <c r="V20" i="12"/>
  <c r="W19" i="12"/>
  <c r="X18" i="12"/>
  <c r="T18" i="12"/>
  <c r="U17" i="12"/>
  <c r="V16" i="12"/>
  <c r="W15" i="12"/>
  <c r="X14" i="12"/>
  <c r="T14" i="12"/>
  <c r="U13" i="12"/>
  <c r="V12" i="12"/>
  <c r="W11" i="12"/>
  <c r="X10" i="12"/>
  <c r="T10" i="12"/>
  <c r="U9" i="12"/>
  <c r="V8" i="12"/>
  <c r="W7" i="12"/>
  <c r="X6" i="12"/>
  <c r="T6" i="12"/>
  <c r="W36" i="12"/>
  <c r="X35" i="12"/>
  <c r="T35" i="12"/>
  <c r="U34" i="12"/>
  <c r="V33" i="12"/>
  <c r="W32" i="12"/>
  <c r="X31" i="12"/>
  <c r="T31" i="12"/>
  <c r="U30" i="12"/>
  <c r="V29" i="12"/>
  <c r="W28" i="12"/>
  <c r="X27" i="12"/>
  <c r="T27" i="12"/>
  <c r="U26" i="12"/>
  <c r="V25" i="12"/>
  <c r="W24" i="12"/>
  <c r="X23" i="12"/>
  <c r="T23" i="12"/>
  <c r="U22" i="12"/>
  <c r="V21" i="12"/>
  <c r="W20" i="12"/>
  <c r="X19" i="12"/>
  <c r="T19" i="12"/>
  <c r="U18" i="12"/>
  <c r="V17" i="12"/>
  <c r="W16" i="12"/>
  <c r="X15" i="12"/>
  <c r="T15" i="12"/>
  <c r="U14" i="12"/>
  <c r="V13" i="12"/>
  <c r="W12" i="12"/>
  <c r="X11" i="12"/>
  <c r="T11" i="12"/>
  <c r="U10" i="12"/>
  <c r="V9" i="12"/>
  <c r="W8" i="12"/>
  <c r="X7" i="12"/>
  <c r="T7" i="12"/>
  <c r="U6" i="12"/>
  <c r="X49" i="12"/>
  <c r="T49" i="12"/>
  <c r="U48" i="12"/>
  <c r="M47" i="12"/>
  <c r="W46" i="12"/>
  <c r="X45" i="12"/>
  <c r="U44" i="12"/>
  <c r="M43" i="12"/>
  <c r="W42" i="12"/>
  <c r="X41" i="12"/>
  <c r="U40" i="12"/>
  <c r="V39" i="12"/>
  <c r="W38" i="12"/>
  <c r="T37" i="12"/>
  <c r="U36" i="12"/>
  <c r="V35" i="12"/>
  <c r="X33" i="12"/>
  <c r="T33" i="12"/>
  <c r="U32" i="12"/>
  <c r="V31" i="12"/>
  <c r="W30" i="12"/>
  <c r="X29" i="12"/>
  <c r="T29" i="12"/>
  <c r="V27" i="12"/>
  <c r="W26" i="12"/>
  <c r="X25" i="12"/>
  <c r="U24" i="12"/>
  <c r="V23" i="12"/>
  <c r="W22" i="12"/>
  <c r="T21" i="12"/>
  <c r="U20" i="12"/>
  <c r="V19" i="12"/>
  <c r="W18" i="12"/>
  <c r="X17" i="12"/>
  <c r="T17" i="12"/>
  <c r="U16" i="12"/>
  <c r="W14" i="12"/>
  <c r="X13" i="12"/>
  <c r="T13" i="12"/>
  <c r="V11" i="12"/>
  <c r="W10" i="12"/>
  <c r="X9" i="12"/>
  <c r="U8" i="12"/>
  <c r="V7" i="12"/>
  <c r="W6" i="12"/>
  <c r="M50" i="12"/>
  <c r="M46" i="12"/>
  <c r="M42" i="12"/>
  <c r="M41" i="12"/>
  <c r="V43" i="12"/>
  <c r="M45" i="12"/>
  <c r="M48" i="12"/>
  <c r="M44" i="12"/>
  <c r="M49" i="12"/>
  <c r="T45" i="12"/>
  <c r="Q51" i="12"/>
  <c r="S15" i="12"/>
  <c r="S19" i="12"/>
  <c r="S23" i="12"/>
  <c r="S27" i="12"/>
  <c r="S31" i="12"/>
  <c r="S33" i="12"/>
  <c r="S36" i="12"/>
  <c r="S40" i="12"/>
  <c r="S7" i="12"/>
  <c r="S9" i="12"/>
  <c r="S11" i="12"/>
  <c r="S13" i="12"/>
  <c r="S21" i="12"/>
  <c r="S25" i="12"/>
  <c r="S29" i="12"/>
  <c r="S8" i="12"/>
  <c r="S12" i="12"/>
  <c r="S24" i="12"/>
  <c r="S26" i="12"/>
  <c r="S28" i="12"/>
  <c r="S39" i="12"/>
  <c r="S6" i="12"/>
  <c r="S10" i="12"/>
  <c r="S14" i="12"/>
  <c r="S16" i="12"/>
  <c r="S20" i="12"/>
  <c r="S34" i="12"/>
  <c r="S37" i="12"/>
  <c r="N51" i="12"/>
  <c r="R51" i="12"/>
  <c r="S18" i="12"/>
  <c r="O51" i="12"/>
  <c r="S5" i="12"/>
  <c r="S17" i="12"/>
  <c r="P51" i="12"/>
  <c r="S22" i="12"/>
  <c r="S30" i="12"/>
  <c r="S32" i="12"/>
  <c r="S35" i="12"/>
  <c r="S38" i="12"/>
  <c r="AI6" i="9"/>
  <c r="AJ6" i="9" s="1"/>
  <c r="AI7" i="9"/>
  <c r="AJ7" i="9" s="1"/>
  <c r="AI8" i="9"/>
  <c r="AJ8" i="9" s="1"/>
  <c r="AI9" i="9"/>
  <c r="AJ9" i="9" s="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I27" i="9"/>
  <c r="AJ27" i="9" s="1"/>
  <c r="AI28" i="9"/>
  <c r="AJ28" i="9" s="1"/>
  <c r="AI29" i="9"/>
  <c r="AJ29" i="9" s="1"/>
  <c r="AI30" i="9"/>
  <c r="AJ30" i="9" s="1"/>
  <c r="AI31" i="9"/>
  <c r="AJ31" i="9" s="1"/>
  <c r="AI32" i="9"/>
  <c r="AJ32" i="9" s="1"/>
  <c r="AI33" i="9"/>
  <c r="AJ33" i="9" s="1"/>
  <c r="AI34" i="9"/>
  <c r="AJ34" i="9" s="1"/>
  <c r="AI35" i="9"/>
  <c r="AJ35" i="9" s="1"/>
  <c r="AI36" i="9"/>
  <c r="AJ36" i="9" s="1"/>
  <c r="AI37" i="9"/>
  <c r="AJ37" i="9" s="1"/>
  <c r="AI38" i="9"/>
  <c r="AJ38" i="9" s="1"/>
  <c r="AI39" i="9"/>
  <c r="AJ39" i="9" s="1"/>
  <c r="AI40" i="9"/>
  <c r="AJ40" i="9" s="1"/>
  <c r="AI41" i="9"/>
  <c r="AJ41" i="9" s="1"/>
  <c r="AI42" i="9"/>
  <c r="AJ42" i="9" s="1"/>
  <c r="AI5" i="9"/>
  <c r="AJ5" i="9" s="1"/>
  <c r="Y44" i="12" l="1"/>
  <c r="Y47" i="12"/>
  <c r="Y41" i="12"/>
  <c r="Y50" i="12"/>
  <c r="Y48" i="12"/>
  <c r="Y42" i="12"/>
  <c r="Y46" i="12"/>
  <c r="Y49" i="12"/>
  <c r="Y45" i="12"/>
  <c r="Y43" i="12"/>
  <c r="S51" i="12"/>
  <c r="N6" i="9"/>
  <c r="N136" i="9" s="1"/>
  <c r="O6" i="9"/>
  <c r="O136" i="9" s="1"/>
  <c r="P6" i="9"/>
  <c r="P136" i="9" s="1"/>
  <c r="Q6" i="9"/>
  <c r="Q136" i="9" s="1"/>
  <c r="R6" i="9"/>
  <c r="R136" i="9" s="1"/>
  <c r="N7" i="9"/>
  <c r="N121" i="9" s="1"/>
  <c r="O7" i="9"/>
  <c r="O121" i="9" s="1"/>
  <c r="P7" i="9"/>
  <c r="P121" i="9" s="1"/>
  <c r="Q7" i="9"/>
  <c r="Q121" i="9" s="1"/>
  <c r="R7" i="9"/>
  <c r="R121" i="9" s="1"/>
  <c r="N8" i="9"/>
  <c r="N137" i="9" s="1"/>
  <c r="O8" i="9"/>
  <c r="O137" i="9" s="1"/>
  <c r="P8" i="9"/>
  <c r="P137" i="9" s="1"/>
  <c r="Q8" i="9"/>
  <c r="Q137" i="9" s="1"/>
  <c r="R8" i="9"/>
  <c r="R137" i="9" s="1"/>
  <c r="N9" i="9"/>
  <c r="N103" i="9" s="1"/>
  <c r="O9" i="9"/>
  <c r="O103" i="9" s="1"/>
  <c r="P9" i="9"/>
  <c r="P103" i="9" s="1"/>
  <c r="Q9" i="9"/>
  <c r="Q103" i="9" s="1"/>
  <c r="R9" i="9"/>
  <c r="R103" i="9" s="1"/>
  <c r="N10" i="9"/>
  <c r="N104" i="9" s="1"/>
  <c r="O10" i="9"/>
  <c r="O104" i="9" s="1"/>
  <c r="P10" i="9"/>
  <c r="P104" i="9" s="1"/>
  <c r="Q10" i="9"/>
  <c r="Q104" i="9" s="1"/>
  <c r="R10" i="9"/>
  <c r="R104" i="9" s="1"/>
  <c r="N11" i="9"/>
  <c r="N105" i="9" s="1"/>
  <c r="O11" i="9"/>
  <c r="O105" i="9" s="1"/>
  <c r="P11" i="9"/>
  <c r="P105" i="9" s="1"/>
  <c r="Q11" i="9"/>
  <c r="Q105" i="9" s="1"/>
  <c r="R11" i="9"/>
  <c r="R105" i="9" s="1"/>
  <c r="N12" i="9"/>
  <c r="N106" i="9" s="1"/>
  <c r="O12" i="9"/>
  <c r="O106" i="9" s="1"/>
  <c r="P12" i="9"/>
  <c r="P106" i="9" s="1"/>
  <c r="Q12" i="9"/>
  <c r="Q106" i="9" s="1"/>
  <c r="R12" i="9"/>
  <c r="R106" i="9" s="1"/>
  <c r="N13" i="9"/>
  <c r="N138" i="9" s="1"/>
  <c r="O13" i="9"/>
  <c r="O138" i="9" s="1"/>
  <c r="P13" i="9"/>
  <c r="P138" i="9" s="1"/>
  <c r="Q13" i="9"/>
  <c r="Q138" i="9" s="1"/>
  <c r="R13" i="9"/>
  <c r="R138" i="9" s="1"/>
  <c r="N14" i="9"/>
  <c r="N139" i="9" s="1"/>
  <c r="O14" i="9"/>
  <c r="O139" i="9" s="1"/>
  <c r="P14" i="9"/>
  <c r="P139" i="9" s="1"/>
  <c r="Q14" i="9"/>
  <c r="Q139" i="9" s="1"/>
  <c r="R14" i="9"/>
  <c r="R139" i="9" s="1"/>
  <c r="N15" i="9"/>
  <c r="N128" i="9" s="1"/>
  <c r="O15" i="9"/>
  <c r="O128" i="9" s="1"/>
  <c r="P15" i="9"/>
  <c r="P128" i="9" s="1"/>
  <c r="Q15" i="9"/>
  <c r="Q128" i="9" s="1"/>
  <c r="R15" i="9"/>
  <c r="R128" i="9" s="1"/>
  <c r="N16" i="9"/>
  <c r="N107" i="9" s="1"/>
  <c r="O16" i="9"/>
  <c r="O107" i="9" s="1"/>
  <c r="P16" i="9"/>
  <c r="P107" i="9" s="1"/>
  <c r="Q16" i="9"/>
  <c r="Q107" i="9" s="1"/>
  <c r="R16" i="9"/>
  <c r="R107" i="9" s="1"/>
  <c r="N17" i="9"/>
  <c r="N129" i="9" s="1"/>
  <c r="O17" i="9"/>
  <c r="O129" i="9" s="1"/>
  <c r="P17" i="9"/>
  <c r="P129" i="9" s="1"/>
  <c r="Q17" i="9"/>
  <c r="Q129" i="9" s="1"/>
  <c r="R17" i="9"/>
  <c r="R129" i="9" s="1"/>
  <c r="N18" i="9"/>
  <c r="N130" i="9" s="1"/>
  <c r="O18" i="9"/>
  <c r="O130" i="9" s="1"/>
  <c r="P18" i="9"/>
  <c r="P130" i="9" s="1"/>
  <c r="Q18" i="9"/>
  <c r="Q130" i="9" s="1"/>
  <c r="R18" i="9"/>
  <c r="R130" i="9" s="1"/>
  <c r="N19" i="9"/>
  <c r="N140" i="9" s="1"/>
  <c r="O19" i="9"/>
  <c r="O140" i="9" s="1"/>
  <c r="P19" i="9"/>
  <c r="P140" i="9" s="1"/>
  <c r="Q19" i="9"/>
  <c r="Q140" i="9" s="1"/>
  <c r="R19" i="9"/>
  <c r="R140" i="9" s="1"/>
  <c r="N20" i="9"/>
  <c r="N122" i="9" s="1"/>
  <c r="O20" i="9"/>
  <c r="O122" i="9" s="1"/>
  <c r="P20" i="9"/>
  <c r="P122" i="9" s="1"/>
  <c r="Q20" i="9"/>
  <c r="Q122" i="9" s="1"/>
  <c r="R20" i="9"/>
  <c r="R122" i="9" s="1"/>
  <c r="N21" i="9"/>
  <c r="N131" i="9" s="1"/>
  <c r="O21" i="9"/>
  <c r="O131" i="9" s="1"/>
  <c r="P21" i="9"/>
  <c r="P131" i="9" s="1"/>
  <c r="Q21" i="9"/>
  <c r="Q131" i="9" s="1"/>
  <c r="R21" i="9"/>
  <c r="R131" i="9" s="1"/>
  <c r="N22" i="9"/>
  <c r="N141" i="9" s="1"/>
  <c r="O22" i="9"/>
  <c r="O141" i="9" s="1"/>
  <c r="P22" i="9"/>
  <c r="P141" i="9" s="1"/>
  <c r="Q22" i="9"/>
  <c r="Q141" i="9" s="1"/>
  <c r="R22" i="9"/>
  <c r="R141" i="9" s="1"/>
  <c r="N23" i="9"/>
  <c r="N123" i="9" s="1"/>
  <c r="O23" i="9"/>
  <c r="O123" i="9" s="1"/>
  <c r="P23" i="9"/>
  <c r="P123" i="9" s="1"/>
  <c r="Q23" i="9"/>
  <c r="Q123" i="9" s="1"/>
  <c r="R23" i="9"/>
  <c r="R123" i="9" s="1"/>
  <c r="N24" i="9"/>
  <c r="N115" i="9" s="1"/>
  <c r="O24" i="9"/>
  <c r="O115" i="9" s="1"/>
  <c r="P24" i="9"/>
  <c r="P115" i="9" s="1"/>
  <c r="Q24" i="9"/>
  <c r="Q115" i="9" s="1"/>
  <c r="R24" i="9"/>
  <c r="R115" i="9" s="1"/>
  <c r="N25" i="9"/>
  <c r="N111" i="9" s="1"/>
  <c r="O25" i="9"/>
  <c r="P25" i="9"/>
  <c r="P111" i="9" s="1"/>
  <c r="Q25" i="9"/>
  <c r="Q111" i="9" s="1"/>
  <c r="R25" i="9"/>
  <c r="R111" i="9" s="1"/>
  <c r="N26" i="9"/>
  <c r="N112" i="9" s="1"/>
  <c r="O26" i="9"/>
  <c r="O112" i="9" s="1"/>
  <c r="P26" i="9"/>
  <c r="P112" i="9" s="1"/>
  <c r="Q26" i="9"/>
  <c r="Q112" i="9" s="1"/>
  <c r="R26" i="9"/>
  <c r="R112" i="9" s="1"/>
  <c r="N27" i="9"/>
  <c r="N116" i="9" s="1"/>
  <c r="O27" i="9"/>
  <c r="O116" i="9" s="1"/>
  <c r="P27" i="9"/>
  <c r="P116" i="9" s="1"/>
  <c r="Q27" i="9"/>
  <c r="Q116" i="9" s="1"/>
  <c r="R27" i="9"/>
  <c r="R116" i="9" s="1"/>
  <c r="N28" i="9"/>
  <c r="N132" i="9" s="1"/>
  <c r="O28" i="9"/>
  <c r="O132" i="9" s="1"/>
  <c r="P28" i="9"/>
  <c r="P132" i="9" s="1"/>
  <c r="Q28" i="9"/>
  <c r="Q132" i="9" s="1"/>
  <c r="R28" i="9"/>
  <c r="R132" i="9" s="1"/>
  <c r="N29" i="9"/>
  <c r="N142" i="9" s="1"/>
  <c r="O29" i="9"/>
  <c r="O142" i="9" s="1"/>
  <c r="P29" i="9"/>
  <c r="P142" i="9" s="1"/>
  <c r="Q29" i="9"/>
  <c r="Q142" i="9" s="1"/>
  <c r="R29" i="9"/>
  <c r="R142" i="9" s="1"/>
  <c r="N30" i="9"/>
  <c r="N108" i="9" s="1"/>
  <c r="O30" i="9"/>
  <c r="O108" i="9" s="1"/>
  <c r="P30" i="9"/>
  <c r="P108" i="9" s="1"/>
  <c r="Q30" i="9"/>
  <c r="Q108" i="9" s="1"/>
  <c r="R30" i="9"/>
  <c r="R108" i="9" s="1"/>
  <c r="N31" i="9"/>
  <c r="N143" i="9" s="1"/>
  <c r="O31" i="9"/>
  <c r="O143" i="9" s="1"/>
  <c r="P31" i="9"/>
  <c r="P143" i="9" s="1"/>
  <c r="Q31" i="9"/>
  <c r="Q143" i="9" s="1"/>
  <c r="R31" i="9"/>
  <c r="R143" i="9" s="1"/>
  <c r="N32" i="9"/>
  <c r="N113" i="9" s="1"/>
  <c r="O32" i="9"/>
  <c r="O113" i="9" s="1"/>
  <c r="P32" i="9"/>
  <c r="P113" i="9" s="1"/>
  <c r="Q32" i="9"/>
  <c r="Q113" i="9" s="1"/>
  <c r="R32" i="9"/>
  <c r="R113" i="9" s="1"/>
  <c r="N33" i="9"/>
  <c r="N133" i="9" s="1"/>
  <c r="O33" i="9"/>
  <c r="O133" i="9" s="1"/>
  <c r="P33" i="9"/>
  <c r="P133" i="9" s="1"/>
  <c r="Q33" i="9"/>
  <c r="Q133" i="9" s="1"/>
  <c r="R33" i="9"/>
  <c r="R133" i="9" s="1"/>
  <c r="N34" i="9"/>
  <c r="N117" i="9" s="1"/>
  <c r="O34" i="9"/>
  <c r="O117" i="9" s="1"/>
  <c r="P34" i="9"/>
  <c r="P117" i="9" s="1"/>
  <c r="Q34" i="9"/>
  <c r="Q117" i="9" s="1"/>
  <c r="R34" i="9"/>
  <c r="R117" i="9" s="1"/>
  <c r="N35" i="9"/>
  <c r="N124" i="9" s="1"/>
  <c r="O35" i="9"/>
  <c r="O124" i="9" s="1"/>
  <c r="P35" i="9"/>
  <c r="P124" i="9" s="1"/>
  <c r="Q35" i="9"/>
  <c r="Q124" i="9" s="1"/>
  <c r="R35" i="9"/>
  <c r="R124" i="9" s="1"/>
  <c r="N36" i="9"/>
  <c r="N118" i="9" s="1"/>
  <c r="O36" i="9"/>
  <c r="O118" i="9" s="1"/>
  <c r="P36" i="9"/>
  <c r="P118" i="9" s="1"/>
  <c r="Q36" i="9"/>
  <c r="Q118" i="9" s="1"/>
  <c r="R36" i="9"/>
  <c r="R118" i="9" s="1"/>
  <c r="N37" i="9"/>
  <c r="N125" i="9" s="1"/>
  <c r="O37" i="9"/>
  <c r="O125" i="9" s="1"/>
  <c r="P37" i="9"/>
  <c r="P125" i="9" s="1"/>
  <c r="Q37" i="9"/>
  <c r="Q125" i="9" s="1"/>
  <c r="R37" i="9"/>
  <c r="R125" i="9" s="1"/>
  <c r="N38" i="9"/>
  <c r="N126" i="9" s="1"/>
  <c r="O38" i="9"/>
  <c r="O126" i="9" s="1"/>
  <c r="P38" i="9"/>
  <c r="P126" i="9" s="1"/>
  <c r="Q38" i="9"/>
  <c r="Q126" i="9" s="1"/>
  <c r="R38" i="9"/>
  <c r="R126" i="9" s="1"/>
  <c r="N39" i="9"/>
  <c r="N119" i="9" s="1"/>
  <c r="O39" i="9"/>
  <c r="O119" i="9" s="1"/>
  <c r="P39" i="9"/>
  <c r="P119" i="9" s="1"/>
  <c r="Q39" i="9"/>
  <c r="Q119" i="9" s="1"/>
  <c r="R39" i="9"/>
  <c r="R119" i="9" s="1"/>
  <c r="N40" i="9"/>
  <c r="N144" i="9" s="1"/>
  <c r="O40" i="9"/>
  <c r="O144" i="9" s="1"/>
  <c r="P40" i="9"/>
  <c r="P144" i="9" s="1"/>
  <c r="Q40" i="9"/>
  <c r="Q144" i="9" s="1"/>
  <c r="R40" i="9"/>
  <c r="R144" i="9" s="1"/>
  <c r="N41" i="9"/>
  <c r="N145" i="9" s="1"/>
  <c r="O41" i="9"/>
  <c r="O145" i="9" s="1"/>
  <c r="P41" i="9"/>
  <c r="P145" i="9" s="1"/>
  <c r="Q41" i="9"/>
  <c r="Q145" i="9" s="1"/>
  <c r="R41" i="9"/>
  <c r="R145" i="9" s="1"/>
  <c r="N42" i="9"/>
  <c r="N109" i="9" s="1"/>
  <c r="O42" i="9"/>
  <c r="O109" i="9" s="1"/>
  <c r="P42" i="9"/>
  <c r="P109" i="9" s="1"/>
  <c r="Q42" i="9"/>
  <c r="Q109" i="9" s="1"/>
  <c r="R42" i="9"/>
  <c r="R109" i="9" s="1"/>
  <c r="Q5" i="9"/>
  <c r="Q135" i="9" s="1"/>
  <c r="P5" i="9"/>
  <c r="P135" i="9" s="1"/>
  <c r="O5" i="9"/>
  <c r="O135" i="9" s="1"/>
  <c r="N5" i="9"/>
  <c r="N135" i="9" s="1"/>
  <c r="O74" i="9" l="1"/>
  <c r="O110" i="9" s="1"/>
  <c r="O111" i="9"/>
  <c r="R74" i="9"/>
  <c r="R110" i="9" s="1"/>
  <c r="N74" i="9"/>
  <c r="N110" i="9" s="1"/>
  <c r="N73" i="9"/>
  <c r="N102" i="9" s="1"/>
  <c r="O78" i="9"/>
  <c r="O134" i="9" s="1"/>
  <c r="P78" i="9"/>
  <c r="P134" i="9" s="1"/>
  <c r="P76" i="9"/>
  <c r="P120" i="9" s="1"/>
  <c r="R77" i="9"/>
  <c r="R127" i="9" s="1"/>
  <c r="O75" i="9"/>
  <c r="O114" i="9" s="1"/>
  <c r="Q74" i="9"/>
  <c r="Q110" i="9" s="1"/>
  <c r="R75" i="9"/>
  <c r="R114" i="9" s="1"/>
  <c r="N75" i="9"/>
  <c r="N114" i="9" s="1"/>
  <c r="P77" i="9"/>
  <c r="O77" i="9"/>
  <c r="O127" i="9" s="1"/>
  <c r="R73" i="9"/>
  <c r="R102" i="9" s="1"/>
  <c r="Q73" i="9"/>
  <c r="Q102" i="9" s="1"/>
  <c r="O76" i="9"/>
  <c r="O120" i="9" s="1"/>
  <c r="P74" i="9"/>
  <c r="P110" i="9" s="1"/>
  <c r="Q75" i="9"/>
  <c r="Q114" i="9" s="1"/>
  <c r="N77" i="9"/>
  <c r="N127" i="9" s="1"/>
  <c r="P73" i="9"/>
  <c r="R76" i="9"/>
  <c r="R120" i="9" s="1"/>
  <c r="N76" i="9"/>
  <c r="N120" i="9" s="1"/>
  <c r="Q78" i="9"/>
  <c r="Q134" i="9" s="1"/>
  <c r="N78" i="9"/>
  <c r="P75" i="9"/>
  <c r="P114" i="9" s="1"/>
  <c r="Q77" i="9"/>
  <c r="Q127" i="9" s="1"/>
  <c r="O73" i="9"/>
  <c r="O102" i="9" s="1"/>
  <c r="Q76" i="9"/>
  <c r="R78" i="9"/>
  <c r="O43" i="9"/>
  <c r="S22" i="9"/>
  <c r="S141" i="9" s="1"/>
  <c r="S6" i="9"/>
  <c r="S136" i="9" s="1"/>
  <c r="S38" i="9"/>
  <c r="S126" i="9" s="1"/>
  <c r="S42" i="9"/>
  <c r="S109" i="9" s="1"/>
  <c r="S41" i="9"/>
  <c r="S145" i="9" s="1"/>
  <c r="S40" i="9"/>
  <c r="S144" i="9" s="1"/>
  <c r="S39" i="9"/>
  <c r="S119" i="9" s="1"/>
  <c r="S36" i="9"/>
  <c r="S118" i="9" s="1"/>
  <c r="S35" i="9"/>
  <c r="S124" i="9" s="1"/>
  <c r="S34" i="9"/>
  <c r="S117" i="9" s="1"/>
  <c r="S32" i="9"/>
  <c r="S113" i="9" s="1"/>
  <c r="S31" i="9"/>
  <c r="S143" i="9" s="1"/>
  <c r="S30" i="9"/>
  <c r="S108" i="9" s="1"/>
  <c r="S28" i="9"/>
  <c r="S132" i="9" s="1"/>
  <c r="S27" i="9"/>
  <c r="S116" i="9" s="1"/>
  <c r="S26" i="9"/>
  <c r="S112" i="9" s="1"/>
  <c r="S24" i="9"/>
  <c r="S115" i="9" s="1"/>
  <c r="S23" i="9"/>
  <c r="S123" i="9" s="1"/>
  <c r="S20" i="9"/>
  <c r="S122" i="9" s="1"/>
  <c r="S19" i="9"/>
  <c r="S140" i="9" s="1"/>
  <c r="S18" i="9"/>
  <c r="S130" i="9" s="1"/>
  <c r="S16" i="9"/>
  <c r="S107" i="9" s="1"/>
  <c r="S15" i="9"/>
  <c r="S128" i="9" s="1"/>
  <c r="S14" i="9"/>
  <c r="S139" i="9" s="1"/>
  <c r="S12" i="9"/>
  <c r="S106" i="9" s="1"/>
  <c r="S11" i="9"/>
  <c r="S105" i="9" s="1"/>
  <c r="S10" i="9"/>
  <c r="S104" i="9" s="1"/>
  <c r="S8" i="9"/>
  <c r="S137" i="9" s="1"/>
  <c r="S7" i="9"/>
  <c r="S121" i="9" s="1"/>
  <c r="S37" i="9"/>
  <c r="S125" i="9" s="1"/>
  <c r="S17" i="9"/>
  <c r="S129" i="9" s="1"/>
  <c r="S9" i="9"/>
  <c r="S103" i="9" s="1"/>
  <c r="S29" i="9"/>
  <c r="S142" i="9" s="1"/>
  <c r="S33" i="9"/>
  <c r="S133" i="9" s="1"/>
  <c r="S25" i="9"/>
  <c r="S111" i="9" s="1"/>
  <c r="S13" i="9"/>
  <c r="S138" i="9" s="1"/>
  <c r="S21" i="9"/>
  <c r="S131" i="9" s="1"/>
  <c r="P43" i="9"/>
  <c r="R43" i="9"/>
  <c r="Q43" i="9"/>
  <c r="S5" i="9"/>
  <c r="S135" i="9" s="1"/>
  <c r="N43" i="9"/>
  <c r="K5" i="9"/>
  <c r="K135" i="9" s="1"/>
  <c r="S149" i="9" l="1"/>
  <c r="R79" i="9"/>
  <c r="R134" i="9"/>
  <c r="S76" i="9"/>
  <c r="S120" i="9" s="1"/>
  <c r="Q120" i="9"/>
  <c r="N79" i="9"/>
  <c r="N134" i="9"/>
  <c r="P79" i="9"/>
  <c r="P102" i="9"/>
  <c r="S77" i="9"/>
  <c r="S127" i="9" s="1"/>
  <c r="P127" i="9"/>
  <c r="O79" i="9"/>
  <c r="S73" i="9"/>
  <c r="S102" i="9" s="1"/>
  <c r="Q79" i="9"/>
  <c r="D50" i="9"/>
  <c r="C49" i="9"/>
  <c r="E50" i="9"/>
  <c r="D49" i="9"/>
  <c r="C50" i="9"/>
  <c r="F49" i="9"/>
  <c r="B49" i="9"/>
  <c r="F50" i="9"/>
  <c r="B50" i="9"/>
  <c r="E49" i="9"/>
  <c r="K50" i="9"/>
  <c r="L49" i="9"/>
  <c r="H49" i="9"/>
  <c r="I50" i="9"/>
  <c r="J50" i="9"/>
  <c r="K49" i="9"/>
  <c r="J49" i="9"/>
  <c r="L50" i="9"/>
  <c r="H50" i="9"/>
  <c r="I49" i="9"/>
  <c r="S43" i="9"/>
  <c r="S53" i="9" s="1"/>
  <c r="M13" i="12"/>
  <c r="B5" i="9"/>
  <c r="E18" i="9"/>
  <c r="H6" i="9"/>
  <c r="H136" i="9" s="1"/>
  <c r="I6" i="9"/>
  <c r="I136" i="9" s="1"/>
  <c r="J6" i="9"/>
  <c r="J136" i="9" s="1"/>
  <c r="K6" i="9"/>
  <c r="K136" i="9" s="1"/>
  <c r="L6" i="9"/>
  <c r="L136" i="9" s="1"/>
  <c r="H7" i="9"/>
  <c r="H121" i="9" s="1"/>
  <c r="I7" i="9"/>
  <c r="I121" i="9" s="1"/>
  <c r="J7" i="9"/>
  <c r="J121" i="9" s="1"/>
  <c r="K7" i="9"/>
  <c r="K121" i="9" s="1"/>
  <c r="L7" i="9"/>
  <c r="L121" i="9" s="1"/>
  <c r="H8" i="9"/>
  <c r="H137" i="9" s="1"/>
  <c r="I8" i="9"/>
  <c r="I137" i="9" s="1"/>
  <c r="J8" i="9"/>
  <c r="J137" i="9" s="1"/>
  <c r="K8" i="9"/>
  <c r="K137" i="9" s="1"/>
  <c r="L8" i="9"/>
  <c r="L137" i="9" s="1"/>
  <c r="H9" i="9"/>
  <c r="H103" i="9" s="1"/>
  <c r="I9" i="9"/>
  <c r="I103" i="9" s="1"/>
  <c r="J9" i="9"/>
  <c r="J103" i="9" s="1"/>
  <c r="K9" i="9"/>
  <c r="K103" i="9" s="1"/>
  <c r="L9" i="9"/>
  <c r="L103" i="9" s="1"/>
  <c r="H10" i="9"/>
  <c r="H104" i="9" s="1"/>
  <c r="I10" i="9"/>
  <c r="I104" i="9" s="1"/>
  <c r="J10" i="9"/>
  <c r="J104" i="9" s="1"/>
  <c r="K10" i="9"/>
  <c r="K104" i="9" s="1"/>
  <c r="L10" i="9"/>
  <c r="L104" i="9" s="1"/>
  <c r="H11" i="9"/>
  <c r="H105" i="9" s="1"/>
  <c r="I11" i="9"/>
  <c r="I105" i="9" s="1"/>
  <c r="J11" i="9"/>
  <c r="J105" i="9" s="1"/>
  <c r="K11" i="9"/>
  <c r="K105" i="9" s="1"/>
  <c r="L11" i="9"/>
  <c r="L105" i="9" s="1"/>
  <c r="H12" i="9"/>
  <c r="H106" i="9" s="1"/>
  <c r="I12" i="9"/>
  <c r="I106" i="9" s="1"/>
  <c r="J12" i="9"/>
  <c r="J106" i="9" s="1"/>
  <c r="K12" i="9"/>
  <c r="K106" i="9" s="1"/>
  <c r="L12" i="9"/>
  <c r="L106" i="9" s="1"/>
  <c r="H13" i="9"/>
  <c r="H138" i="9" s="1"/>
  <c r="I13" i="9"/>
  <c r="I138" i="9" s="1"/>
  <c r="J13" i="9"/>
  <c r="J138" i="9" s="1"/>
  <c r="K13" i="9"/>
  <c r="K138" i="9" s="1"/>
  <c r="L13" i="9"/>
  <c r="L138" i="9" s="1"/>
  <c r="H14" i="9"/>
  <c r="H139" i="9" s="1"/>
  <c r="I14" i="9"/>
  <c r="I139" i="9" s="1"/>
  <c r="J14" i="9"/>
  <c r="J139" i="9" s="1"/>
  <c r="K14" i="9"/>
  <c r="K139" i="9" s="1"/>
  <c r="L14" i="9"/>
  <c r="L139" i="9" s="1"/>
  <c r="H15" i="9"/>
  <c r="H128" i="9" s="1"/>
  <c r="I15" i="9"/>
  <c r="I128" i="9" s="1"/>
  <c r="J15" i="9"/>
  <c r="J128" i="9" s="1"/>
  <c r="K15" i="9"/>
  <c r="K128" i="9" s="1"/>
  <c r="L15" i="9"/>
  <c r="L128" i="9" s="1"/>
  <c r="H16" i="9"/>
  <c r="H107" i="9" s="1"/>
  <c r="I16" i="9"/>
  <c r="I107" i="9" s="1"/>
  <c r="J16" i="9"/>
  <c r="J107" i="9" s="1"/>
  <c r="K16" i="9"/>
  <c r="K107" i="9" s="1"/>
  <c r="L16" i="9"/>
  <c r="L107" i="9" s="1"/>
  <c r="H17" i="9"/>
  <c r="H129" i="9" s="1"/>
  <c r="I17" i="9"/>
  <c r="I129" i="9" s="1"/>
  <c r="J17" i="9"/>
  <c r="J129" i="9" s="1"/>
  <c r="K17" i="9"/>
  <c r="K129" i="9" s="1"/>
  <c r="L17" i="9"/>
  <c r="L129" i="9" s="1"/>
  <c r="H18" i="9"/>
  <c r="H130" i="9" s="1"/>
  <c r="I18" i="9"/>
  <c r="I130" i="9" s="1"/>
  <c r="J18" i="9"/>
  <c r="J130" i="9" s="1"/>
  <c r="K18" i="9"/>
  <c r="K130" i="9" s="1"/>
  <c r="L18" i="9"/>
  <c r="L130" i="9" s="1"/>
  <c r="H19" i="9"/>
  <c r="H140" i="9" s="1"/>
  <c r="I19" i="9"/>
  <c r="I140" i="9" s="1"/>
  <c r="J19" i="9"/>
  <c r="J140" i="9" s="1"/>
  <c r="K19" i="9"/>
  <c r="K140" i="9" s="1"/>
  <c r="L19" i="9"/>
  <c r="L140" i="9" s="1"/>
  <c r="H20" i="9"/>
  <c r="H122" i="9" s="1"/>
  <c r="I20" i="9"/>
  <c r="I122" i="9" s="1"/>
  <c r="J20" i="9"/>
  <c r="J122" i="9" s="1"/>
  <c r="K20" i="9"/>
  <c r="K122" i="9" s="1"/>
  <c r="L20" i="9"/>
  <c r="L122" i="9" s="1"/>
  <c r="H21" i="9"/>
  <c r="H131" i="9" s="1"/>
  <c r="I21" i="9"/>
  <c r="I131" i="9" s="1"/>
  <c r="J21" i="9"/>
  <c r="J131" i="9" s="1"/>
  <c r="K21" i="9"/>
  <c r="K131" i="9" s="1"/>
  <c r="L21" i="9"/>
  <c r="L131" i="9" s="1"/>
  <c r="H22" i="9"/>
  <c r="H141" i="9" s="1"/>
  <c r="I22" i="9"/>
  <c r="I141" i="9" s="1"/>
  <c r="J22" i="9"/>
  <c r="J141" i="9" s="1"/>
  <c r="K22" i="9"/>
  <c r="K141" i="9" s="1"/>
  <c r="L22" i="9"/>
  <c r="L141" i="9" s="1"/>
  <c r="H23" i="9"/>
  <c r="H123" i="9" s="1"/>
  <c r="I23" i="9"/>
  <c r="I123" i="9" s="1"/>
  <c r="J23" i="9"/>
  <c r="J123" i="9" s="1"/>
  <c r="K23" i="9"/>
  <c r="K123" i="9" s="1"/>
  <c r="L23" i="9"/>
  <c r="L123" i="9" s="1"/>
  <c r="H24" i="9"/>
  <c r="H115" i="9" s="1"/>
  <c r="I24" i="9"/>
  <c r="I115" i="9" s="1"/>
  <c r="J24" i="9"/>
  <c r="J115" i="9" s="1"/>
  <c r="K24" i="9"/>
  <c r="K115" i="9" s="1"/>
  <c r="L24" i="9"/>
  <c r="L115" i="9" s="1"/>
  <c r="H25" i="9"/>
  <c r="H111" i="9" s="1"/>
  <c r="I25" i="9"/>
  <c r="I111" i="9" s="1"/>
  <c r="J25" i="9"/>
  <c r="J111" i="9" s="1"/>
  <c r="K25" i="9"/>
  <c r="K111" i="9" s="1"/>
  <c r="L25" i="9"/>
  <c r="L111" i="9" s="1"/>
  <c r="H26" i="9"/>
  <c r="H112" i="9" s="1"/>
  <c r="I26" i="9"/>
  <c r="I112" i="9" s="1"/>
  <c r="J26" i="9"/>
  <c r="J112" i="9" s="1"/>
  <c r="K26" i="9"/>
  <c r="K112" i="9" s="1"/>
  <c r="L26" i="9"/>
  <c r="L112" i="9" s="1"/>
  <c r="H27" i="9"/>
  <c r="H116" i="9" s="1"/>
  <c r="I27" i="9"/>
  <c r="I116" i="9" s="1"/>
  <c r="J27" i="9"/>
  <c r="J116" i="9" s="1"/>
  <c r="K27" i="9"/>
  <c r="K116" i="9" s="1"/>
  <c r="L27" i="9"/>
  <c r="L116" i="9" s="1"/>
  <c r="H28" i="9"/>
  <c r="H132" i="9" s="1"/>
  <c r="I28" i="9"/>
  <c r="I132" i="9" s="1"/>
  <c r="J28" i="9"/>
  <c r="J132" i="9" s="1"/>
  <c r="K28" i="9"/>
  <c r="K132" i="9" s="1"/>
  <c r="L28" i="9"/>
  <c r="L132" i="9" s="1"/>
  <c r="H29" i="9"/>
  <c r="H142" i="9" s="1"/>
  <c r="I29" i="9"/>
  <c r="I142" i="9" s="1"/>
  <c r="J29" i="9"/>
  <c r="J142" i="9" s="1"/>
  <c r="K29" i="9"/>
  <c r="K142" i="9" s="1"/>
  <c r="L29" i="9"/>
  <c r="L142" i="9" s="1"/>
  <c r="H30" i="9"/>
  <c r="H108" i="9" s="1"/>
  <c r="I30" i="9"/>
  <c r="I108" i="9" s="1"/>
  <c r="J30" i="9"/>
  <c r="J108" i="9" s="1"/>
  <c r="K30" i="9"/>
  <c r="K108" i="9" s="1"/>
  <c r="L30" i="9"/>
  <c r="L108" i="9" s="1"/>
  <c r="H31" i="9"/>
  <c r="H143" i="9" s="1"/>
  <c r="I31" i="9"/>
  <c r="I143" i="9" s="1"/>
  <c r="J31" i="9"/>
  <c r="J143" i="9" s="1"/>
  <c r="K31" i="9"/>
  <c r="K143" i="9" s="1"/>
  <c r="L31" i="9"/>
  <c r="L143" i="9" s="1"/>
  <c r="H32" i="9"/>
  <c r="H113" i="9" s="1"/>
  <c r="I32" i="9"/>
  <c r="I113" i="9" s="1"/>
  <c r="J32" i="9"/>
  <c r="J113" i="9" s="1"/>
  <c r="K32" i="9"/>
  <c r="K113" i="9" s="1"/>
  <c r="L32" i="9"/>
  <c r="L113" i="9" s="1"/>
  <c r="H33" i="9"/>
  <c r="H133" i="9" s="1"/>
  <c r="I33" i="9"/>
  <c r="I133" i="9" s="1"/>
  <c r="J33" i="9"/>
  <c r="J133" i="9" s="1"/>
  <c r="K33" i="9"/>
  <c r="K133" i="9" s="1"/>
  <c r="L33" i="9"/>
  <c r="L133" i="9" s="1"/>
  <c r="H34" i="9"/>
  <c r="H117" i="9" s="1"/>
  <c r="I34" i="9"/>
  <c r="I117" i="9" s="1"/>
  <c r="J34" i="9"/>
  <c r="J117" i="9" s="1"/>
  <c r="K34" i="9"/>
  <c r="K117" i="9" s="1"/>
  <c r="L34" i="9"/>
  <c r="L117" i="9" s="1"/>
  <c r="H35" i="9"/>
  <c r="H124" i="9" s="1"/>
  <c r="I35" i="9"/>
  <c r="I124" i="9" s="1"/>
  <c r="J35" i="9"/>
  <c r="J124" i="9" s="1"/>
  <c r="K35" i="9"/>
  <c r="K124" i="9" s="1"/>
  <c r="L35" i="9"/>
  <c r="L124" i="9" s="1"/>
  <c r="H36" i="9"/>
  <c r="H118" i="9" s="1"/>
  <c r="I36" i="9"/>
  <c r="I118" i="9" s="1"/>
  <c r="J36" i="9"/>
  <c r="J118" i="9" s="1"/>
  <c r="K36" i="9"/>
  <c r="K118" i="9" s="1"/>
  <c r="L36" i="9"/>
  <c r="L118" i="9" s="1"/>
  <c r="H37" i="9"/>
  <c r="H125" i="9" s="1"/>
  <c r="I37" i="9"/>
  <c r="I125" i="9" s="1"/>
  <c r="J37" i="9"/>
  <c r="J125" i="9" s="1"/>
  <c r="K37" i="9"/>
  <c r="K125" i="9" s="1"/>
  <c r="L37" i="9"/>
  <c r="L125" i="9" s="1"/>
  <c r="H38" i="9"/>
  <c r="H126" i="9" s="1"/>
  <c r="I38" i="9"/>
  <c r="I126" i="9" s="1"/>
  <c r="J38" i="9"/>
  <c r="J126" i="9" s="1"/>
  <c r="K38" i="9"/>
  <c r="K126" i="9" s="1"/>
  <c r="L38" i="9"/>
  <c r="L126" i="9" s="1"/>
  <c r="H39" i="9"/>
  <c r="H119" i="9" s="1"/>
  <c r="I39" i="9"/>
  <c r="I119" i="9" s="1"/>
  <c r="J39" i="9"/>
  <c r="J119" i="9" s="1"/>
  <c r="K39" i="9"/>
  <c r="K119" i="9" s="1"/>
  <c r="L39" i="9"/>
  <c r="L119" i="9" s="1"/>
  <c r="H40" i="9"/>
  <c r="H144" i="9" s="1"/>
  <c r="I40" i="9"/>
  <c r="I144" i="9" s="1"/>
  <c r="J40" i="9"/>
  <c r="J144" i="9" s="1"/>
  <c r="K40" i="9"/>
  <c r="K144" i="9" s="1"/>
  <c r="L40" i="9"/>
  <c r="L144" i="9" s="1"/>
  <c r="H41" i="9"/>
  <c r="H145" i="9" s="1"/>
  <c r="I41" i="9"/>
  <c r="I145" i="9" s="1"/>
  <c r="J41" i="9"/>
  <c r="J145" i="9" s="1"/>
  <c r="K41" i="9"/>
  <c r="K145" i="9" s="1"/>
  <c r="L41" i="9"/>
  <c r="L145" i="9" s="1"/>
  <c r="H42" i="9"/>
  <c r="H109" i="9" s="1"/>
  <c r="I42" i="9"/>
  <c r="I109" i="9" s="1"/>
  <c r="J42" i="9"/>
  <c r="J109" i="9" s="1"/>
  <c r="K42" i="9"/>
  <c r="K109" i="9" s="1"/>
  <c r="L42" i="9"/>
  <c r="L109" i="9" s="1"/>
  <c r="L5" i="9"/>
  <c r="L135" i="9" s="1"/>
  <c r="J5" i="9"/>
  <c r="J135" i="9" s="1"/>
  <c r="I5" i="9"/>
  <c r="I135" i="9" s="1"/>
  <c r="H5" i="9"/>
  <c r="H135" i="9" s="1"/>
  <c r="B6" i="9"/>
  <c r="C6" i="9"/>
  <c r="D6" i="9"/>
  <c r="E6" i="9"/>
  <c r="F6" i="9"/>
  <c r="B7" i="9"/>
  <c r="C7" i="9"/>
  <c r="D7" i="9"/>
  <c r="E7" i="9"/>
  <c r="F7" i="9"/>
  <c r="B8" i="9"/>
  <c r="C8" i="9"/>
  <c r="D8" i="9"/>
  <c r="E8" i="9"/>
  <c r="E137" i="9" s="1"/>
  <c r="F8" i="9"/>
  <c r="B9" i="9"/>
  <c r="C9" i="9"/>
  <c r="D9" i="9"/>
  <c r="E9" i="9"/>
  <c r="F9" i="9"/>
  <c r="B10" i="9"/>
  <c r="C10" i="9"/>
  <c r="D10" i="9"/>
  <c r="E10" i="9"/>
  <c r="F10" i="9"/>
  <c r="B11" i="9"/>
  <c r="C11" i="9"/>
  <c r="D11" i="9"/>
  <c r="E11" i="9"/>
  <c r="F11" i="9"/>
  <c r="B12" i="9"/>
  <c r="C12" i="9"/>
  <c r="D12" i="9"/>
  <c r="E12" i="9"/>
  <c r="F12" i="9"/>
  <c r="B13" i="9"/>
  <c r="C13" i="9"/>
  <c r="D13" i="9"/>
  <c r="E13" i="9"/>
  <c r="F13" i="9"/>
  <c r="B14" i="9"/>
  <c r="C14" i="9"/>
  <c r="D14" i="9"/>
  <c r="E14" i="9"/>
  <c r="F14" i="9"/>
  <c r="B15" i="9"/>
  <c r="C15" i="9"/>
  <c r="D15" i="9"/>
  <c r="E15" i="9"/>
  <c r="F15" i="9"/>
  <c r="B16" i="9"/>
  <c r="C16" i="9"/>
  <c r="D16" i="9"/>
  <c r="E16" i="9"/>
  <c r="F16" i="9"/>
  <c r="B17" i="9"/>
  <c r="C17" i="9"/>
  <c r="D17" i="9"/>
  <c r="E17" i="9"/>
  <c r="F17" i="9"/>
  <c r="B18" i="9"/>
  <c r="C18" i="9"/>
  <c r="D18" i="9"/>
  <c r="F18" i="9"/>
  <c r="B19" i="9"/>
  <c r="C19" i="9"/>
  <c r="D19" i="9"/>
  <c r="E19" i="9"/>
  <c r="F19" i="9"/>
  <c r="B20" i="9"/>
  <c r="C20" i="9"/>
  <c r="D20" i="9"/>
  <c r="E20" i="9"/>
  <c r="F20" i="9"/>
  <c r="B21" i="9"/>
  <c r="C21" i="9"/>
  <c r="D21" i="9"/>
  <c r="E21" i="9"/>
  <c r="F21" i="9"/>
  <c r="B22" i="9"/>
  <c r="C22" i="9"/>
  <c r="D22" i="9"/>
  <c r="E22" i="9"/>
  <c r="F22" i="9"/>
  <c r="B23" i="9"/>
  <c r="C23" i="9"/>
  <c r="D23" i="9"/>
  <c r="E23" i="9"/>
  <c r="F23" i="9"/>
  <c r="B24" i="9"/>
  <c r="B115" i="9" s="1"/>
  <c r="C24" i="9"/>
  <c r="C115" i="9" s="1"/>
  <c r="D24" i="9"/>
  <c r="D115" i="9" s="1"/>
  <c r="E24" i="9"/>
  <c r="E115" i="9" s="1"/>
  <c r="F24" i="9"/>
  <c r="F115" i="9" s="1"/>
  <c r="B25" i="9"/>
  <c r="C25" i="9"/>
  <c r="D25" i="9"/>
  <c r="E25" i="9"/>
  <c r="F25" i="9"/>
  <c r="B26" i="9"/>
  <c r="C26" i="9"/>
  <c r="D26" i="9"/>
  <c r="E26" i="9"/>
  <c r="F26" i="9"/>
  <c r="B27" i="9"/>
  <c r="C27" i="9"/>
  <c r="D27" i="9"/>
  <c r="E27" i="9"/>
  <c r="F27" i="9"/>
  <c r="B28" i="9"/>
  <c r="C28" i="9"/>
  <c r="D28" i="9"/>
  <c r="E28" i="9"/>
  <c r="F28" i="9"/>
  <c r="B29" i="9"/>
  <c r="C29" i="9"/>
  <c r="D29" i="9"/>
  <c r="E29" i="9"/>
  <c r="F29" i="9"/>
  <c r="B30" i="9"/>
  <c r="C30" i="9"/>
  <c r="D30" i="9"/>
  <c r="E30" i="9"/>
  <c r="F30" i="9"/>
  <c r="B31" i="9"/>
  <c r="C31" i="9"/>
  <c r="D31" i="9"/>
  <c r="E31" i="9"/>
  <c r="F31" i="9"/>
  <c r="B32" i="9"/>
  <c r="C32" i="9"/>
  <c r="D32" i="9"/>
  <c r="E32" i="9"/>
  <c r="F32" i="9"/>
  <c r="B33" i="9"/>
  <c r="C33" i="9"/>
  <c r="D33" i="9"/>
  <c r="E33" i="9"/>
  <c r="F33" i="9"/>
  <c r="B34" i="9"/>
  <c r="C34" i="9"/>
  <c r="D34" i="9"/>
  <c r="E34" i="9"/>
  <c r="F34" i="9"/>
  <c r="B35" i="9"/>
  <c r="C35" i="9"/>
  <c r="D35" i="9"/>
  <c r="E35" i="9"/>
  <c r="F35" i="9"/>
  <c r="B36" i="9"/>
  <c r="C36" i="9"/>
  <c r="D36" i="9"/>
  <c r="E36" i="9"/>
  <c r="F36" i="9"/>
  <c r="B37" i="9"/>
  <c r="C37" i="9"/>
  <c r="D37" i="9"/>
  <c r="E37" i="9"/>
  <c r="F37" i="9"/>
  <c r="B38" i="9"/>
  <c r="C38" i="9"/>
  <c r="D38" i="9"/>
  <c r="E38" i="9"/>
  <c r="F38" i="9"/>
  <c r="B39" i="9"/>
  <c r="C39" i="9"/>
  <c r="D39" i="9"/>
  <c r="E39" i="9"/>
  <c r="F39" i="9"/>
  <c r="B40" i="9"/>
  <c r="C40" i="9"/>
  <c r="D40" i="9"/>
  <c r="E40" i="9"/>
  <c r="F40" i="9"/>
  <c r="B41" i="9"/>
  <c r="C41" i="9"/>
  <c r="D41" i="9"/>
  <c r="E41" i="9"/>
  <c r="F41" i="9"/>
  <c r="B42" i="9"/>
  <c r="C42" i="9"/>
  <c r="D42" i="9"/>
  <c r="E42" i="9"/>
  <c r="F42" i="9"/>
  <c r="F5" i="9"/>
  <c r="E5" i="9"/>
  <c r="D5" i="9"/>
  <c r="C5" i="9"/>
  <c r="B103" i="9" l="1"/>
  <c r="D137" i="9"/>
  <c r="C137" i="9"/>
  <c r="F137" i="9"/>
  <c r="B137" i="9"/>
  <c r="B135" i="9"/>
  <c r="B130" i="9"/>
  <c r="E128" i="9"/>
  <c r="C138" i="9"/>
  <c r="F104" i="9"/>
  <c r="D107" i="9"/>
  <c r="B139" i="9"/>
  <c r="E105" i="9"/>
  <c r="C103" i="9"/>
  <c r="F136" i="9"/>
  <c r="B136" i="9"/>
  <c r="C135" i="9"/>
  <c r="C129" i="9"/>
  <c r="F139" i="9"/>
  <c r="D106" i="9"/>
  <c r="B104" i="9"/>
  <c r="E121" i="9"/>
  <c r="E130" i="9"/>
  <c r="D109" i="9"/>
  <c r="C119" i="9"/>
  <c r="B118" i="9"/>
  <c r="F113" i="9"/>
  <c r="E142" i="9"/>
  <c r="C116" i="9"/>
  <c r="D112" i="9"/>
  <c r="E111" i="9"/>
  <c r="C123" i="9"/>
  <c r="D141" i="9"/>
  <c r="E131" i="9"/>
  <c r="F122" i="9"/>
  <c r="B122" i="9"/>
  <c r="C140" i="9"/>
  <c r="C130" i="9"/>
  <c r="D129" i="9"/>
  <c r="E107" i="9"/>
  <c r="F128" i="9"/>
  <c r="B128" i="9"/>
  <c r="C139" i="9"/>
  <c r="D138" i="9"/>
  <c r="E106" i="9"/>
  <c r="F105" i="9"/>
  <c r="B105" i="9"/>
  <c r="C104" i="9"/>
  <c r="D103" i="9"/>
  <c r="F121" i="9"/>
  <c r="B121" i="9"/>
  <c r="C136" i="9"/>
  <c r="F144" i="9"/>
  <c r="E125" i="9"/>
  <c r="D117" i="9"/>
  <c r="C143" i="9"/>
  <c r="B132" i="9"/>
  <c r="C109" i="9"/>
  <c r="D145" i="9"/>
  <c r="E144" i="9"/>
  <c r="F119" i="9"/>
  <c r="B119" i="9"/>
  <c r="C126" i="9"/>
  <c r="D125" i="9"/>
  <c r="E118" i="9"/>
  <c r="F124" i="9"/>
  <c r="B124" i="9"/>
  <c r="C117" i="9"/>
  <c r="D133" i="9"/>
  <c r="E113" i="9"/>
  <c r="F143" i="9"/>
  <c r="B143" i="9"/>
  <c r="C108" i="9"/>
  <c r="D142" i="9"/>
  <c r="E132" i="9"/>
  <c r="F116" i="9"/>
  <c r="B116" i="9"/>
  <c r="C112" i="9"/>
  <c r="D111" i="9"/>
  <c r="F123" i="9"/>
  <c r="B123" i="9"/>
  <c r="C141" i="9"/>
  <c r="D131" i="9"/>
  <c r="E122" i="9"/>
  <c r="F140" i="9"/>
  <c r="B140" i="9"/>
  <c r="E135" i="9"/>
  <c r="B144" i="9"/>
  <c r="F118" i="9"/>
  <c r="E133" i="9"/>
  <c r="D108" i="9"/>
  <c r="F135" i="9"/>
  <c r="F109" i="9"/>
  <c r="C145" i="9"/>
  <c r="D144" i="9"/>
  <c r="E119" i="9"/>
  <c r="F126" i="9"/>
  <c r="B126" i="9"/>
  <c r="C125" i="9"/>
  <c r="D118" i="9"/>
  <c r="E124" i="9"/>
  <c r="F117" i="9"/>
  <c r="B117" i="9"/>
  <c r="C133" i="9"/>
  <c r="D113" i="9"/>
  <c r="E143" i="9"/>
  <c r="F108" i="9"/>
  <c r="B108" i="9"/>
  <c r="C142" i="9"/>
  <c r="D132" i="9"/>
  <c r="E116" i="9"/>
  <c r="F112" i="9"/>
  <c r="B112" i="9"/>
  <c r="C111" i="9"/>
  <c r="E123" i="9"/>
  <c r="F141" i="9"/>
  <c r="B141" i="9"/>
  <c r="C131" i="9"/>
  <c r="D122" i="9"/>
  <c r="E140" i="9"/>
  <c r="F130" i="9"/>
  <c r="F129" i="9"/>
  <c r="B129" i="9"/>
  <c r="C107" i="9"/>
  <c r="D128" i="9"/>
  <c r="E139" i="9"/>
  <c r="F138" i="9"/>
  <c r="B138" i="9"/>
  <c r="C106" i="9"/>
  <c r="D105" i="9"/>
  <c r="E104" i="9"/>
  <c r="F103" i="9"/>
  <c r="D121" i="9"/>
  <c r="E136" i="9"/>
  <c r="E145" i="9"/>
  <c r="D126" i="9"/>
  <c r="C124" i="9"/>
  <c r="B113" i="9"/>
  <c r="F132" i="9"/>
  <c r="B109" i="9"/>
  <c r="D135" i="9"/>
  <c r="E109" i="9"/>
  <c r="F145" i="9"/>
  <c r="B145" i="9"/>
  <c r="C144" i="9"/>
  <c r="D119" i="9"/>
  <c r="E126" i="9"/>
  <c r="F125" i="9"/>
  <c r="B125" i="9"/>
  <c r="C118" i="9"/>
  <c r="D124" i="9"/>
  <c r="E117" i="9"/>
  <c r="F133" i="9"/>
  <c r="B133" i="9"/>
  <c r="C113" i="9"/>
  <c r="D143" i="9"/>
  <c r="E108" i="9"/>
  <c r="F142" i="9"/>
  <c r="B142" i="9"/>
  <c r="C132" i="9"/>
  <c r="D116" i="9"/>
  <c r="E112" i="9"/>
  <c r="F111" i="9"/>
  <c r="B111" i="9"/>
  <c r="D123" i="9"/>
  <c r="E141" i="9"/>
  <c r="F131" i="9"/>
  <c r="B131" i="9"/>
  <c r="C122" i="9"/>
  <c r="D140" i="9"/>
  <c r="D130" i="9"/>
  <c r="E129" i="9"/>
  <c r="F107" i="9"/>
  <c r="B107" i="9"/>
  <c r="C128" i="9"/>
  <c r="D139" i="9"/>
  <c r="E138" i="9"/>
  <c r="F106" i="9"/>
  <c r="B106" i="9"/>
  <c r="C105" i="9"/>
  <c r="D104" i="9"/>
  <c r="E103" i="9"/>
  <c r="C121" i="9"/>
  <c r="D136" i="9"/>
  <c r="C78" i="9"/>
  <c r="C134" i="9" s="1"/>
  <c r="I78" i="9"/>
  <c r="F78" i="9"/>
  <c r="F134" i="9" s="1"/>
  <c r="D74" i="9"/>
  <c r="D110" i="9" s="1"/>
  <c r="L78" i="9"/>
  <c r="L134" i="9" s="1"/>
  <c r="J74" i="9"/>
  <c r="J110" i="9" s="1"/>
  <c r="K78" i="9"/>
  <c r="K134" i="9" s="1"/>
  <c r="E75" i="9"/>
  <c r="E114" i="9" s="1"/>
  <c r="E77" i="9"/>
  <c r="E127" i="9" s="1"/>
  <c r="C73" i="9"/>
  <c r="C102" i="9" s="1"/>
  <c r="E76" i="9"/>
  <c r="E120" i="9" s="1"/>
  <c r="K75" i="9"/>
  <c r="K114" i="9" s="1"/>
  <c r="L77" i="9"/>
  <c r="L127" i="9" s="1"/>
  <c r="H77" i="9"/>
  <c r="H127" i="9" s="1"/>
  <c r="J73" i="9"/>
  <c r="J102" i="9" s="1"/>
  <c r="L76" i="9"/>
  <c r="L120" i="9" s="1"/>
  <c r="H76" i="9"/>
  <c r="H120" i="9" s="1"/>
  <c r="C74" i="9"/>
  <c r="C110" i="9" s="1"/>
  <c r="D75" i="9"/>
  <c r="D114" i="9" s="1"/>
  <c r="D77" i="9"/>
  <c r="D127" i="9" s="1"/>
  <c r="F73" i="9"/>
  <c r="F102" i="9" s="1"/>
  <c r="B102" i="9"/>
  <c r="D76" i="9"/>
  <c r="D120" i="9" s="1"/>
  <c r="H78" i="9"/>
  <c r="H134" i="9" s="1"/>
  <c r="I74" i="9"/>
  <c r="I110" i="9" s="1"/>
  <c r="J75" i="9"/>
  <c r="J114" i="9" s="1"/>
  <c r="K77" i="9"/>
  <c r="K127" i="9" s="1"/>
  <c r="I73" i="9"/>
  <c r="I102" i="9" s="1"/>
  <c r="K76" i="9"/>
  <c r="K120" i="9" s="1"/>
  <c r="D78" i="9"/>
  <c r="D134" i="9" s="1"/>
  <c r="F74" i="9"/>
  <c r="F110" i="9" s="1"/>
  <c r="B74" i="9"/>
  <c r="B110" i="9" s="1"/>
  <c r="C75" i="9"/>
  <c r="C114" i="9" s="1"/>
  <c r="C77" i="9"/>
  <c r="C127" i="9" s="1"/>
  <c r="E73" i="9"/>
  <c r="E102" i="9" s="1"/>
  <c r="C76" i="9"/>
  <c r="C120" i="9" s="1"/>
  <c r="L74" i="9"/>
  <c r="L110" i="9" s="1"/>
  <c r="H74" i="9"/>
  <c r="H110" i="9" s="1"/>
  <c r="I75" i="9"/>
  <c r="I114" i="9" s="1"/>
  <c r="J77" i="9"/>
  <c r="J127" i="9" s="1"/>
  <c r="L73" i="9"/>
  <c r="L102" i="9" s="1"/>
  <c r="H73" i="9"/>
  <c r="H102" i="9" s="1"/>
  <c r="J76" i="9"/>
  <c r="J120" i="9" s="1"/>
  <c r="E78" i="9"/>
  <c r="E74" i="9"/>
  <c r="E110" i="9" s="1"/>
  <c r="F75" i="9"/>
  <c r="F114" i="9" s="1"/>
  <c r="B75" i="9"/>
  <c r="B114" i="9" s="1"/>
  <c r="F77" i="9"/>
  <c r="F127" i="9" s="1"/>
  <c r="B77" i="9"/>
  <c r="B127" i="9" s="1"/>
  <c r="D73" i="9"/>
  <c r="D102" i="9" s="1"/>
  <c r="F76" i="9"/>
  <c r="F120" i="9" s="1"/>
  <c r="B76" i="9"/>
  <c r="B120" i="9" s="1"/>
  <c r="J78" i="9"/>
  <c r="J134" i="9" s="1"/>
  <c r="K74" i="9"/>
  <c r="K110" i="9" s="1"/>
  <c r="L75" i="9"/>
  <c r="L114" i="9" s="1"/>
  <c r="H75" i="9"/>
  <c r="H114" i="9" s="1"/>
  <c r="I77" i="9"/>
  <c r="I127" i="9" s="1"/>
  <c r="K73" i="9"/>
  <c r="K102" i="9" s="1"/>
  <c r="I76" i="9"/>
  <c r="I120" i="9" s="1"/>
  <c r="B78" i="9"/>
  <c r="B134" i="9" s="1"/>
  <c r="M50" i="9"/>
  <c r="G6" i="13"/>
  <c r="G49" i="9"/>
  <c r="G11" i="13"/>
  <c r="G8" i="13"/>
  <c r="G10" i="13"/>
  <c r="G9" i="13"/>
  <c r="U29" i="9"/>
  <c r="V28" i="9"/>
  <c r="W27" i="9"/>
  <c r="X26" i="9"/>
  <c r="U25" i="9"/>
  <c r="V24" i="9"/>
  <c r="W23" i="9"/>
  <c r="X22" i="9"/>
  <c r="U21" i="9"/>
  <c r="V20" i="9"/>
  <c r="W19" i="9"/>
  <c r="X18" i="9"/>
  <c r="G7" i="13"/>
  <c r="C15" i="13"/>
  <c r="D15" i="13"/>
  <c r="G13" i="13"/>
  <c r="G12" i="13"/>
  <c r="B15" i="13"/>
  <c r="G5" i="13"/>
  <c r="G14" i="13"/>
  <c r="M49" i="9"/>
  <c r="G50" i="9"/>
  <c r="F15" i="13"/>
  <c r="E15" i="13"/>
  <c r="X42" i="9"/>
  <c r="U41" i="9"/>
  <c r="V40" i="9"/>
  <c r="W39" i="9"/>
  <c r="X38" i="9"/>
  <c r="U37" i="9"/>
  <c r="V36" i="9"/>
  <c r="W35" i="9"/>
  <c r="X34" i="9"/>
  <c r="U33" i="9"/>
  <c r="V32" i="9"/>
  <c r="W31" i="9"/>
  <c r="X30" i="9"/>
  <c r="H43" i="9"/>
  <c r="I51" i="12"/>
  <c r="M25" i="12"/>
  <c r="M11" i="12"/>
  <c r="M19" i="12"/>
  <c r="M18" i="12"/>
  <c r="M21" i="12"/>
  <c r="M29" i="12"/>
  <c r="M28" i="12"/>
  <c r="M40" i="12"/>
  <c r="M32" i="12"/>
  <c r="M22" i="12"/>
  <c r="K51" i="12"/>
  <c r="G39" i="12"/>
  <c r="J51" i="12"/>
  <c r="M6" i="12"/>
  <c r="M12" i="12"/>
  <c r="L51" i="12"/>
  <c r="M9" i="12"/>
  <c r="M17" i="12"/>
  <c r="M26" i="12"/>
  <c r="M34" i="12"/>
  <c r="B51" i="12"/>
  <c r="T5" i="12"/>
  <c r="G5" i="12"/>
  <c r="G15" i="12"/>
  <c r="G8" i="12"/>
  <c r="G11" i="12"/>
  <c r="G14" i="12"/>
  <c r="G13" i="12"/>
  <c r="G30" i="12"/>
  <c r="G37" i="12"/>
  <c r="H51" i="12"/>
  <c r="M5" i="12"/>
  <c r="M31" i="12"/>
  <c r="G40" i="12"/>
  <c r="M8" i="12"/>
  <c r="M10" i="12"/>
  <c r="M16" i="12"/>
  <c r="M38" i="12"/>
  <c r="M23" i="12"/>
  <c r="M37" i="12"/>
  <c r="M33" i="12"/>
  <c r="M39" i="12"/>
  <c r="F51" i="12"/>
  <c r="X5" i="12"/>
  <c r="G9" i="12"/>
  <c r="E51" i="12"/>
  <c r="W5" i="12"/>
  <c r="G10" i="12"/>
  <c r="C51" i="12"/>
  <c r="U5" i="12"/>
  <c r="G12" i="12"/>
  <c r="G19" i="12"/>
  <c r="D51" i="12"/>
  <c r="V5" i="12"/>
  <c r="G18" i="12"/>
  <c r="G17" i="12"/>
  <c r="G21" i="12"/>
  <c r="G32" i="12"/>
  <c r="G7" i="12"/>
  <c r="G26" i="12"/>
  <c r="G33" i="12"/>
  <c r="G29" i="12"/>
  <c r="G38" i="12"/>
  <c r="G34" i="12"/>
  <c r="U17" i="9"/>
  <c r="V16" i="9"/>
  <c r="W15" i="9"/>
  <c r="X14" i="9"/>
  <c r="T14" i="9"/>
  <c r="U13" i="9"/>
  <c r="V12" i="9"/>
  <c r="W11" i="9"/>
  <c r="X10" i="9"/>
  <c r="U9" i="9"/>
  <c r="V8" i="9"/>
  <c r="W7" i="9"/>
  <c r="X6" i="9"/>
  <c r="M14" i="12"/>
  <c r="M7" i="12"/>
  <c r="M20" i="12"/>
  <c r="M15" i="12"/>
  <c r="M30" i="12"/>
  <c r="M35" i="12"/>
  <c r="M24" i="12"/>
  <c r="M27" i="12"/>
  <c r="M36" i="12"/>
  <c r="G6" i="12"/>
  <c r="G16" i="12"/>
  <c r="G23" i="12"/>
  <c r="G28" i="12"/>
  <c r="G20" i="12"/>
  <c r="G24" i="12"/>
  <c r="G27" i="12"/>
  <c r="G22" i="12"/>
  <c r="G25" i="12"/>
  <c r="G31" i="12"/>
  <c r="G36" i="12"/>
  <c r="G35" i="12"/>
  <c r="U18" i="9"/>
  <c r="V17" i="9"/>
  <c r="W16" i="9"/>
  <c r="X15" i="9"/>
  <c r="V13" i="9"/>
  <c r="W12" i="9"/>
  <c r="X11" i="9"/>
  <c r="U10" i="9"/>
  <c r="W8" i="9"/>
  <c r="X7" i="9"/>
  <c r="U6" i="9"/>
  <c r="J43" i="9"/>
  <c r="U42" i="9"/>
  <c r="V41" i="9"/>
  <c r="W40" i="9"/>
  <c r="X39" i="9"/>
  <c r="U38" i="9"/>
  <c r="V37" i="9"/>
  <c r="W36" i="9"/>
  <c r="X35" i="9"/>
  <c r="U34" i="9"/>
  <c r="V33" i="9"/>
  <c r="W32" i="9"/>
  <c r="X31" i="9"/>
  <c r="U30" i="9"/>
  <c r="V29" i="9"/>
  <c r="W28" i="9"/>
  <c r="X27" i="9"/>
  <c r="U26" i="9"/>
  <c r="V25" i="9"/>
  <c r="W24" i="9"/>
  <c r="X23" i="9"/>
  <c r="U22" i="9"/>
  <c r="V21" i="9"/>
  <c r="W20" i="9"/>
  <c r="X19" i="9"/>
  <c r="G18" i="9"/>
  <c r="T18" i="9"/>
  <c r="K43" i="9"/>
  <c r="W42" i="9"/>
  <c r="V39" i="9"/>
  <c r="X37" i="9"/>
  <c r="U36" i="9"/>
  <c r="W34" i="9"/>
  <c r="V31" i="9"/>
  <c r="X29" i="9"/>
  <c r="U28" i="9"/>
  <c r="V27" i="9"/>
  <c r="X25" i="9"/>
  <c r="U24" i="9"/>
  <c r="W22" i="9"/>
  <c r="V19" i="9"/>
  <c r="X17" i="9"/>
  <c r="U16" i="9"/>
  <c r="W14" i="9"/>
  <c r="V11" i="9"/>
  <c r="X9" i="9"/>
  <c r="U8" i="9"/>
  <c r="W6" i="9"/>
  <c r="L43" i="9"/>
  <c r="X41" i="9"/>
  <c r="W38" i="9"/>
  <c r="V35" i="9"/>
  <c r="X33" i="9"/>
  <c r="U32" i="9"/>
  <c r="W30" i="9"/>
  <c r="W26" i="9"/>
  <c r="V23" i="9"/>
  <c r="X21" i="9"/>
  <c r="U20" i="9"/>
  <c r="W18" i="9"/>
  <c r="V15" i="9"/>
  <c r="X13" i="9"/>
  <c r="U12" i="9"/>
  <c r="W10" i="9"/>
  <c r="T9" i="9"/>
  <c r="V7" i="9"/>
  <c r="V42" i="9"/>
  <c r="W41" i="9"/>
  <c r="U39" i="9"/>
  <c r="W37" i="9"/>
  <c r="V34" i="9"/>
  <c r="W33" i="9"/>
  <c r="X32" i="9"/>
  <c r="V30" i="9"/>
  <c r="W29" i="9"/>
  <c r="U27" i="9"/>
  <c r="V26" i="9"/>
  <c r="W25" i="9"/>
  <c r="U23" i="9"/>
  <c r="W21" i="9"/>
  <c r="V18" i="9"/>
  <c r="W17" i="9"/>
  <c r="X16" i="9"/>
  <c r="V14" i="9"/>
  <c r="W13" i="9"/>
  <c r="U11" i="9"/>
  <c r="V10" i="9"/>
  <c r="W9" i="9"/>
  <c r="U7" i="9"/>
  <c r="I43" i="9"/>
  <c r="B43" i="9"/>
  <c r="T5" i="9"/>
  <c r="G5" i="9"/>
  <c r="U5" i="9"/>
  <c r="C43" i="9"/>
  <c r="D43" i="9"/>
  <c r="V5" i="9"/>
  <c r="E43" i="9"/>
  <c r="W5" i="9"/>
  <c r="F43" i="9"/>
  <c r="X5" i="9"/>
  <c r="T42" i="9"/>
  <c r="G42" i="9"/>
  <c r="G41" i="9"/>
  <c r="T41" i="9"/>
  <c r="G40" i="9"/>
  <c r="U40" i="9"/>
  <c r="T39" i="9"/>
  <c r="G39" i="9"/>
  <c r="T38" i="9"/>
  <c r="G38" i="9"/>
  <c r="G37" i="9"/>
  <c r="T37" i="9"/>
  <c r="T36" i="9"/>
  <c r="G36" i="9"/>
  <c r="T35" i="9"/>
  <c r="G35" i="9"/>
  <c r="T34" i="9"/>
  <c r="G34" i="9"/>
  <c r="G33" i="9"/>
  <c r="T33" i="9"/>
  <c r="G32" i="9"/>
  <c r="T31" i="9"/>
  <c r="G31" i="9"/>
  <c r="G30" i="9"/>
  <c r="T30" i="9"/>
  <c r="G29" i="9"/>
  <c r="T29" i="9"/>
  <c r="G28" i="9"/>
  <c r="T27" i="9"/>
  <c r="G27" i="9"/>
  <c r="T26" i="9"/>
  <c r="G26" i="9"/>
  <c r="G25" i="9"/>
  <c r="T25" i="9"/>
  <c r="G24" i="9"/>
  <c r="G115" i="9" s="1"/>
  <c r="T23" i="9"/>
  <c r="G23" i="9"/>
  <c r="T22" i="9"/>
  <c r="G22" i="9"/>
  <c r="T21" i="9"/>
  <c r="G21" i="9"/>
  <c r="T20" i="9"/>
  <c r="G20" i="9"/>
  <c r="T19" i="9"/>
  <c r="G19" i="9"/>
  <c r="G17" i="9"/>
  <c r="T17" i="9"/>
  <c r="G16" i="9"/>
  <c r="T15" i="9"/>
  <c r="G15" i="9"/>
  <c r="G14" i="9"/>
  <c r="U14" i="9"/>
  <c r="G13" i="9"/>
  <c r="T13" i="9"/>
  <c r="G12" i="9"/>
  <c r="T11" i="9"/>
  <c r="G11" i="9"/>
  <c r="T10" i="9"/>
  <c r="G10" i="9"/>
  <c r="G9" i="9"/>
  <c r="V9" i="9"/>
  <c r="G8" i="9"/>
  <c r="G137" i="9" s="1"/>
  <c r="T7" i="9"/>
  <c r="G7" i="9"/>
  <c r="T6" i="9"/>
  <c r="G6" i="9"/>
  <c r="M5" i="9"/>
  <c r="M135" i="9" s="1"/>
  <c r="M42" i="9"/>
  <c r="M109" i="9" s="1"/>
  <c r="M41" i="9"/>
  <c r="M145" i="9" s="1"/>
  <c r="X40" i="9"/>
  <c r="T40" i="9"/>
  <c r="M40" i="9"/>
  <c r="M144" i="9" s="1"/>
  <c r="M39" i="9"/>
  <c r="M119" i="9" s="1"/>
  <c r="V38" i="9"/>
  <c r="M38" i="9"/>
  <c r="M126" i="9" s="1"/>
  <c r="M37" i="9"/>
  <c r="M125" i="9" s="1"/>
  <c r="X36" i="9"/>
  <c r="M36" i="9"/>
  <c r="M118" i="9" s="1"/>
  <c r="U35" i="9"/>
  <c r="M35" i="9"/>
  <c r="M124" i="9" s="1"/>
  <c r="M34" i="9"/>
  <c r="M117" i="9" s="1"/>
  <c r="M33" i="9"/>
  <c r="M133" i="9" s="1"/>
  <c r="T32" i="9"/>
  <c r="M32" i="9"/>
  <c r="M113" i="9" s="1"/>
  <c r="U31" i="9"/>
  <c r="M31" i="9"/>
  <c r="M143" i="9" s="1"/>
  <c r="M30" i="9"/>
  <c r="M108" i="9" s="1"/>
  <c r="M29" i="9"/>
  <c r="M142" i="9" s="1"/>
  <c r="X28" i="9"/>
  <c r="T28" i="9"/>
  <c r="M28" i="9"/>
  <c r="M132" i="9" s="1"/>
  <c r="M27" i="9"/>
  <c r="M116" i="9" s="1"/>
  <c r="M26" i="9"/>
  <c r="M112" i="9" s="1"/>
  <c r="M25" i="9"/>
  <c r="M111" i="9" s="1"/>
  <c r="X24" i="9"/>
  <c r="T24" i="9"/>
  <c r="M24" i="9"/>
  <c r="M115" i="9" s="1"/>
  <c r="M23" i="9"/>
  <c r="M123" i="9" s="1"/>
  <c r="V22" i="9"/>
  <c r="M22" i="9"/>
  <c r="M141" i="9" s="1"/>
  <c r="M21" i="9"/>
  <c r="M131" i="9" s="1"/>
  <c r="X20" i="9"/>
  <c r="M20" i="9"/>
  <c r="M122" i="9" s="1"/>
  <c r="U19" i="9"/>
  <c r="M19" i="9"/>
  <c r="M140" i="9" s="1"/>
  <c r="M18" i="9"/>
  <c r="M130" i="9" s="1"/>
  <c r="M17" i="9"/>
  <c r="M129" i="9" s="1"/>
  <c r="T16" i="9"/>
  <c r="M16" i="9"/>
  <c r="M107" i="9" s="1"/>
  <c r="U15" i="9"/>
  <c r="M15" i="9"/>
  <c r="M128" i="9" s="1"/>
  <c r="M14" i="9"/>
  <c r="M139" i="9" s="1"/>
  <c r="M13" i="9"/>
  <c r="M138" i="9" s="1"/>
  <c r="X12" i="9"/>
  <c r="T12" i="9"/>
  <c r="M12" i="9"/>
  <c r="M106" i="9" s="1"/>
  <c r="M11" i="9"/>
  <c r="M105" i="9" s="1"/>
  <c r="M10" i="9"/>
  <c r="M104" i="9" s="1"/>
  <c r="M9" i="9"/>
  <c r="M103" i="9" s="1"/>
  <c r="X8" i="9"/>
  <c r="T8" i="9"/>
  <c r="M8" i="9"/>
  <c r="M137" i="9" s="1"/>
  <c r="M7" i="9"/>
  <c r="M121" i="9" s="1"/>
  <c r="V6" i="9"/>
  <c r="M6" i="9"/>
  <c r="M136" i="9" s="1"/>
  <c r="C156" i="9"/>
  <c r="C155" i="9"/>
  <c r="C158" i="9"/>
  <c r="C154" i="9"/>
  <c r="C157" i="9"/>
  <c r="B158" i="9" l="1"/>
  <c r="B156" i="9"/>
  <c r="B154" i="9"/>
  <c r="AS10" i="9"/>
  <c r="B157" i="9"/>
  <c r="B155" i="9"/>
  <c r="T123" i="9"/>
  <c r="AK23" i="9"/>
  <c r="W138" i="9"/>
  <c r="AN13" i="9"/>
  <c r="X133" i="9"/>
  <c r="AO33" i="9"/>
  <c r="X116" i="9"/>
  <c r="AO27" i="9"/>
  <c r="U103" i="9"/>
  <c r="AL9" i="9"/>
  <c r="X126" i="9"/>
  <c r="AO38" i="9"/>
  <c r="U111" i="9"/>
  <c r="AL25" i="9"/>
  <c r="T137" i="9"/>
  <c r="AK8" i="9"/>
  <c r="X132" i="9"/>
  <c r="AO28" i="9"/>
  <c r="U143" i="9"/>
  <c r="AL31" i="9"/>
  <c r="X118" i="9"/>
  <c r="AO36" i="9"/>
  <c r="T136" i="9"/>
  <c r="AK6" i="9"/>
  <c r="T128" i="9"/>
  <c r="AK15" i="9"/>
  <c r="T108" i="9"/>
  <c r="AK30" i="9"/>
  <c r="T118" i="9"/>
  <c r="AK36" i="9"/>
  <c r="T109" i="9"/>
  <c r="AK42" i="9"/>
  <c r="U135" i="9"/>
  <c r="AL5" i="9"/>
  <c r="U105" i="9"/>
  <c r="AL11" i="9"/>
  <c r="W111" i="9"/>
  <c r="AN25" i="9"/>
  <c r="W125" i="9"/>
  <c r="AN37" i="9"/>
  <c r="X138" i="9"/>
  <c r="AO13" i="9"/>
  <c r="U113" i="9"/>
  <c r="AL32" i="9"/>
  <c r="X103" i="9"/>
  <c r="AO9" i="9"/>
  <c r="X111" i="9"/>
  <c r="AO25" i="9"/>
  <c r="V119" i="9"/>
  <c r="AM39" i="9"/>
  <c r="U141" i="9"/>
  <c r="AL22" i="9"/>
  <c r="U108" i="9"/>
  <c r="AL30" i="9"/>
  <c r="U126" i="9"/>
  <c r="AL38" i="9"/>
  <c r="W137" i="9"/>
  <c r="AN8" i="9"/>
  <c r="U130" i="9"/>
  <c r="AL18" i="9"/>
  <c r="V106" i="9"/>
  <c r="AM12" i="9"/>
  <c r="U125" i="9"/>
  <c r="AL37" i="9"/>
  <c r="V115" i="9"/>
  <c r="AM24" i="9"/>
  <c r="U139" i="9"/>
  <c r="AL14" i="9"/>
  <c r="T140" i="9"/>
  <c r="AK19" i="9"/>
  <c r="T133" i="9"/>
  <c r="AK33" i="9"/>
  <c r="T125" i="9"/>
  <c r="AK37" i="9"/>
  <c r="X135" i="9"/>
  <c r="AO5" i="9"/>
  <c r="V130" i="9"/>
  <c r="AM18" i="9"/>
  <c r="X113" i="9"/>
  <c r="AO32" i="9"/>
  <c r="T103" i="9"/>
  <c r="AK9" i="9"/>
  <c r="V123" i="9"/>
  <c r="AM23" i="9"/>
  <c r="V105" i="9"/>
  <c r="AM11" i="9"/>
  <c r="V116" i="9"/>
  <c r="AM27" i="9"/>
  <c r="W109" i="9"/>
  <c r="AN42" i="9"/>
  <c r="X123" i="9"/>
  <c r="AO23" i="9"/>
  <c r="X124" i="9"/>
  <c r="AO35" i="9"/>
  <c r="X119" i="9"/>
  <c r="AO39" i="9"/>
  <c r="U104" i="9"/>
  <c r="AL10" i="9"/>
  <c r="T106" i="9"/>
  <c r="AK12" i="9"/>
  <c r="V141" i="9"/>
  <c r="AM22" i="9"/>
  <c r="X115" i="9"/>
  <c r="AO24" i="9"/>
  <c r="T113" i="9"/>
  <c r="AK32" i="9"/>
  <c r="U124" i="9"/>
  <c r="AL35" i="9"/>
  <c r="T144" i="9"/>
  <c r="AK40" i="9"/>
  <c r="T121" i="9"/>
  <c r="AK7" i="9"/>
  <c r="T129" i="9"/>
  <c r="AK17" i="9"/>
  <c r="T112" i="9"/>
  <c r="AK26" i="9"/>
  <c r="T142" i="9"/>
  <c r="AK29" i="9"/>
  <c r="T124" i="9"/>
  <c r="AK35" i="9"/>
  <c r="T119" i="9"/>
  <c r="AK39" i="9"/>
  <c r="T135" i="9"/>
  <c r="AK5" i="9"/>
  <c r="W103" i="9"/>
  <c r="AN9" i="9"/>
  <c r="V139" i="9"/>
  <c r="AM14" i="9"/>
  <c r="W131" i="9"/>
  <c r="AN21" i="9"/>
  <c r="U116" i="9"/>
  <c r="AL27" i="9"/>
  <c r="W133" i="9"/>
  <c r="AN33" i="9"/>
  <c r="W145" i="9"/>
  <c r="AN41" i="9"/>
  <c r="W104" i="9"/>
  <c r="AN10" i="9"/>
  <c r="W130" i="9"/>
  <c r="AN18" i="9"/>
  <c r="W112" i="9"/>
  <c r="AN26" i="9"/>
  <c r="V124" i="9"/>
  <c r="AM35" i="9"/>
  <c r="W136" i="9"/>
  <c r="AN6" i="9"/>
  <c r="W139" i="9"/>
  <c r="AN14" i="9"/>
  <c r="W141" i="9"/>
  <c r="AN22" i="9"/>
  <c r="U132" i="9"/>
  <c r="AL28" i="9"/>
  <c r="U118" i="9"/>
  <c r="AL36" i="9"/>
  <c r="W122" i="9"/>
  <c r="AN20" i="9"/>
  <c r="W115" i="9"/>
  <c r="AN24" i="9"/>
  <c r="W132" i="9"/>
  <c r="AN28" i="9"/>
  <c r="W113" i="9"/>
  <c r="AN32" i="9"/>
  <c r="W118" i="9"/>
  <c r="AN36" i="9"/>
  <c r="W144" i="9"/>
  <c r="AN40" i="9"/>
  <c r="U136" i="9"/>
  <c r="AL6" i="9"/>
  <c r="X105" i="9"/>
  <c r="AO11" i="9"/>
  <c r="W107" i="9"/>
  <c r="AN16" i="9"/>
  <c r="X136" i="9"/>
  <c r="AO6" i="9"/>
  <c r="X104" i="9"/>
  <c r="AO10" i="9"/>
  <c r="T139" i="9"/>
  <c r="AK14" i="9"/>
  <c r="U129" i="9"/>
  <c r="AL17" i="9"/>
  <c r="W143" i="9"/>
  <c r="AN31" i="9"/>
  <c r="W124" i="9"/>
  <c r="AN35" i="9"/>
  <c r="W119" i="9"/>
  <c r="AN39" i="9"/>
  <c r="X130" i="9"/>
  <c r="AO18" i="9"/>
  <c r="X141" i="9"/>
  <c r="AO22" i="9"/>
  <c r="X112" i="9"/>
  <c r="AO26" i="9"/>
  <c r="V103" i="9"/>
  <c r="AM9" i="9"/>
  <c r="T116" i="9"/>
  <c r="AK27" i="9"/>
  <c r="T117" i="9"/>
  <c r="AK34" i="9"/>
  <c r="T126" i="9"/>
  <c r="AK38" i="9"/>
  <c r="W129" i="9"/>
  <c r="AN17" i="9"/>
  <c r="V108" i="9"/>
  <c r="AM30" i="9"/>
  <c r="V121" i="9"/>
  <c r="AM7" i="9"/>
  <c r="X131" i="9"/>
  <c r="AO21" i="9"/>
  <c r="X145" i="9"/>
  <c r="AO41" i="9"/>
  <c r="X129" i="9"/>
  <c r="AO17" i="9"/>
  <c r="V143" i="9"/>
  <c r="AM31" i="9"/>
  <c r="U112" i="9"/>
  <c r="AL26" i="9"/>
  <c r="U117" i="9"/>
  <c r="AL34" i="9"/>
  <c r="U109" i="9"/>
  <c r="AL42" i="9"/>
  <c r="V138" i="9"/>
  <c r="AM13" i="9"/>
  <c r="V137" i="9"/>
  <c r="AM8" i="9"/>
  <c r="W128" i="9"/>
  <c r="AN15" i="9"/>
  <c r="U133" i="9"/>
  <c r="AL33" i="9"/>
  <c r="U145" i="9"/>
  <c r="AL41" i="9"/>
  <c r="V122" i="9"/>
  <c r="AM20" i="9"/>
  <c r="V132" i="9"/>
  <c r="AM28" i="9"/>
  <c r="V136" i="9"/>
  <c r="AM6" i="9"/>
  <c r="X137" i="9"/>
  <c r="AO8" i="9"/>
  <c r="T107" i="9"/>
  <c r="AK16" i="9"/>
  <c r="U140" i="9"/>
  <c r="AL19" i="9"/>
  <c r="T115" i="9"/>
  <c r="AK24" i="9"/>
  <c r="T105" i="9"/>
  <c r="AK11" i="9"/>
  <c r="T131" i="9"/>
  <c r="AK21" i="9"/>
  <c r="T145" i="9"/>
  <c r="AK41" i="9"/>
  <c r="V135" i="9"/>
  <c r="AM5" i="9"/>
  <c r="U121" i="9"/>
  <c r="AL7" i="9"/>
  <c r="V112" i="9"/>
  <c r="AM26" i="9"/>
  <c r="U119" i="9"/>
  <c r="AL39" i="9"/>
  <c r="V128" i="9"/>
  <c r="AM15" i="9"/>
  <c r="V140" i="9"/>
  <c r="AM19" i="9"/>
  <c r="W117" i="9"/>
  <c r="AN34" i="9"/>
  <c r="X140" i="9"/>
  <c r="AO19" i="9"/>
  <c r="X143" i="9"/>
  <c r="AO31" i="9"/>
  <c r="X128" i="9"/>
  <c r="AO15" i="9"/>
  <c r="U138" i="9"/>
  <c r="AL13" i="9"/>
  <c r="V107" i="9"/>
  <c r="AM16" i="9"/>
  <c r="X108" i="9"/>
  <c r="AO30" i="9"/>
  <c r="X117" i="9"/>
  <c r="AO34" i="9"/>
  <c r="X109" i="9"/>
  <c r="AO42" i="9"/>
  <c r="U131" i="9"/>
  <c r="AL21" i="9"/>
  <c r="U142" i="9"/>
  <c r="AL29" i="9"/>
  <c r="X106" i="9"/>
  <c r="AO12" i="9"/>
  <c r="U128" i="9"/>
  <c r="AL15" i="9"/>
  <c r="X122" i="9"/>
  <c r="AO20" i="9"/>
  <c r="T132" i="9"/>
  <c r="AK28" i="9"/>
  <c r="V126" i="9"/>
  <c r="AM38" i="9"/>
  <c r="X144" i="9"/>
  <c r="AO40" i="9"/>
  <c r="T104" i="9"/>
  <c r="AK10" i="9"/>
  <c r="T138" i="9"/>
  <c r="AK13" i="9"/>
  <c r="T122" i="9"/>
  <c r="AK20" i="9"/>
  <c r="T141" i="9"/>
  <c r="AK22" i="9"/>
  <c r="T111" i="9"/>
  <c r="AK25" i="9"/>
  <c r="T143" i="9"/>
  <c r="AK31" i="9"/>
  <c r="U144" i="9"/>
  <c r="AL40" i="9"/>
  <c r="W135" i="9"/>
  <c r="AN5" i="9"/>
  <c r="V104" i="9"/>
  <c r="AM10" i="9"/>
  <c r="X107" i="9"/>
  <c r="AO16" i="9"/>
  <c r="U123" i="9"/>
  <c r="AL23" i="9"/>
  <c r="W142" i="9"/>
  <c r="AN29" i="9"/>
  <c r="V117" i="9"/>
  <c r="AM34" i="9"/>
  <c r="V109" i="9"/>
  <c r="AM42" i="9"/>
  <c r="U106" i="9"/>
  <c r="AL12" i="9"/>
  <c r="U122" i="9"/>
  <c r="AL20" i="9"/>
  <c r="W108" i="9"/>
  <c r="AN30" i="9"/>
  <c r="W126" i="9"/>
  <c r="AN38" i="9"/>
  <c r="U137" i="9"/>
  <c r="AL8" i="9"/>
  <c r="U107" i="9"/>
  <c r="AL16" i="9"/>
  <c r="U115" i="9"/>
  <c r="AL24" i="9"/>
  <c r="X142" i="9"/>
  <c r="AO29" i="9"/>
  <c r="X125" i="9"/>
  <c r="AO37" i="9"/>
  <c r="T130" i="9"/>
  <c r="AK18" i="9"/>
  <c r="V131" i="9"/>
  <c r="AM21" i="9"/>
  <c r="V111" i="9"/>
  <c r="AM25" i="9"/>
  <c r="V142" i="9"/>
  <c r="AM29" i="9"/>
  <c r="V133" i="9"/>
  <c r="AM33" i="9"/>
  <c r="V125" i="9"/>
  <c r="AM37" i="9"/>
  <c r="V145" i="9"/>
  <c r="AM41" i="9"/>
  <c r="X121" i="9"/>
  <c r="AO7" i="9"/>
  <c r="W106" i="9"/>
  <c r="AN12" i="9"/>
  <c r="V129" i="9"/>
  <c r="AM17" i="9"/>
  <c r="W121" i="9"/>
  <c r="AN7" i="9"/>
  <c r="W105" i="9"/>
  <c r="AN11" i="9"/>
  <c r="X139" i="9"/>
  <c r="AO14" i="9"/>
  <c r="V113" i="9"/>
  <c r="AM32" i="9"/>
  <c r="V118" i="9"/>
  <c r="AM36" i="9"/>
  <c r="V144" i="9"/>
  <c r="AM40" i="9"/>
  <c r="W140" i="9"/>
  <c r="AN19" i="9"/>
  <c r="W123" i="9"/>
  <c r="AN23" i="9"/>
  <c r="W116" i="9"/>
  <c r="AN27" i="9"/>
  <c r="G121" i="9"/>
  <c r="G103" i="9"/>
  <c r="G107" i="9"/>
  <c r="G112" i="9"/>
  <c r="G132" i="9"/>
  <c r="G108" i="9"/>
  <c r="G124" i="9"/>
  <c r="G119" i="9"/>
  <c r="G135" i="9"/>
  <c r="G104" i="9"/>
  <c r="G106" i="9"/>
  <c r="G139" i="9"/>
  <c r="G122" i="9"/>
  <c r="G141" i="9"/>
  <c r="G143" i="9"/>
  <c r="G133" i="9"/>
  <c r="G125" i="9"/>
  <c r="G145" i="9"/>
  <c r="G136" i="9"/>
  <c r="G128" i="9"/>
  <c r="G129" i="9"/>
  <c r="G116" i="9"/>
  <c r="G142" i="9"/>
  <c r="G117" i="9"/>
  <c r="G118" i="9"/>
  <c r="G126" i="9"/>
  <c r="G109" i="9"/>
  <c r="G105" i="9"/>
  <c r="G138" i="9"/>
  <c r="G140" i="9"/>
  <c r="G131" i="9"/>
  <c r="G123" i="9"/>
  <c r="G111" i="9"/>
  <c r="G113" i="9"/>
  <c r="G144" i="9"/>
  <c r="G130" i="9"/>
  <c r="M149" i="9"/>
  <c r="U78" i="9"/>
  <c r="U134" i="9" s="1"/>
  <c r="I134" i="9"/>
  <c r="W78" i="9"/>
  <c r="W134" i="9" s="1"/>
  <c r="E134" i="9"/>
  <c r="X77" i="9"/>
  <c r="X127" i="9" s="1"/>
  <c r="X76" i="9"/>
  <c r="X120" i="9" s="1"/>
  <c r="K79" i="9"/>
  <c r="M75" i="9"/>
  <c r="V74" i="9"/>
  <c r="V110" i="9" s="1"/>
  <c r="J79" i="9"/>
  <c r="X78" i="9"/>
  <c r="X134" i="9" s="1"/>
  <c r="V73" i="9"/>
  <c r="V102" i="9" s="1"/>
  <c r="D79" i="9"/>
  <c r="X75" i="9"/>
  <c r="X114" i="9" s="1"/>
  <c r="H79" i="9"/>
  <c r="M73" i="9"/>
  <c r="M102" i="9" s="1"/>
  <c r="M74" i="9"/>
  <c r="U77" i="9"/>
  <c r="U127" i="9" s="1"/>
  <c r="V78" i="9"/>
  <c r="V134" i="9" s="1"/>
  <c r="T73" i="9"/>
  <c r="T102" i="9" s="1"/>
  <c r="B79" i="9"/>
  <c r="G73" i="9"/>
  <c r="G102" i="9" s="1"/>
  <c r="U74" i="9"/>
  <c r="U110" i="9" s="1"/>
  <c r="M77" i="9"/>
  <c r="M127" i="9" s="1"/>
  <c r="W76" i="9"/>
  <c r="W120" i="9" s="1"/>
  <c r="T77" i="9"/>
  <c r="T127" i="9" s="1"/>
  <c r="G77" i="9"/>
  <c r="G127" i="9" s="1"/>
  <c r="W74" i="9"/>
  <c r="W110" i="9" s="1"/>
  <c r="L79" i="9"/>
  <c r="U75" i="9"/>
  <c r="U114" i="9" s="1"/>
  <c r="X73" i="9"/>
  <c r="X102" i="9" s="1"/>
  <c r="F79" i="9"/>
  <c r="U73" i="9"/>
  <c r="U102" i="9" s="1"/>
  <c r="C79" i="9"/>
  <c r="T78" i="9"/>
  <c r="T134" i="9" s="1"/>
  <c r="G78" i="9"/>
  <c r="G134" i="9" s="1"/>
  <c r="T76" i="9"/>
  <c r="T120" i="9" s="1"/>
  <c r="G76" i="9"/>
  <c r="G120" i="9" s="1"/>
  <c r="U76" i="9"/>
  <c r="U120" i="9" s="1"/>
  <c r="T74" i="9"/>
  <c r="T110" i="9" s="1"/>
  <c r="G74" i="9"/>
  <c r="G110" i="9" s="1"/>
  <c r="I79" i="9"/>
  <c r="M78" i="9"/>
  <c r="V77" i="9"/>
  <c r="V127" i="9" s="1"/>
  <c r="M76" i="9"/>
  <c r="M120" i="9" s="1"/>
  <c r="W77" i="9"/>
  <c r="W127" i="9" s="1"/>
  <c r="T75" i="9"/>
  <c r="T114" i="9" s="1"/>
  <c r="G75" i="9"/>
  <c r="G114" i="9" s="1"/>
  <c r="W73" i="9"/>
  <c r="W102" i="9" s="1"/>
  <c r="E79" i="9"/>
  <c r="X74" i="9"/>
  <c r="X110" i="9" s="1"/>
  <c r="V76" i="9"/>
  <c r="V120" i="9" s="1"/>
  <c r="V75" i="9"/>
  <c r="V114" i="9" s="1"/>
  <c r="W75" i="9"/>
  <c r="W114" i="9" s="1"/>
  <c r="M51" i="9"/>
  <c r="G51" i="9"/>
  <c r="G15" i="13"/>
  <c r="G19" i="13"/>
  <c r="Y18" i="9"/>
  <c r="Y130" i="9" s="1"/>
  <c r="Y35" i="12"/>
  <c r="Y16" i="12"/>
  <c r="Y38" i="12"/>
  <c r="Y26" i="12"/>
  <c r="M51" i="12"/>
  <c r="Y37" i="12"/>
  <c r="T53" i="12"/>
  <c r="T51" i="12"/>
  <c r="Y5" i="12"/>
  <c r="Y20" i="12"/>
  <c r="Y12" i="12"/>
  <c r="X53" i="12"/>
  <c r="X51" i="12"/>
  <c r="Y36" i="12"/>
  <c r="Y31" i="12"/>
  <c r="Y25" i="12"/>
  <c r="Y24" i="12"/>
  <c r="Y28" i="12"/>
  <c r="Y29" i="12"/>
  <c r="Y32" i="12"/>
  <c r="Y18" i="12"/>
  <c r="Y19" i="12"/>
  <c r="Y10" i="12"/>
  <c r="Y13" i="12"/>
  <c r="Y14" i="12"/>
  <c r="Y11" i="12"/>
  <c r="Y39" i="12"/>
  <c r="Y23" i="12"/>
  <c r="Y34" i="12"/>
  <c r="Y33" i="12"/>
  <c r="Y7" i="12"/>
  <c r="Y17" i="12"/>
  <c r="Y30" i="12"/>
  <c r="Y8" i="12"/>
  <c r="G51" i="12"/>
  <c r="Y22" i="12"/>
  <c r="Y27" i="12"/>
  <c r="Y6" i="12"/>
  <c r="Y21" i="12"/>
  <c r="V51" i="12"/>
  <c r="V53" i="12"/>
  <c r="U53" i="12"/>
  <c r="U51" i="12"/>
  <c r="W51" i="12"/>
  <c r="W53" i="12"/>
  <c r="Y9" i="12"/>
  <c r="Y40" i="12"/>
  <c r="Y15" i="12"/>
  <c r="Y14" i="9"/>
  <c r="Y139" i="9" s="1"/>
  <c r="X45" i="9"/>
  <c r="AF32" i="9" s="1"/>
  <c r="W43" i="9"/>
  <c r="W45" i="9"/>
  <c r="AE13" i="9" s="1"/>
  <c r="AE138" i="9" s="1"/>
  <c r="V45" i="9"/>
  <c r="AD18" i="9" s="1"/>
  <c r="AD130" i="9" s="1"/>
  <c r="U45" i="9"/>
  <c r="AC7" i="9" s="1"/>
  <c r="AC121" i="9" s="1"/>
  <c r="AJ121" i="9" s="1"/>
  <c r="AR121" i="9" s="1"/>
  <c r="Y32" i="9"/>
  <c r="Y113" i="9" s="1"/>
  <c r="Y28" i="9"/>
  <c r="Y132" i="9" s="1"/>
  <c r="Y7" i="9"/>
  <c r="Y121" i="9" s="1"/>
  <c r="Y17" i="9"/>
  <c r="Y129" i="9" s="1"/>
  <c r="Y33" i="9"/>
  <c r="Y133" i="9" s="1"/>
  <c r="Y12" i="9"/>
  <c r="Y106" i="9" s="1"/>
  <c r="Y11" i="9"/>
  <c r="Y105" i="9" s="1"/>
  <c r="Y26" i="9"/>
  <c r="Y112" i="9" s="1"/>
  <c r="T45" i="9"/>
  <c r="AB30" i="9" s="1"/>
  <c r="AB108" i="9" s="1"/>
  <c r="Y27" i="9"/>
  <c r="Y116" i="9" s="1"/>
  <c r="G43" i="9"/>
  <c r="G53" i="9" s="1"/>
  <c r="Y25" i="9"/>
  <c r="Y111" i="9" s="1"/>
  <c r="Y34" i="9"/>
  <c r="Y117" i="9" s="1"/>
  <c r="Y8" i="9"/>
  <c r="Y137" i="9" s="1"/>
  <c r="Y10" i="9"/>
  <c r="Y104" i="9" s="1"/>
  <c r="Y13" i="9"/>
  <c r="Y138" i="9" s="1"/>
  <c r="Y21" i="9"/>
  <c r="Y131" i="9" s="1"/>
  <c r="Y23" i="9"/>
  <c r="Y123" i="9" s="1"/>
  <c r="Y37" i="9"/>
  <c r="Y125" i="9" s="1"/>
  <c r="Y41" i="9"/>
  <c r="Y145" i="9" s="1"/>
  <c r="Y30" i="9"/>
  <c r="Y108" i="9" s="1"/>
  <c r="Y42" i="9"/>
  <c r="AX42" i="9" s="1"/>
  <c r="Y16" i="9"/>
  <c r="Y107" i="9" s="1"/>
  <c r="Y24" i="9"/>
  <c r="Y115" i="9" s="1"/>
  <c r="Y9" i="9"/>
  <c r="Y103" i="9" s="1"/>
  <c r="Y29" i="9"/>
  <c r="Y142" i="9" s="1"/>
  <c r="Y39" i="9"/>
  <c r="Y119" i="9" s="1"/>
  <c r="M43" i="9"/>
  <c r="Y6" i="9"/>
  <c r="Y136" i="9" s="1"/>
  <c r="Y15" i="9"/>
  <c r="Y128" i="9" s="1"/>
  <c r="Y19" i="9"/>
  <c r="Y140" i="9" s="1"/>
  <c r="Y20" i="9"/>
  <c r="Y122" i="9" s="1"/>
  <c r="Y22" i="9"/>
  <c r="Y141" i="9" s="1"/>
  <c r="Y31" i="9"/>
  <c r="Y143" i="9" s="1"/>
  <c r="Y35" i="9"/>
  <c r="Y124" i="9" s="1"/>
  <c r="Y36" i="9"/>
  <c r="Y118" i="9" s="1"/>
  <c r="Y38" i="9"/>
  <c r="Y126" i="9" s="1"/>
  <c r="Y40" i="9"/>
  <c r="Y144" i="9" s="1"/>
  <c r="X43" i="9"/>
  <c r="V43" i="9"/>
  <c r="U43" i="9"/>
  <c r="T43" i="9"/>
  <c r="Y5" i="9"/>
  <c r="AX5" i="9" s="1"/>
  <c r="C159" i="9"/>
  <c r="AP31" i="9" l="1"/>
  <c r="AP22" i="9"/>
  <c r="AP13" i="9"/>
  <c r="AP28" i="9"/>
  <c r="AP18" i="9"/>
  <c r="AS16" i="9"/>
  <c r="AW16" i="9"/>
  <c r="AU37" i="9"/>
  <c r="AT18" i="9"/>
  <c r="AU24" i="9"/>
  <c r="AT33" i="9"/>
  <c r="AT38" i="9"/>
  <c r="AT22" i="9"/>
  <c r="AW17" i="9"/>
  <c r="AW21" i="9"/>
  <c r="AU30" i="9"/>
  <c r="AX38" i="9"/>
  <c r="AX34" i="9"/>
  <c r="AX27" i="9"/>
  <c r="AU9" i="9"/>
  <c r="AT31" i="9"/>
  <c r="AT15" i="9"/>
  <c r="AV23" i="9"/>
  <c r="AU32" i="9"/>
  <c r="AU17" i="9"/>
  <c r="AU21" i="9"/>
  <c r="AW29" i="9"/>
  <c r="AV38" i="9"/>
  <c r="AU42" i="9"/>
  <c r="AT40" i="9"/>
  <c r="AX25" i="9"/>
  <c r="AX20" i="9"/>
  <c r="AX28" i="9"/>
  <c r="AT19" i="9"/>
  <c r="AW18" i="9"/>
  <c r="AT17" i="9"/>
  <c r="AW6" i="9"/>
  <c r="AV40" i="9"/>
  <c r="AV24" i="9"/>
  <c r="AV22" i="9"/>
  <c r="AV26" i="9"/>
  <c r="AV33" i="9"/>
  <c r="AV9" i="9"/>
  <c r="AX39" i="9"/>
  <c r="AS29" i="9"/>
  <c r="AS17" i="9"/>
  <c r="AS40" i="9"/>
  <c r="AX32" i="9"/>
  <c r="AX12" i="9"/>
  <c r="AW42" i="9"/>
  <c r="AU16" i="9"/>
  <c r="AT10" i="9"/>
  <c r="AW27" i="9"/>
  <c r="AV34" i="9"/>
  <c r="AW33" i="9"/>
  <c r="AX9" i="9"/>
  <c r="AU18" i="9"/>
  <c r="AU5" i="9"/>
  <c r="AX41" i="9"/>
  <c r="AX33" i="9"/>
  <c r="AX21" i="9"/>
  <c r="AU20" i="9"/>
  <c r="AV15" i="9"/>
  <c r="AU13" i="9"/>
  <c r="AT34" i="9"/>
  <c r="AU39" i="9"/>
  <c r="AW9" i="9"/>
  <c r="AW13" i="9"/>
  <c r="AV25" i="9"/>
  <c r="AT5" i="9"/>
  <c r="AS38" i="9"/>
  <c r="AS34" i="9"/>
  <c r="AS27" i="9"/>
  <c r="AX6" i="9"/>
  <c r="AW28" i="9"/>
  <c r="AW12" i="9"/>
  <c r="AX16" i="9"/>
  <c r="AV19" i="9"/>
  <c r="AW14" i="9"/>
  <c r="AV12" i="9"/>
  <c r="AU33" i="9"/>
  <c r="AX18" i="9"/>
  <c r="AT24" i="9"/>
  <c r="AV30" i="9"/>
  <c r="AU34" i="9"/>
  <c r="AU10" i="9"/>
  <c r="AX31" i="9"/>
  <c r="AX22" i="9"/>
  <c r="AS13" i="9"/>
  <c r="AW40" i="9"/>
  <c r="AW20" i="9"/>
  <c r="AU6" i="9"/>
  <c r="AV39" i="9"/>
  <c r="AX14" i="9"/>
  <c r="AV16" i="9"/>
  <c r="AV36" i="9"/>
  <c r="AV20" i="9"/>
  <c r="AV14" i="9"/>
  <c r="AV18" i="9"/>
  <c r="AT27" i="9"/>
  <c r="AS39" i="9"/>
  <c r="AX29" i="9"/>
  <c r="AX17" i="9"/>
  <c r="AX40" i="9"/>
  <c r="AW24" i="9"/>
  <c r="AT29" i="9"/>
  <c r="AW38" i="9"/>
  <c r="AT13" i="9"/>
  <c r="AW39" i="9"/>
  <c r="AW23" i="9"/>
  <c r="AU27" i="9"/>
  <c r="AU23" i="9"/>
  <c r="AT39" i="9"/>
  <c r="AV13" i="9"/>
  <c r="AS37" i="9"/>
  <c r="AX23" i="9"/>
  <c r="AX19" i="9"/>
  <c r="B159" i="9"/>
  <c r="AT41" i="9"/>
  <c r="AU12" i="9"/>
  <c r="AV8" i="9"/>
  <c r="AT30" i="9"/>
  <c r="AU31" i="9"/>
  <c r="AW41" i="9"/>
  <c r="AU7" i="9"/>
  <c r="AV17" i="9"/>
  <c r="AS36" i="9"/>
  <c r="AX30" i="9"/>
  <c r="AX15" i="9"/>
  <c r="AS6" i="9"/>
  <c r="AS8" i="9"/>
  <c r="AS24" i="9"/>
  <c r="AW8" i="9"/>
  <c r="AU40" i="9"/>
  <c r="AV11" i="9"/>
  <c r="AW7" i="9"/>
  <c r="AU29" i="9"/>
  <c r="AS18" i="9"/>
  <c r="AT16" i="9"/>
  <c r="AT20" i="9"/>
  <c r="AV29" i="9"/>
  <c r="AV5" i="9"/>
  <c r="AS31" i="9"/>
  <c r="AS22" i="9"/>
  <c r="AX13" i="9"/>
  <c r="AU38" i="9"/>
  <c r="AX11" i="9"/>
  <c r="AW26" i="9"/>
  <c r="AV35" i="9"/>
  <c r="AS14" i="9"/>
  <c r="AW11" i="9"/>
  <c r="AV32" i="9"/>
  <c r="AT36" i="9"/>
  <c r="AV6" i="9"/>
  <c r="AV10" i="9"/>
  <c r="AV21" i="9"/>
  <c r="AS5" i="9"/>
  <c r="AX35" i="9"/>
  <c r="AX26" i="9"/>
  <c r="AX7" i="9"/>
  <c r="AT35" i="9"/>
  <c r="AU22" i="9"/>
  <c r="AT25" i="9"/>
  <c r="AW34" i="9"/>
  <c r="AT9" i="9"/>
  <c r="AW35" i="9"/>
  <c r="AW19" i="9"/>
  <c r="AU19" i="9"/>
  <c r="AU15" i="9"/>
  <c r="AW32" i="9"/>
  <c r="AT7" i="9"/>
  <c r="AW5" i="9"/>
  <c r="AX37" i="9"/>
  <c r="AS23" i="9"/>
  <c r="AS19" i="9"/>
  <c r="Y109" i="9"/>
  <c r="AU28" i="9"/>
  <c r="AT37" i="9"/>
  <c r="AU8" i="9"/>
  <c r="AT42" i="9"/>
  <c r="AT26" i="9"/>
  <c r="AW25" i="9"/>
  <c r="AT32" i="9"/>
  <c r="AV37" i="9"/>
  <c r="AT11" i="9"/>
  <c r="AS42" i="9"/>
  <c r="AX36" i="9"/>
  <c r="AS30" i="9"/>
  <c r="AS15" i="9"/>
  <c r="AW36" i="9"/>
  <c r="AX8" i="9"/>
  <c r="AX24" i="9"/>
  <c r="AV27" i="9"/>
  <c r="AU36" i="9"/>
  <c r="AV7" i="9"/>
  <c r="AU41" i="9"/>
  <c r="AU25" i="9"/>
  <c r="AW37" i="9"/>
  <c r="AT8" i="9"/>
  <c r="AT12" i="9"/>
  <c r="AT23" i="9"/>
  <c r="AS25" i="9"/>
  <c r="AS20" i="9"/>
  <c r="AX10" i="9"/>
  <c r="AS28" i="9"/>
  <c r="AS11" i="9"/>
  <c r="AW22" i="9"/>
  <c r="AV31" i="9"/>
  <c r="AW10" i="9"/>
  <c r="AT6" i="9"/>
  <c r="AV28" i="9"/>
  <c r="AT28" i="9"/>
  <c r="AU35" i="9"/>
  <c r="AV41" i="9"/>
  <c r="AU14" i="9"/>
  <c r="AS35" i="9"/>
  <c r="AS26" i="9"/>
  <c r="AS7" i="9"/>
  <c r="AS32" i="9"/>
  <c r="AS12" i="9"/>
  <c r="AT21" i="9"/>
  <c r="AW30" i="9"/>
  <c r="AW15" i="9"/>
  <c r="AW31" i="9"/>
  <c r="AV42" i="9"/>
  <c r="AU11" i="9"/>
  <c r="AS9" i="9"/>
  <c r="AU26" i="9"/>
  <c r="AS41" i="9"/>
  <c r="AS33" i="9"/>
  <c r="AS21" i="9"/>
  <c r="AT14" i="9"/>
  <c r="AK130" i="9"/>
  <c r="AS130" i="9" s="1"/>
  <c r="AP21" i="9"/>
  <c r="AP24" i="9"/>
  <c r="AI108" i="9"/>
  <c r="AQ108" i="9" s="1"/>
  <c r="AP25" i="9"/>
  <c r="AP20" i="9"/>
  <c r="AP10" i="9"/>
  <c r="AP41" i="9"/>
  <c r="AP11" i="9"/>
  <c r="AP34" i="9"/>
  <c r="AP5" i="9"/>
  <c r="AP35" i="9"/>
  <c r="AP26" i="9"/>
  <c r="AP7" i="9"/>
  <c r="AP12" i="9"/>
  <c r="AP33" i="9"/>
  <c r="AP42" i="9"/>
  <c r="AP30" i="9"/>
  <c r="AP6" i="9"/>
  <c r="AP8" i="9"/>
  <c r="AP16" i="9"/>
  <c r="AP38" i="9"/>
  <c r="AP27" i="9"/>
  <c r="AP14" i="9"/>
  <c r="AP39" i="9"/>
  <c r="AP29" i="9"/>
  <c r="AP17" i="9"/>
  <c r="AP40" i="9"/>
  <c r="AP32" i="9"/>
  <c r="AP9" i="9"/>
  <c r="AP37" i="9"/>
  <c r="AP19" i="9"/>
  <c r="AP36" i="9"/>
  <c r="AP15" i="9"/>
  <c r="AP23" i="9"/>
  <c r="AF113" i="9"/>
  <c r="O60" i="9"/>
  <c r="Y135" i="9"/>
  <c r="AL138" i="9"/>
  <c r="AT138" i="9" s="1"/>
  <c r="G149" i="9"/>
  <c r="G148" i="9"/>
  <c r="S75" i="9"/>
  <c r="S114" i="9" s="1"/>
  <c r="M114" i="9"/>
  <c r="S78" i="9"/>
  <c r="S134" i="9" s="1"/>
  <c r="M134" i="9"/>
  <c r="S74" i="9"/>
  <c r="S110" i="9" s="1"/>
  <c r="M110" i="9"/>
  <c r="Y78" i="9"/>
  <c r="Y134" i="9" s="1"/>
  <c r="Y77" i="9"/>
  <c r="Y127" i="9" s="1"/>
  <c r="Y74" i="9"/>
  <c r="Y110" i="9" s="1"/>
  <c r="X79" i="9"/>
  <c r="X82" i="9"/>
  <c r="AF77" i="9" s="1"/>
  <c r="AF127" i="9" s="1"/>
  <c r="AM127" i="9" s="1"/>
  <c r="AU127" i="9" s="1"/>
  <c r="W82" i="9"/>
  <c r="AE78" i="9" s="1"/>
  <c r="W79" i="9"/>
  <c r="G79" i="9"/>
  <c r="Y76" i="9"/>
  <c r="Y120" i="9" s="1"/>
  <c r="U82" i="9"/>
  <c r="AC78" i="9" s="1"/>
  <c r="U79" i="9"/>
  <c r="Y75" i="9"/>
  <c r="Y114" i="9" s="1"/>
  <c r="Y73" i="9"/>
  <c r="Y102" i="9" s="1"/>
  <c r="T82" i="9"/>
  <c r="AB75" i="9" s="1"/>
  <c r="AB114" i="9" s="1"/>
  <c r="AI114" i="9" s="1"/>
  <c r="AQ114" i="9" s="1"/>
  <c r="T79" i="9"/>
  <c r="M79" i="9"/>
  <c r="V79" i="9"/>
  <c r="V82" i="9"/>
  <c r="AD74" i="9" s="1"/>
  <c r="AD110" i="9" s="1"/>
  <c r="AK110" i="9" s="1"/>
  <c r="AS110" i="9" s="1"/>
  <c r="AE37" i="9"/>
  <c r="AE125" i="9" s="1"/>
  <c r="AL125" i="9" s="1"/>
  <c r="AT125" i="9" s="1"/>
  <c r="AE6" i="9"/>
  <c r="AE136" i="9" s="1"/>
  <c r="AL136" i="9" s="1"/>
  <c r="AT136" i="9" s="1"/>
  <c r="AE21" i="9"/>
  <c r="AE131" i="9" s="1"/>
  <c r="AL131" i="9" s="1"/>
  <c r="AT131" i="9" s="1"/>
  <c r="M53" i="9"/>
  <c r="AE42" i="9"/>
  <c r="G20" i="13"/>
  <c r="AE22" i="9"/>
  <c r="AE141" i="9" s="1"/>
  <c r="AL141" i="9" s="1"/>
  <c r="AT141" i="9" s="1"/>
  <c r="AE17" i="9"/>
  <c r="AE129" i="9" s="1"/>
  <c r="AL129" i="9" s="1"/>
  <c r="AT129" i="9" s="1"/>
  <c r="AF25" i="9"/>
  <c r="AE29" i="9"/>
  <c r="AE142" i="9" s="1"/>
  <c r="AL142" i="9" s="1"/>
  <c r="AT142" i="9" s="1"/>
  <c r="AF9" i="9"/>
  <c r="AF103" i="9" s="1"/>
  <c r="AM103" i="9" s="1"/>
  <c r="AU103" i="9" s="1"/>
  <c r="AF21" i="9"/>
  <c r="AF131" i="9" s="1"/>
  <c r="AM131" i="9" s="1"/>
  <c r="AU131" i="9" s="1"/>
  <c r="AC23" i="9"/>
  <c r="AC123" i="9" s="1"/>
  <c r="AJ123" i="9" s="1"/>
  <c r="AR123" i="9" s="1"/>
  <c r="AD19" i="9"/>
  <c r="AD140" i="9" s="1"/>
  <c r="AK140" i="9" s="1"/>
  <c r="AS140" i="9" s="1"/>
  <c r="AC12" i="9"/>
  <c r="AC106" i="9" s="1"/>
  <c r="AJ106" i="9" s="1"/>
  <c r="AR106" i="9" s="1"/>
  <c r="AC32" i="9"/>
  <c r="AC11" i="9"/>
  <c r="AC105" i="9" s="1"/>
  <c r="AJ105" i="9" s="1"/>
  <c r="AR105" i="9" s="1"/>
  <c r="AB22" i="9"/>
  <c r="AB141" i="9" s="1"/>
  <c r="AI141" i="9" s="1"/>
  <c r="AQ141" i="9" s="1"/>
  <c r="AC36" i="9"/>
  <c r="AC118" i="9" s="1"/>
  <c r="AJ118" i="9" s="1"/>
  <c r="AR118" i="9" s="1"/>
  <c r="AF41" i="9"/>
  <c r="AF145" i="9" s="1"/>
  <c r="AM145" i="9" s="1"/>
  <c r="AU145" i="9" s="1"/>
  <c r="AC20" i="9"/>
  <c r="AC122" i="9" s="1"/>
  <c r="AJ122" i="9" s="1"/>
  <c r="AR122" i="9" s="1"/>
  <c r="AC28" i="9"/>
  <c r="AC132" i="9" s="1"/>
  <c r="AJ132" i="9" s="1"/>
  <c r="AR132" i="9" s="1"/>
  <c r="AF17" i="9"/>
  <c r="AF129" i="9" s="1"/>
  <c r="AM129" i="9" s="1"/>
  <c r="AU129" i="9" s="1"/>
  <c r="AF33" i="9"/>
  <c r="AF133" i="9" s="1"/>
  <c r="AM133" i="9" s="1"/>
  <c r="AU133" i="9" s="1"/>
  <c r="AF13" i="9"/>
  <c r="AF138" i="9" s="1"/>
  <c r="AM138" i="9" s="1"/>
  <c r="AU138" i="9" s="1"/>
  <c r="AC27" i="9"/>
  <c r="AC116" i="9" s="1"/>
  <c r="AJ116" i="9" s="1"/>
  <c r="AR116" i="9" s="1"/>
  <c r="AF16" i="9"/>
  <c r="AF107" i="9" s="1"/>
  <c r="AM107" i="9" s="1"/>
  <c r="AU107" i="9" s="1"/>
  <c r="AD39" i="9"/>
  <c r="AD119" i="9" s="1"/>
  <c r="AK119" i="9" s="1"/>
  <c r="AS119" i="9" s="1"/>
  <c r="AF37" i="12"/>
  <c r="AF45" i="12"/>
  <c r="AF44" i="12"/>
  <c r="AF42" i="12"/>
  <c r="AF41" i="12"/>
  <c r="AF50" i="12"/>
  <c r="AF48" i="12"/>
  <c r="AF49" i="12"/>
  <c r="AF43" i="12"/>
  <c r="AF46" i="12"/>
  <c r="AF47" i="12"/>
  <c r="AB26" i="12"/>
  <c r="AB50" i="12"/>
  <c r="AB49" i="12"/>
  <c r="AB41" i="12"/>
  <c r="AB43" i="12"/>
  <c r="AB44" i="12"/>
  <c r="AB47" i="12"/>
  <c r="AB42" i="12"/>
  <c r="AB46" i="12"/>
  <c r="AB48" i="12"/>
  <c r="AB45" i="12"/>
  <c r="AC50" i="12"/>
  <c r="AC48" i="12"/>
  <c r="AC47" i="12"/>
  <c r="AC45" i="12"/>
  <c r="AC46" i="12"/>
  <c r="AC42" i="12"/>
  <c r="AC43" i="12"/>
  <c r="AC41" i="12"/>
  <c r="AC44" i="12"/>
  <c r="AC49" i="12"/>
  <c r="AE11" i="12"/>
  <c r="AE47" i="12"/>
  <c r="AE45" i="12"/>
  <c r="AE50" i="12"/>
  <c r="AE44" i="12"/>
  <c r="AE46" i="12"/>
  <c r="AE42" i="12"/>
  <c r="AE48" i="12"/>
  <c r="AE43" i="12"/>
  <c r="AE49" i="12"/>
  <c r="AE41" i="12"/>
  <c r="AD28" i="12"/>
  <c r="AD46" i="12"/>
  <c r="AD45" i="12"/>
  <c r="AD44" i="12"/>
  <c r="AD49" i="12"/>
  <c r="AD50" i="12"/>
  <c r="AD42" i="12"/>
  <c r="AD48" i="12"/>
  <c r="AD41" i="12"/>
  <c r="AD47" i="12"/>
  <c r="AD43" i="12"/>
  <c r="AB11" i="12"/>
  <c r="AB21" i="12"/>
  <c r="AF36" i="12"/>
  <c r="AF32" i="12"/>
  <c r="AF7" i="12"/>
  <c r="AF23" i="12"/>
  <c r="AF39" i="12"/>
  <c r="AB30" i="12"/>
  <c r="AB13" i="12"/>
  <c r="AB33" i="12"/>
  <c r="AB23" i="12"/>
  <c r="AB19" i="12"/>
  <c r="AB32" i="12"/>
  <c r="AB20" i="12"/>
  <c r="AB15" i="12"/>
  <c r="AB40" i="12"/>
  <c r="AB6" i="12"/>
  <c r="AB22" i="12"/>
  <c r="AB17" i="12"/>
  <c r="AF24" i="12"/>
  <c r="AB29" i="12"/>
  <c r="AF34" i="12"/>
  <c r="AF6" i="12"/>
  <c r="AD35" i="12"/>
  <c r="AF19" i="12"/>
  <c r="AF20" i="12"/>
  <c r="AF28" i="12"/>
  <c r="AF15" i="12"/>
  <c r="AF14" i="12"/>
  <c r="AF27" i="12"/>
  <c r="AF17" i="12"/>
  <c r="AF21" i="12"/>
  <c r="AF26" i="12"/>
  <c r="AF8" i="12"/>
  <c r="AF40" i="12"/>
  <c r="AD19" i="12"/>
  <c r="AD5" i="12"/>
  <c r="AF12" i="12"/>
  <c r="AD37" i="12"/>
  <c r="AB31" i="12"/>
  <c r="AD38" i="12"/>
  <c r="AD24" i="12"/>
  <c r="AB27" i="12"/>
  <c r="AB25" i="12"/>
  <c r="AD26" i="12"/>
  <c r="AB9" i="12"/>
  <c r="AD40" i="12"/>
  <c r="AB8" i="12"/>
  <c r="AB7" i="12"/>
  <c r="AB34" i="12"/>
  <c r="AB39" i="12"/>
  <c r="AB14" i="12"/>
  <c r="AB18" i="12"/>
  <c r="AB24" i="12"/>
  <c r="AB36" i="12"/>
  <c r="AE10" i="12"/>
  <c r="AE13" i="12"/>
  <c r="AE22" i="12"/>
  <c r="AE36" i="12"/>
  <c r="AE29" i="12"/>
  <c r="AC37" i="12"/>
  <c r="AC32" i="12"/>
  <c r="AC25" i="12"/>
  <c r="AC10" i="12"/>
  <c r="AC19" i="12"/>
  <c r="AC13" i="12"/>
  <c r="AC7" i="12"/>
  <c r="AC22" i="12"/>
  <c r="AC33" i="12"/>
  <c r="AC29" i="12"/>
  <c r="AC18" i="12"/>
  <c r="AE37" i="12"/>
  <c r="AC8" i="12"/>
  <c r="AD30" i="12"/>
  <c r="AE25" i="12"/>
  <c r="AD20" i="12"/>
  <c r="AC16" i="12"/>
  <c r="AC38" i="12"/>
  <c r="AE17" i="12"/>
  <c r="AD34" i="12"/>
  <c r="AE19" i="12"/>
  <c r="AE34" i="12"/>
  <c r="AD31" i="12"/>
  <c r="AB35" i="12"/>
  <c r="AD27" i="9"/>
  <c r="AD116" i="9" s="1"/>
  <c r="AK116" i="9" s="1"/>
  <c r="AS116" i="9" s="1"/>
  <c r="AD7" i="9"/>
  <c r="AD121" i="9" s="1"/>
  <c r="AK121" i="9" s="1"/>
  <c r="AS121" i="9" s="1"/>
  <c r="AD34" i="9"/>
  <c r="AD117" i="9" s="1"/>
  <c r="AK117" i="9" s="1"/>
  <c r="AS117" i="9" s="1"/>
  <c r="AD10" i="9"/>
  <c r="AD104" i="9" s="1"/>
  <c r="AK104" i="9" s="1"/>
  <c r="AS104" i="9" s="1"/>
  <c r="AE8" i="12"/>
  <c r="AC23" i="12"/>
  <c r="AC31" i="12"/>
  <c r="AC9" i="12"/>
  <c r="AC14" i="12"/>
  <c r="AC21" i="12"/>
  <c r="AD23" i="12"/>
  <c r="AD8" i="12"/>
  <c r="AE26" i="12"/>
  <c r="AE6" i="12"/>
  <c r="AE23" i="12"/>
  <c r="AF33" i="12"/>
  <c r="AF22" i="12"/>
  <c r="AF35" i="12"/>
  <c r="AF16" i="12"/>
  <c r="AF25" i="12"/>
  <c r="AD21" i="12"/>
  <c r="AC17" i="12"/>
  <c r="AE7" i="12"/>
  <c r="AD18" i="12"/>
  <c r="AD10" i="12"/>
  <c r="AD29" i="12"/>
  <c r="AC35" i="12"/>
  <c r="AB38" i="12"/>
  <c r="AB16" i="12"/>
  <c r="AE30" i="12"/>
  <c r="AE16" i="12"/>
  <c r="AE34" i="9"/>
  <c r="AE14" i="9"/>
  <c r="AE139" i="9" s="1"/>
  <c r="AL139" i="9" s="1"/>
  <c r="AT139" i="9" s="1"/>
  <c r="AE30" i="9"/>
  <c r="AE108" i="9" s="1"/>
  <c r="AL108" i="9" s="1"/>
  <c r="AT108" i="9" s="1"/>
  <c r="AD15" i="9"/>
  <c r="AD128" i="9" s="1"/>
  <c r="AK128" i="9" s="1"/>
  <c r="AS128" i="9" s="1"/>
  <c r="AD42" i="9"/>
  <c r="AE33" i="9"/>
  <c r="AE133" i="9" s="1"/>
  <c r="AL133" i="9" s="1"/>
  <c r="AT133" i="9" s="1"/>
  <c r="AE25" i="9"/>
  <c r="AE9" i="9"/>
  <c r="AE103" i="9" s="1"/>
  <c r="AL103" i="9" s="1"/>
  <c r="AT103" i="9" s="1"/>
  <c r="AC34" i="12"/>
  <c r="AE40" i="12"/>
  <c r="AC5" i="12"/>
  <c r="AE27" i="12"/>
  <c r="AC39" i="12"/>
  <c r="AC11" i="12"/>
  <c r="AC20" i="12"/>
  <c r="AE14" i="12"/>
  <c r="AC36" i="12"/>
  <c r="AE15" i="12"/>
  <c r="AE39" i="12"/>
  <c r="AD16" i="12"/>
  <c r="AD11" i="12"/>
  <c r="AE31" i="12"/>
  <c r="AC27" i="12"/>
  <c r="AC40" i="12"/>
  <c r="AC15" i="12"/>
  <c r="AE9" i="12"/>
  <c r="AF29" i="12"/>
  <c r="AB12" i="12"/>
  <c r="AE21" i="12"/>
  <c r="AD6" i="12"/>
  <c r="AE32" i="12"/>
  <c r="Y53" i="12"/>
  <c r="Y51" i="12"/>
  <c r="AC24" i="12"/>
  <c r="AC28" i="12"/>
  <c r="AE12" i="12"/>
  <c r="AF30" i="12"/>
  <c r="AF9" i="12"/>
  <c r="AD9" i="12"/>
  <c r="AF38" i="12"/>
  <c r="AD31" i="9"/>
  <c r="AD143" i="9" s="1"/>
  <c r="AK143" i="9" s="1"/>
  <c r="AS143" i="9" s="1"/>
  <c r="AD11" i="9"/>
  <c r="AD105" i="9" s="1"/>
  <c r="AK105" i="9" s="1"/>
  <c r="AS105" i="9" s="1"/>
  <c r="AE38" i="9"/>
  <c r="AE126" i="9" s="1"/>
  <c r="AL126" i="9" s="1"/>
  <c r="AT126" i="9" s="1"/>
  <c r="AD23" i="9"/>
  <c r="AD123" i="9" s="1"/>
  <c r="AK123" i="9" s="1"/>
  <c r="AS123" i="9" s="1"/>
  <c r="AE41" i="9"/>
  <c r="AE145" i="9" s="1"/>
  <c r="AL145" i="9" s="1"/>
  <c r="AT145" i="9" s="1"/>
  <c r="AD30" i="9"/>
  <c r="AD108" i="9" s="1"/>
  <c r="AK108" i="9" s="1"/>
  <c r="AS108" i="9" s="1"/>
  <c r="AD14" i="9"/>
  <c r="AD139" i="9" s="1"/>
  <c r="AK139" i="9" s="1"/>
  <c r="AS139" i="9" s="1"/>
  <c r="AE5" i="12"/>
  <c r="AD25" i="12"/>
  <c r="AD7" i="12"/>
  <c r="AD13" i="12"/>
  <c r="AD39" i="12"/>
  <c r="AD17" i="12"/>
  <c r="AD15" i="12"/>
  <c r="AE20" i="12"/>
  <c r="AD22" i="12"/>
  <c r="AE35" i="12"/>
  <c r="AE28" i="12"/>
  <c r="AF31" i="12"/>
  <c r="AD14" i="12"/>
  <c r="AD33" i="12"/>
  <c r="AB10" i="12"/>
  <c r="AF13" i="12"/>
  <c r="AE24" i="12"/>
  <c r="AD32" i="12"/>
  <c r="AC6" i="12"/>
  <c r="AB28" i="12"/>
  <c r="AE33" i="12"/>
  <c r="AF10" i="12"/>
  <c r="AF5" i="12"/>
  <c r="AC30" i="12"/>
  <c r="AC12" i="12"/>
  <c r="AE38" i="12"/>
  <c r="AB5" i="12"/>
  <c r="AE18" i="12"/>
  <c r="AC26" i="12"/>
  <c r="AB37" i="12"/>
  <c r="AF11" i="12"/>
  <c r="AD27" i="12"/>
  <c r="AD12" i="12"/>
  <c r="AF18" i="12"/>
  <c r="AD36" i="12"/>
  <c r="AF37" i="9"/>
  <c r="AF125" i="9" s="1"/>
  <c r="AM125" i="9" s="1"/>
  <c r="AU125" i="9" s="1"/>
  <c r="AF29" i="9"/>
  <c r="AF142" i="9" s="1"/>
  <c r="AM142" i="9" s="1"/>
  <c r="AU142" i="9" s="1"/>
  <c r="AC24" i="9"/>
  <c r="AC115" i="9" s="1"/>
  <c r="AJ115" i="9" s="1"/>
  <c r="AR115" i="9" s="1"/>
  <c r="AC16" i="9"/>
  <c r="AC107" i="9" s="1"/>
  <c r="AJ107" i="9" s="1"/>
  <c r="AR107" i="9" s="1"/>
  <c r="AC8" i="9"/>
  <c r="AC137" i="9" s="1"/>
  <c r="AJ137" i="9" s="1"/>
  <c r="AR137" i="9" s="1"/>
  <c r="AD35" i="9"/>
  <c r="AD124" i="9" s="1"/>
  <c r="AK124" i="9" s="1"/>
  <c r="AS124" i="9" s="1"/>
  <c r="AE26" i="9"/>
  <c r="AE18" i="9"/>
  <c r="AE130" i="9" s="1"/>
  <c r="AL130" i="9" s="1"/>
  <c r="AT130" i="9" s="1"/>
  <c r="AE10" i="9"/>
  <c r="AE104" i="9" s="1"/>
  <c r="AL104" i="9" s="1"/>
  <c r="AT104" i="9" s="1"/>
  <c r="AC39" i="9"/>
  <c r="AC119" i="9" s="1"/>
  <c r="AJ119" i="9" s="1"/>
  <c r="AR119" i="9" s="1"/>
  <c r="AD26" i="9"/>
  <c r="AB13" i="9"/>
  <c r="AB138" i="9" s="1"/>
  <c r="AI138" i="9" s="1"/>
  <c r="AQ138" i="9" s="1"/>
  <c r="AC42" i="9"/>
  <c r="AC41" i="9"/>
  <c r="AC145" i="9" s="1"/>
  <c r="AJ145" i="9" s="1"/>
  <c r="AR145" i="9" s="1"/>
  <c r="AC38" i="9"/>
  <c r="AC126" i="9" s="1"/>
  <c r="AJ126" i="9" s="1"/>
  <c r="AR126" i="9" s="1"/>
  <c r="AC37" i="9"/>
  <c r="AC125" i="9" s="1"/>
  <c r="AJ125" i="9" s="1"/>
  <c r="AR125" i="9" s="1"/>
  <c r="AC34" i="9"/>
  <c r="AC117" i="9" s="1"/>
  <c r="AJ117" i="9" s="1"/>
  <c r="AR117" i="9" s="1"/>
  <c r="AC33" i="9"/>
  <c r="AC133" i="9" s="1"/>
  <c r="AJ133" i="9" s="1"/>
  <c r="AR133" i="9" s="1"/>
  <c r="AC30" i="9"/>
  <c r="AC108" i="9" s="1"/>
  <c r="AJ108" i="9" s="1"/>
  <c r="AR108" i="9" s="1"/>
  <c r="AC29" i="9"/>
  <c r="AC142" i="9" s="1"/>
  <c r="AJ142" i="9" s="1"/>
  <c r="AR142" i="9" s="1"/>
  <c r="AC26" i="9"/>
  <c r="AC25" i="9"/>
  <c r="AC22" i="9"/>
  <c r="AC141" i="9" s="1"/>
  <c r="AJ141" i="9" s="1"/>
  <c r="AR141" i="9" s="1"/>
  <c r="AC21" i="9"/>
  <c r="AC131" i="9" s="1"/>
  <c r="AJ131" i="9" s="1"/>
  <c r="AR131" i="9" s="1"/>
  <c r="AC18" i="9"/>
  <c r="AC130" i="9" s="1"/>
  <c r="AJ130" i="9" s="1"/>
  <c r="AR130" i="9" s="1"/>
  <c r="AC17" i="9"/>
  <c r="AC129" i="9" s="1"/>
  <c r="AJ129" i="9" s="1"/>
  <c r="AR129" i="9" s="1"/>
  <c r="AC13" i="9"/>
  <c r="AC138" i="9" s="1"/>
  <c r="AJ138" i="9" s="1"/>
  <c r="AR138" i="9" s="1"/>
  <c r="AC10" i="9"/>
  <c r="AC104" i="9" s="1"/>
  <c r="AJ104" i="9" s="1"/>
  <c r="AR104" i="9" s="1"/>
  <c r="AC9" i="9"/>
  <c r="AC103" i="9" s="1"/>
  <c r="AJ103" i="9" s="1"/>
  <c r="AR103" i="9" s="1"/>
  <c r="AC6" i="9"/>
  <c r="AC136" i="9" s="1"/>
  <c r="AJ136" i="9" s="1"/>
  <c r="AR136" i="9" s="1"/>
  <c r="AC15" i="9"/>
  <c r="AC128" i="9" s="1"/>
  <c r="AJ128" i="9" s="1"/>
  <c r="AR128" i="9" s="1"/>
  <c r="AC19" i="9"/>
  <c r="AC140" i="9" s="1"/>
  <c r="AJ140" i="9" s="1"/>
  <c r="AR140" i="9" s="1"/>
  <c r="AC31" i="9"/>
  <c r="AC143" i="9" s="1"/>
  <c r="AJ143" i="9" s="1"/>
  <c r="AR143" i="9" s="1"/>
  <c r="AC35" i="9"/>
  <c r="AC124" i="9" s="1"/>
  <c r="AJ124" i="9" s="1"/>
  <c r="AR124" i="9" s="1"/>
  <c r="AC14" i="9"/>
  <c r="AC139" i="9" s="1"/>
  <c r="AJ139" i="9" s="1"/>
  <c r="AR139" i="9" s="1"/>
  <c r="AC40" i="9"/>
  <c r="AC144" i="9" s="1"/>
  <c r="AJ144" i="9" s="1"/>
  <c r="AR144" i="9" s="1"/>
  <c r="AC5" i="9"/>
  <c r="AD41" i="9"/>
  <c r="AD145" i="9" s="1"/>
  <c r="AK145" i="9" s="1"/>
  <c r="AS145" i="9" s="1"/>
  <c r="AD40" i="9"/>
  <c r="AD144" i="9" s="1"/>
  <c r="AK144" i="9" s="1"/>
  <c r="AS144" i="9" s="1"/>
  <c r="AD37" i="9"/>
  <c r="AD125" i="9" s="1"/>
  <c r="AK125" i="9" s="1"/>
  <c r="AS125" i="9" s="1"/>
  <c r="AD36" i="9"/>
  <c r="AD118" i="9" s="1"/>
  <c r="AK118" i="9" s="1"/>
  <c r="AS118" i="9" s="1"/>
  <c r="AD33" i="9"/>
  <c r="AD133" i="9" s="1"/>
  <c r="AK133" i="9" s="1"/>
  <c r="AS133" i="9" s="1"/>
  <c r="AD32" i="9"/>
  <c r="AD29" i="9"/>
  <c r="AD142" i="9" s="1"/>
  <c r="AK142" i="9" s="1"/>
  <c r="AS142" i="9" s="1"/>
  <c r="AD28" i="9"/>
  <c r="AD132" i="9" s="1"/>
  <c r="AK132" i="9" s="1"/>
  <c r="AS132" i="9" s="1"/>
  <c r="AD25" i="9"/>
  <c r="AD24" i="9"/>
  <c r="AD115" i="9" s="1"/>
  <c r="AK115" i="9" s="1"/>
  <c r="AS115" i="9" s="1"/>
  <c r="AD21" i="9"/>
  <c r="AD131" i="9" s="1"/>
  <c r="AK131" i="9" s="1"/>
  <c r="AS131" i="9" s="1"/>
  <c r="AD20" i="9"/>
  <c r="AD122" i="9" s="1"/>
  <c r="AK122" i="9" s="1"/>
  <c r="AS122" i="9" s="1"/>
  <c r="AD17" i="9"/>
  <c r="AD129" i="9" s="1"/>
  <c r="AK129" i="9" s="1"/>
  <c r="AS129" i="9" s="1"/>
  <c r="AD16" i="9"/>
  <c r="AD107" i="9" s="1"/>
  <c r="AK107" i="9" s="1"/>
  <c r="AS107" i="9" s="1"/>
  <c r="AD13" i="9"/>
  <c r="AD138" i="9" s="1"/>
  <c r="AK138" i="9" s="1"/>
  <c r="AS138" i="9" s="1"/>
  <c r="AD12" i="9"/>
  <c r="AD106" i="9" s="1"/>
  <c r="AK106" i="9" s="1"/>
  <c r="AS106" i="9" s="1"/>
  <c r="AD8" i="9"/>
  <c r="AD137" i="9" s="1"/>
  <c r="AK137" i="9" s="1"/>
  <c r="AS137" i="9" s="1"/>
  <c r="AD6" i="9"/>
  <c r="AD136" i="9" s="1"/>
  <c r="AK136" i="9" s="1"/>
  <c r="AS136" i="9" s="1"/>
  <c r="AD22" i="9"/>
  <c r="AD141" i="9" s="1"/>
  <c r="AK141" i="9" s="1"/>
  <c r="AS141" i="9" s="1"/>
  <c r="AD38" i="9"/>
  <c r="AD126" i="9" s="1"/>
  <c r="AK126" i="9" s="1"/>
  <c r="AS126" i="9" s="1"/>
  <c r="AD9" i="9"/>
  <c r="AD103" i="9" s="1"/>
  <c r="AK103" i="9" s="1"/>
  <c r="AS103" i="9" s="1"/>
  <c r="AD5" i="9"/>
  <c r="AE40" i="9"/>
  <c r="AE144" i="9" s="1"/>
  <c r="AL144" i="9" s="1"/>
  <c r="AT144" i="9" s="1"/>
  <c r="AE39" i="9"/>
  <c r="AE119" i="9" s="1"/>
  <c r="AL119" i="9" s="1"/>
  <c r="AT119" i="9" s="1"/>
  <c r="AE36" i="9"/>
  <c r="AE118" i="9" s="1"/>
  <c r="AL118" i="9" s="1"/>
  <c r="AT118" i="9" s="1"/>
  <c r="AE35" i="9"/>
  <c r="AE124" i="9" s="1"/>
  <c r="AL124" i="9" s="1"/>
  <c r="AT124" i="9" s="1"/>
  <c r="AE32" i="9"/>
  <c r="AE31" i="9"/>
  <c r="AE143" i="9" s="1"/>
  <c r="AL143" i="9" s="1"/>
  <c r="AT143" i="9" s="1"/>
  <c r="AE28" i="9"/>
  <c r="AE132" i="9" s="1"/>
  <c r="AL132" i="9" s="1"/>
  <c r="AT132" i="9" s="1"/>
  <c r="AE27" i="9"/>
  <c r="AE116" i="9" s="1"/>
  <c r="AL116" i="9" s="1"/>
  <c r="AT116" i="9" s="1"/>
  <c r="AE24" i="9"/>
  <c r="AE115" i="9" s="1"/>
  <c r="AL115" i="9" s="1"/>
  <c r="AT115" i="9" s="1"/>
  <c r="AE23" i="9"/>
  <c r="AE123" i="9" s="1"/>
  <c r="AL123" i="9" s="1"/>
  <c r="AT123" i="9" s="1"/>
  <c r="AE20" i="9"/>
  <c r="AE122" i="9" s="1"/>
  <c r="AL122" i="9" s="1"/>
  <c r="AT122" i="9" s="1"/>
  <c r="AE19" i="9"/>
  <c r="AE140" i="9" s="1"/>
  <c r="AL140" i="9" s="1"/>
  <c r="AT140" i="9" s="1"/>
  <c r="AE16" i="9"/>
  <c r="AE107" i="9" s="1"/>
  <c r="AL107" i="9" s="1"/>
  <c r="AT107" i="9" s="1"/>
  <c r="AE15" i="9"/>
  <c r="AE128" i="9" s="1"/>
  <c r="AL128" i="9" s="1"/>
  <c r="AT128" i="9" s="1"/>
  <c r="AE12" i="9"/>
  <c r="AE106" i="9" s="1"/>
  <c r="AL106" i="9" s="1"/>
  <c r="AT106" i="9" s="1"/>
  <c r="AE11" i="9"/>
  <c r="AE105" i="9" s="1"/>
  <c r="AL105" i="9" s="1"/>
  <c r="AT105" i="9" s="1"/>
  <c r="AE8" i="9"/>
  <c r="AE137" i="9" s="1"/>
  <c r="AL137" i="9" s="1"/>
  <c r="AT137" i="9" s="1"/>
  <c r="AE7" i="9"/>
  <c r="AE121" i="9" s="1"/>
  <c r="AL121" i="9" s="1"/>
  <c r="AT121" i="9" s="1"/>
  <c r="AE5" i="9"/>
  <c r="AF42" i="9"/>
  <c r="AF39" i="9"/>
  <c r="AF119" i="9" s="1"/>
  <c r="AM119" i="9" s="1"/>
  <c r="AU119" i="9" s="1"/>
  <c r="AF38" i="9"/>
  <c r="AF126" i="9" s="1"/>
  <c r="AM126" i="9" s="1"/>
  <c r="AU126" i="9" s="1"/>
  <c r="AF35" i="9"/>
  <c r="AF124" i="9" s="1"/>
  <c r="AM124" i="9" s="1"/>
  <c r="AU124" i="9" s="1"/>
  <c r="AF34" i="9"/>
  <c r="AF117" i="9" s="1"/>
  <c r="AM117" i="9" s="1"/>
  <c r="AU117" i="9" s="1"/>
  <c r="AF31" i="9"/>
  <c r="AF143" i="9" s="1"/>
  <c r="AM143" i="9" s="1"/>
  <c r="AU143" i="9" s="1"/>
  <c r="AF30" i="9"/>
  <c r="AF108" i="9" s="1"/>
  <c r="AM108" i="9" s="1"/>
  <c r="AU108" i="9" s="1"/>
  <c r="AF27" i="9"/>
  <c r="AF116" i="9" s="1"/>
  <c r="AM116" i="9" s="1"/>
  <c r="AU116" i="9" s="1"/>
  <c r="AF26" i="9"/>
  <c r="AF23" i="9"/>
  <c r="AF123" i="9" s="1"/>
  <c r="AM123" i="9" s="1"/>
  <c r="AU123" i="9" s="1"/>
  <c r="AF22" i="9"/>
  <c r="AF141" i="9" s="1"/>
  <c r="AM141" i="9" s="1"/>
  <c r="AU141" i="9" s="1"/>
  <c r="AF19" i="9"/>
  <c r="AF140" i="9" s="1"/>
  <c r="AM140" i="9" s="1"/>
  <c r="AU140" i="9" s="1"/>
  <c r="AF18" i="9"/>
  <c r="AF130" i="9" s="1"/>
  <c r="AM130" i="9" s="1"/>
  <c r="AU130" i="9" s="1"/>
  <c r="AF15" i="9"/>
  <c r="AF128" i="9" s="1"/>
  <c r="AM128" i="9" s="1"/>
  <c r="AU128" i="9" s="1"/>
  <c r="AF14" i="9"/>
  <c r="AF139" i="9" s="1"/>
  <c r="AM139" i="9" s="1"/>
  <c r="AU139" i="9" s="1"/>
  <c r="AF11" i="9"/>
  <c r="AF105" i="9" s="1"/>
  <c r="AM105" i="9" s="1"/>
  <c r="AU105" i="9" s="1"/>
  <c r="AF10" i="9"/>
  <c r="AF104" i="9" s="1"/>
  <c r="AM104" i="9" s="1"/>
  <c r="AU104" i="9" s="1"/>
  <c r="AF7" i="9"/>
  <c r="AF121" i="9" s="1"/>
  <c r="AM121" i="9" s="1"/>
  <c r="AU121" i="9" s="1"/>
  <c r="AF6" i="9"/>
  <c r="AF136" i="9" s="1"/>
  <c r="AM136" i="9" s="1"/>
  <c r="AU136" i="9" s="1"/>
  <c r="AF8" i="9"/>
  <c r="AF137" i="9" s="1"/>
  <c r="AM137" i="9" s="1"/>
  <c r="AU137" i="9" s="1"/>
  <c r="AF12" i="9"/>
  <c r="AF106" i="9" s="1"/>
  <c r="AM106" i="9" s="1"/>
  <c r="AU106" i="9" s="1"/>
  <c r="AF20" i="9"/>
  <c r="AF122" i="9" s="1"/>
  <c r="AM122" i="9" s="1"/>
  <c r="AU122" i="9" s="1"/>
  <c r="AF24" i="9"/>
  <c r="AF115" i="9" s="1"/>
  <c r="AM115" i="9" s="1"/>
  <c r="AU115" i="9" s="1"/>
  <c r="AF28" i="9"/>
  <c r="AF132" i="9" s="1"/>
  <c r="AM132" i="9" s="1"/>
  <c r="AU132" i="9" s="1"/>
  <c r="AF36" i="9"/>
  <c r="AF118" i="9" s="1"/>
  <c r="AM118" i="9" s="1"/>
  <c r="AU118" i="9" s="1"/>
  <c r="AF40" i="9"/>
  <c r="AF144" i="9" s="1"/>
  <c r="AM144" i="9" s="1"/>
  <c r="AU144" i="9" s="1"/>
  <c r="AF5" i="9"/>
  <c r="AB12" i="9"/>
  <c r="AB106" i="9" s="1"/>
  <c r="AI106" i="9" s="1"/>
  <c r="AQ106" i="9" s="1"/>
  <c r="AB21" i="9"/>
  <c r="AB131" i="9" s="1"/>
  <c r="AI131" i="9" s="1"/>
  <c r="AQ131" i="9" s="1"/>
  <c r="AB15" i="9"/>
  <c r="AB128" i="9" s="1"/>
  <c r="AI128" i="9" s="1"/>
  <c r="AQ128" i="9" s="1"/>
  <c r="AB38" i="9"/>
  <c r="AB126" i="9" s="1"/>
  <c r="AI126" i="9" s="1"/>
  <c r="AQ126" i="9" s="1"/>
  <c r="AB39" i="9"/>
  <c r="AB119" i="9" s="1"/>
  <c r="AI119" i="9" s="1"/>
  <c r="AQ119" i="9" s="1"/>
  <c r="AB36" i="9"/>
  <c r="AB118" i="9" s="1"/>
  <c r="AI118" i="9" s="1"/>
  <c r="AQ118" i="9" s="1"/>
  <c r="AB25" i="9"/>
  <c r="AB24" i="9"/>
  <c r="AB115" i="9" s="1"/>
  <c r="AI115" i="9" s="1"/>
  <c r="AQ115" i="9" s="1"/>
  <c r="AB27" i="9"/>
  <c r="AB116" i="9" s="1"/>
  <c r="AI116" i="9" s="1"/>
  <c r="AQ116" i="9" s="1"/>
  <c r="AB37" i="9"/>
  <c r="AB125" i="9" s="1"/>
  <c r="AI125" i="9" s="1"/>
  <c r="AQ125" i="9" s="1"/>
  <c r="AB7" i="9"/>
  <c r="AB121" i="9" s="1"/>
  <c r="AI121" i="9" s="1"/>
  <c r="AQ121" i="9" s="1"/>
  <c r="Y43" i="9"/>
  <c r="Y45" i="9"/>
  <c r="AG15" i="9" s="1"/>
  <c r="AG128" i="9" s="1"/>
  <c r="AN128" i="9" s="1"/>
  <c r="AV128" i="9" s="1"/>
  <c r="AB6" i="9"/>
  <c r="AB136" i="9" s="1"/>
  <c r="AI136" i="9" s="1"/>
  <c r="AQ136" i="9" s="1"/>
  <c r="AB10" i="9"/>
  <c r="AB104" i="9" s="1"/>
  <c r="AI104" i="9" s="1"/>
  <c r="AQ104" i="9" s="1"/>
  <c r="AB34" i="9"/>
  <c r="AB117" i="9" s="1"/>
  <c r="AI117" i="9" s="1"/>
  <c r="AQ117" i="9" s="1"/>
  <c r="AB40" i="9"/>
  <c r="AB144" i="9" s="1"/>
  <c r="AI144" i="9" s="1"/>
  <c r="AQ144" i="9" s="1"/>
  <c r="AB35" i="9"/>
  <c r="AB124" i="9" s="1"/>
  <c r="AI124" i="9" s="1"/>
  <c r="AQ124" i="9" s="1"/>
  <c r="AB42" i="9"/>
  <c r="AB33" i="9"/>
  <c r="AB133" i="9" s="1"/>
  <c r="AI133" i="9" s="1"/>
  <c r="AQ133" i="9" s="1"/>
  <c r="AB19" i="9"/>
  <c r="AB140" i="9" s="1"/>
  <c r="AI140" i="9" s="1"/>
  <c r="AQ140" i="9" s="1"/>
  <c r="AB18" i="9"/>
  <c r="AB130" i="9" s="1"/>
  <c r="AI130" i="9" s="1"/>
  <c r="AQ130" i="9" s="1"/>
  <c r="AB14" i="9"/>
  <c r="AB139" i="9" s="1"/>
  <c r="AI139" i="9" s="1"/>
  <c r="AQ139" i="9" s="1"/>
  <c r="AB29" i="9"/>
  <c r="AB142" i="9" s="1"/>
  <c r="AI142" i="9" s="1"/>
  <c r="AQ142" i="9" s="1"/>
  <c r="AB11" i="9"/>
  <c r="AB105" i="9" s="1"/>
  <c r="AI105" i="9" s="1"/>
  <c r="AQ105" i="9" s="1"/>
  <c r="AB9" i="9"/>
  <c r="AB103" i="9" s="1"/>
  <c r="AI103" i="9" s="1"/>
  <c r="AQ103" i="9" s="1"/>
  <c r="AB17" i="9"/>
  <c r="AB129" i="9" s="1"/>
  <c r="AI129" i="9" s="1"/>
  <c r="AQ129" i="9" s="1"/>
  <c r="AB28" i="9"/>
  <c r="AB132" i="9" s="1"/>
  <c r="AI132" i="9" s="1"/>
  <c r="AQ132" i="9" s="1"/>
  <c r="AB32" i="9"/>
  <c r="AB113" i="9" s="1"/>
  <c r="AB31" i="9"/>
  <c r="AB143" i="9" s="1"/>
  <c r="AI143" i="9" s="1"/>
  <c r="AQ143" i="9" s="1"/>
  <c r="AB20" i="9"/>
  <c r="AB122" i="9" s="1"/>
  <c r="AI122" i="9" s="1"/>
  <c r="AQ122" i="9" s="1"/>
  <c r="AB16" i="9"/>
  <c r="AB107" i="9" s="1"/>
  <c r="AI107" i="9" s="1"/>
  <c r="AQ107" i="9" s="1"/>
  <c r="AB8" i="9"/>
  <c r="AB137" i="9" s="1"/>
  <c r="AI137" i="9" s="1"/>
  <c r="AQ137" i="9" s="1"/>
  <c r="AB5" i="9"/>
  <c r="AB26" i="9"/>
  <c r="AB112" i="9" s="1"/>
  <c r="AB41" i="9"/>
  <c r="AB145" i="9" s="1"/>
  <c r="AI145" i="9" s="1"/>
  <c r="AQ145" i="9" s="1"/>
  <c r="AB23" i="9"/>
  <c r="AB123" i="9" s="1"/>
  <c r="AI123" i="9" s="1"/>
  <c r="AQ123" i="9" s="1"/>
  <c r="L65" i="9"/>
  <c r="K67" i="9"/>
  <c r="C162" i="9"/>
  <c r="N65" i="9"/>
  <c r="K65" i="9"/>
  <c r="I154" i="9"/>
  <c r="I157" i="9"/>
  <c r="O67" i="9"/>
  <c r="M66" i="9"/>
  <c r="M67" i="9"/>
  <c r="O65" i="9"/>
  <c r="L66" i="9"/>
  <c r="O66" i="9"/>
  <c r="N64" i="9"/>
  <c r="I156" i="9"/>
  <c r="L64" i="9"/>
  <c r="M65" i="9"/>
  <c r="I158" i="9"/>
  <c r="K66" i="9"/>
  <c r="O64" i="9"/>
  <c r="I155" i="9"/>
  <c r="M64" i="9"/>
  <c r="K64" i="9"/>
  <c r="AD109" i="9" l="1"/>
  <c r="AK109" i="9" s="1"/>
  <c r="AS109" i="9" s="1"/>
  <c r="AC109" i="9"/>
  <c r="AJ109" i="9" s="1"/>
  <c r="AR109" i="9" s="1"/>
  <c r="AC134" i="9"/>
  <c r="AJ134" i="9" s="1"/>
  <c r="AR134" i="9" s="1"/>
  <c r="AE134" i="9"/>
  <c r="AL134" i="9" s="1"/>
  <c r="AT134" i="9" s="1"/>
  <c r="H159" i="9"/>
  <c r="AF109" i="9"/>
  <c r="AM109" i="9" s="1"/>
  <c r="AU109" i="9" s="1"/>
  <c r="AE109" i="9"/>
  <c r="AL109" i="9" s="1"/>
  <c r="AT109" i="9" s="1"/>
  <c r="B162" i="9"/>
  <c r="AB109" i="9"/>
  <c r="AI109" i="9" s="1"/>
  <c r="AQ109" i="9" s="1"/>
  <c r="Y149" i="9"/>
  <c r="H158" i="9"/>
  <c r="H157" i="9"/>
  <c r="H155" i="9"/>
  <c r="H156" i="9"/>
  <c r="H154" i="9"/>
  <c r="AQ19" i="9"/>
  <c r="AM113" i="9"/>
  <c r="AU113" i="9" s="1"/>
  <c r="AE113" i="9"/>
  <c r="AL113" i="9" s="1"/>
  <c r="AT113" i="9" s="1"/>
  <c r="AQ40" i="9"/>
  <c r="AQ14" i="9"/>
  <c r="AQ24" i="9"/>
  <c r="AQ22" i="9"/>
  <c r="AQ6" i="9"/>
  <c r="AQ12" i="9"/>
  <c r="AQ5" i="9"/>
  <c r="AQ10" i="9"/>
  <c r="AB135" i="9"/>
  <c r="AI135" i="9" s="1"/>
  <c r="AQ135" i="9" s="1"/>
  <c r="B65" i="9"/>
  <c r="B66" i="9"/>
  <c r="B67" i="9"/>
  <c r="AF112" i="9"/>
  <c r="AM112" i="9" s="1"/>
  <c r="AU112" i="9" s="1"/>
  <c r="AD135" i="9"/>
  <c r="AK135" i="9" s="1"/>
  <c r="AS135" i="9" s="1"/>
  <c r="D66" i="9"/>
  <c r="D67" i="9"/>
  <c r="D65" i="9"/>
  <c r="AD113" i="9"/>
  <c r="AK113" i="9" s="1"/>
  <c r="AS113" i="9" s="1"/>
  <c r="AD112" i="9"/>
  <c r="AK112" i="9" s="1"/>
  <c r="AS112" i="9" s="1"/>
  <c r="AE112" i="9"/>
  <c r="AL112" i="9" s="1"/>
  <c r="AT112" i="9" s="1"/>
  <c r="AE117" i="9"/>
  <c r="AL117" i="9" s="1"/>
  <c r="AT117" i="9" s="1"/>
  <c r="N59" i="9"/>
  <c r="AG5" i="9"/>
  <c r="AG135" i="9" s="1"/>
  <c r="AN135" i="9" s="1"/>
  <c r="AV135" i="9" s="1"/>
  <c r="AQ23" i="9"/>
  <c r="AQ37" i="9"/>
  <c r="AQ17" i="9"/>
  <c r="AQ27" i="9"/>
  <c r="AQ21" i="9"/>
  <c r="AQ31" i="9"/>
  <c r="AQ30" i="9"/>
  <c r="AQ7" i="9"/>
  <c r="AQ34" i="9"/>
  <c r="AQ20" i="9"/>
  <c r="AE135" i="9"/>
  <c r="AL135" i="9" s="1"/>
  <c r="AT135" i="9" s="1"/>
  <c r="N60" i="9"/>
  <c r="E67" i="9"/>
  <c r="E65" i="9"/>
  <c r="AD111" i="9"/>
  <c r="AK111" i="9" s="1"/>
  <c r="AS111" i="9" s="1"/>
  <c r="AC111" i="9"/>
  <c r="AJ111" i="9" s="1"/>
  <c r="AR111" i="9" s="1"/>
  <c r="AF111" i="9"/>
  <c r="AM111" i="9" s="1"/>
  <c r="AU111" i="9" s="1"/>
  <c r="AQ15" i="9"/>
  <c r="AQ9" i="9"/>
  <c r="AQ29" i="9"/>
  <c r="AQ38" i="9"/>
  <c r="AQ28" i="9"/>
  <c r="AQ18" i="9"/>
  <c r="AQ42" i="9"/>
  <c r="AQ26" i="9"/>
  <c r="AQ11" i="9"/>
  <c r="AQ25" i="9"/>
  <c r="AF135" i="9"/>
  <c r="AM135" i="9" s="1"/>
  <c r="AU135" i="9" s="1"/>
  <c r="F65" i="9"/>
  <c r="F66" i="9"/>
  <c r="F67" i="9"/>
  <c r="AC135" i="9"/>
  <c r="AJ135" i="9" s="1"/>
  <c r="AR135" i="9" s="1"/>
  <c r="C65" i="9"/>
  <c r="C57" i="9"/>
  <c r="C64" i="9" s="1"/>
  <c r="C66" i="9"/>
  <c r="L60" i="9"/>
  <c r="AC112" i="9"/>
  <c r="AJ112" i="9" s="1"/>
  <c r="AR112" i="9" s="1"/>
  <c r="AE111" i="9"/>
  <c r="AL111" i="9" s="1"/>
  <c r="AT111" i="9" s="1"/>
  <c r="AC113" i="9"/>
  <c r="AJ113" i="9" s="1"/>
  <c r="AR113" i="9" s="1"/>
  <c r="AQ36" i="9"/>
  <c r="AQ32" i="9"/>
  <c r="AQ39" i="9"/>
  <c r="AQ16" i="9"/>
  <c r="AQ13" i="9"/>
  <c r="AQ8" i="9"/>
  <c r="AQ33" i="9"/>
  <c r="AQ35" i="9"/>
  <c r="AQ41" i="9"/>
  <c r="Y148" i="9"/>
  <c r="M148" i="9"/>
  <c r="S148" i="9"/>
  <c r="S79" i="9"/>
  <c r="AI113" i="9"/>
  <c r="AQ113" i="9" s="1"/>
  <c r="AI112" i="9"/>
  <c r="AQ112" i="9" s="1"/>
  <c r="AB111" i="9"/>
  <c r="AI111" i="9" s="1"/>
  <c r="AQ111" i="9" s="1"/>
  <c r="AB73" i="9"/>
  <c r="AB102" i="9" s="1"/>
  <c r="AI102" i="9" s="1"/>
  <c r="AQ102" i="9" s="1"/>
  <c r="AD76" i="9"/>
  <c r="AD120" i="9" s="1"/>
  <c r="AK120" i="9" s="1"/>
  <c r="AS120" i="9" s="1"/>
  <c r="AB78" i="9"/>
  <c r="AE76" i="9"/>
  <c r="AE120" i="9" s="1"/>
  <c r="AL120" i="9" s="1"/>
  <c r="AT120" i="9" s="1"/>
  <c r="AD75" i="9"/>
  <c r="AD114" i="9" s="1"/>
  <c r="AK114" i="9" s="1"/>
  <c r="AS114" i="9" s="1"/>
  <c r="AF78" i="9"/>
  <c r="AF74" i="9"/>
  <c r="AF110" i="9" s="1"/>
  <c r="AM110" i="9" s="1"/>
  <c r="AU110" i="9" s="1"/>
  <c r="AD78" i="9"/>
  <c r="AB77" i="9"/>
  <c r="AB127" i="9" s="1"/>
  <c r="AI127" i="9" s="1"/>
  <c r="AQ127" i="9" s="1"/>
  <c r="AE74" i="9"/>
  <c r="AE110" i="9" s="1"/>
  <c r="AL110" i="9" s="1"/>
  <c r="AT110" i="9" s="1"/>
  <c r="AF75" i="9"/>
  <c r="AF114" i="9" s="1"/>
  <c r="AM114" i="9" s="1"/>
  <c r="AU114" i="9" s="1"/>
  <c r="AC73" i="9"/>
  <c r="AC102" i="9" s="1"/>
  <c r="AJ102" i="9" s="1"/>
  <c r="AR102" i="9" s="1"/>
  <c r="AC77" i="9"/>
  <c r="AC74" i="9"/>
  <c r="AC110" i="9" s="1"/>
  <c r="AJ110" i="9" s="1"/>
  <c r="AR110" i="9" s="1"/>
  <c r="AC76" i="9"/>
  <c r="AC120" i="9" s="1"/>
  <c r="AJ120" i="9" s="1"/>
  <c r="AR120" i="9" s="1"/>
  <c r="AE77" i="9"/>
  <c r="AB74" i="9"/>
  <c r="AF76" i="9"/>
  <c r="AF120" i="9" s="1"/>
  <c r="AM120" i="9" s="1"/>
  <c r="AU120" i="9" s="1"/>
  <c r="AB76" i="9"/>
  <c r="AB120" i="9" s="1"/>
  <c r="AI120" i="9" s="1"/>
  <c r="AQ120" i="9" s="1"/>
  <c r="AC75" i="9"/>
  <c r="AC114" i="9" s="1"/>
  <c r="AJ114" i="9" s="1"/>
  <c r="AR114" i="9" s="1"/>
  <c r="AF73" i="9"/>
  <c r="AF102" i="9" s="1"/>
  <c r="AM102" i="9" s="1"/>
  <c r="AU102" i="9" s="1"/>
  <c r="AD73" i="9"/>
  <c r="AD102" i="9" s="1"/>
  <c r="AK102" i="9" s="1"/>
  <c r="AS102" i="9" s="1"/>
  <c r="AD77" i="9"/>
  <c r="AD127" i="9" s="1"/>
  <c r="AK127" i="9" s="1"/>
  <c r="AS127" i="9" s="1"/>
  <c r="AE73" i="9"/>
  <c r="AE102" i="9" s="1"/>
  <c r="AL102" i="9" s="1"/>
  <c r="AT102" i="9" s="1"/>
  <c r="AE75" i="9"/>
  <c r="AE114" i="9" s="1"/>
  <c r="AL114" i="9" s="1"/>
  <c r="AT114" i="9" s="1"/>
  <c r="Y82" i="9"/>
  <c r="AG74" i="9" s="1"/>
  <c r="AG110" i="9" s="1"/>
  <c r="AN110" i="9" s="1"/>
  <c r="AV110" i="9" s="1"/>
  <c r="Y79" i="9"/>
  <c r="F57" i="9"/>
  <c r="F64" i="9" s="1"/>
  <c r="F58" i="9"/>
  <c r="F59" i="9"/>
  <c r="F60" i="9"/>
  <c r="B57" i="9"/>
  <c r="B64" i="9" s="1"/>
  <c r="B59" i="9"/>
  <c r="B60" i="9"/>
  <c r="B58" i="9"/>
  <c r="D59" i="9"/>
  <c r="D60" i="9"/>
  <c r="D57" i="9"/>
  <c r="D64" i="9" s="1"/>
  <c r="D58" i="9"/>
  <c r="C60" i="9"/>
  <c r="C58" i="9"/>
  <c r="C59" i="9"/>
  <c r="E58" i="9"/>
  <c r="E59" i="9"/>
  <c r="E60" i="9"/>
  <c r="E57" i="9"/>
  <c r="E64" i="9" s="1"/>
  <c r="AG28" i="9"/>
  <c r="AG132" i="9" s="1"/>
  <c r="AN132" i="9" s="1"/>
  <c r="AV132" i="9" s="1"/>
  <c r="AG37" i="9"/>
  <c r="AG125" i="9" s="1"/>
  <c r="AN125" i="9" s="1"/>
  <c r="AV125" i="9" s="1"/>
  <c r="AG27" i="9"/>
  <c r="AG116" i="9" s="1"/>
  <c r="AN116" i="9" s="1"/>
  <c r="AV116" i="9" s="1"/>
  <c r="AG39" i="9"/>
  <c r="AG119" i="9" s="1"/>
  <c r="AN119" i="9" s="1"/>
  <c r="AV119" i="9" s="1"/>
  <c r="AG33" i="9"/>
  <c r="AG133" i="9" s="1"/>
  <c r="AN133" i="9" s="1"/>
  <c r="AV133" i="9" s="1"/>
  <c r="AG41" i="9"/>
  <c r="AG145" i="9" s="1"/>
  <c r="AN145" i="9" s="1"/>
  <c r="AV145" i="9" s="1"/>
  <c r="AG32" i="9"/>
  <c r="AG113" i="9" s="1"/>
  <c r="AN113" i="9" s="1"/>
  <c r="AV113" i="9" s="1"/>
  <c r="AG24" i="9"/>
  <c r="AG115" i="9" s="1"/>
  <c r="AN115" i="9" s="1"/>
  <c r="AV115" i="9" s="1"/>
  <c r="AG35" i="9"/>
  <c r="AG124" i="9" s="1"/>
  <c r="AN124" i="9" s="1"/>
  <c r="AV124" i="9" s="1"/>
  <c r="AG17" i="9"/>
  <c r="AG129" i="9" s="1"/>
  <c r="AN129" i="9" s="1"/>
  <c r="AV129" i="9" s="1"/>
  <c r="AG30" i="9"/>
  <c r="AG108" i="9" s="1"/>
  <c r="AN108" i="9" s="1"/>
  <c r="AV108" i="9" s="1"/>
  <c r="AG9" i="9"/>
  <c r="AG103" i="9" s="1"/>
  <c r="AN103" i="9" s="1"/>
  <c r="AV103" i="9" s="1"/>
  <c r="AG12" i="9"/>
  <c r="AG106" i="9" s="1"/>
  <c r="AN106" i="9" s="1"/>
  <c r="AV106" i="9" s="1"/>
  <c r="AF68" i="12"/>
  <c r="AF69" i="12"/>
  <c r="AF70" i="12"/>
  <c r="AC68" i="12"/>
  <c r="AC69" i="12"/>
  <c r="AC70" i="12"/>
  <c r="AC59" i="12"/>
  <c r="AC60" i="12"/>
  <c r="AC61" i="12"/>
  <c r="AC67" i="12"/>
  <c r="AC62" i="12"/>
  <c r="AB70" i="12"/>
  <c r="AB62" i="12"/>
  <c r="AB69" i="12"/>
  <c r="AB61" i="12"/>
  <c r="AB68" i="12"/>
  <c r="AB60" i="12"/>
  <c r="AB67" i="12"/>
  <c r="AB59" i="12"/>
  <c r="AF60" i="12"/>
  <c r="AF61" i="12"/>
  <c r="AF67" i="12"/>
  <c r="AF62" i="12"/>
  <c r="AF59" i="12"/>
  <c r="AD67" i="12"/>
  <c r="AD62" i="12"/>
  <c r="AD68" i="12"/>
  <c r="AD69" i="12"/>
  <c r="AD70" i="12"/>
  <c r="AD59" i="12"/>
  <c r="AD60" i="12"/>
  <c r="AD61" i="12"/>
  <c r="AE61" i="12"/>
  <c r="AE67" i="12"/>
  <c r="AE62" i="12"/>
  <c r="AE68" i="12"/>
  <c r="AE69" i="12"/>
  <c r="AE70" i="12"/>
  <c r="AE59" i="12"/>
  <c r="AE60" i="12"/>
  <c r="AG40" i="12"/>
  <c r="AG50" i="12"/>
  <c r="AG49" i="12"/>
  <c r="AG46" i="12"/>
  <c r="AG47" i="12"/>
  <c r="AG41" i="12"/>
  <c r="AG42" i="12"/>
  <c r="AG48" i="12"/>
  <c r="AG44" i="12"/>
  <c r="AG43" i="12"/>
  <c r="AG45" i="12"/>
  <c r="AG37" i="12"/>
  <c r="AG23" i="12"/>
  <c r="AG19" i="12"/>
  <c r="AG26" i="12"/>
  <c r="AG33" i="12"/>
  <c r="AG22" i="12"/>
  <c r="AG14" i="12"/>
  <c r="AG15" i="12"/>
  <c r="AG36" i="12"/>
  <c r="AG27" i="12"/>
  <c r="AG16" i="12"/>
  <c r="AG11" i="12"/>
  <c r="AG7" i="12"/>
  <c r="AG6" i="12"/>
  <c r="AG29" i="12"/>
  <c r="AG38" i="12"/>
  <c r="AG39" i="12"/>
  <c r="AG17" i="12"/>
  <c r="AG34" i="9"/>
  <c r="AG117" i="9" s="1"/>
  <c r="AN117" i="9" s="1"/>
  <c r="AV117" i="9" s="1"/>
  <c r="AG23" i="9"/>
  <c r="AG123" i="9" s="1"/>
  <c r="AN123" i="9" s="1"/>
  <c r="AV123" i="9" s="1"/>
  <c r="AG35" i="12"/>
  <c r="AG12" i="12"/>
  <c r="AG31" i="12"/>
  <c r="AG25" i="12"/>
  <c r="AG9" i="12"/>
  <c r="AG28" i="12"/>
  <c r="AG10" i="12"/>
  <c r="AG30" i="12"/>
  <c r="AG24" i="12"/>
  <c r="AG5" i="12"/>
  <c r="AG21" i="12"/>
  <c r="AG20" i="12"/>
  <c r="AG18" i="12"/>
  <c r="AG32" i="12"/>
  <c r="AG13" i="12"/>
  <c r="AG34" i="12"/>
  <c r="AG8" i="12"/>
  <c r="AG31" i="9"/>
  <c r="AG143" i="9" s="1"/>
  <c r="AN143" i="9" s="1"/>
  <c r="AV143" i="9" s="1"/>
  <c r="AG38" i="9"/>
  <c r="AG126" i="9" s="1"/>
  <c r="AN126" i="9" s="1"/>
  <c r="AV126" i="9" s="1"/>
  <c r="AG8" i="9"/>
  <c r="AG137" i="9" s="1"/>
  <c r="AN137" i="9" s="1"/>
  <c r="AV137" i="9" s="1"/>
  <c r="AG19" i="9"/>
  <c r="AG140" i="9" s="1"/>
  <c r="AN140" i="9" s="1"/>
  <c r="AV140" i="9" s="1"/>
  <c r="AG7" i="9"/>
  <c r="AG121" i="9" s="1"/>
  <c r="AN121" i="9" s="1"/>
  <c r="AV121" i="9" s="1"/>
  <c r="AG18" i="9"/>
  <c r="AG130" i="9" s="1"/>
  <c r="AN130" i="9" s="1"/>
  <c r="AV130" i="9" s="1"/>
  <c r="AG14" i="9"/>
  <c r="AG139" i="9" s="1"/>
  <c r="AN139" i="9" s="1"/>
  <c r="AV139" i="9" s="1"/>
  <c r="AG20" i="9"/>
  <c r="AG122" i="9" s="1"/>
  <c r="AN122" i="9" s="1"/>
  <c r="AV122" i="9" s="1"/>
  <c r="AG6" i="9"/>
  <c r="AG136" i="9" s="1"/>
  <c r="AN136" i="9" s="1"/>
  <c r="AV136" i="9" s="1"/>
  <c r="AG26" i="9"/>
  <c r="AG112" i="9" s="1"/>
  <c r="AN112" i="9" s="1"/>
  <c r="AV112" i="9" s="1"/>
  <c r="AG42" i="9"/>
  <c r="AG40" i="9"/>
  <c r="AG144" i="9" s="1"/>
  <c r="AN144" i="9" s="1"/>
  <c r="AV144" i="9" s="1"/>
  <c r="AG11" i="9"/>
  <c r="AG105" i="9" s="1"/>
  <c r="AN105" i="9" s="1"/>
  <c r="AV105" i="9" s="1"/>
  <c r="AG13" i="9"/>
  <c r="AG138" i="9" s="1"/>
  <c r="AN138" i="9" s="1"/>
  <c r="AV138" i="9" s="1"/>
  <c r="AG36" i="9"/>
  <c r="AG118" i="9" s="1"/>
  <c r="AN118" i="9" s="1"/>
  <c r="AV118" i="9" s="1"/>
  <c r="AG22" i="9"/>
  <c r="AG141" i="9" s="1"/>
  <c r="AN141" i="9" s="1"/>
  <c r="AV141" i="9" s="1"/>
  <c r="AG21" i="9"/>
  <c r="AG131" i="9" s="1"/>
  <c r="AN131" i="9" s="1"/>
  <c r="AV131" i="9" s="1"/>
  <c r="AG10" i="9"/>
  <c r="AG104" i="9" s="1"/>
  <c r="AN104" i="9" s="1"/>
  <c r="AV104" i="9" s="1"/>
  <c r="AG25" i="9"/>
  <c r="AG111" i="9" s="1"/>
  <c r="AN111" i="9" s="1"/>
  <c r="AV111" i="9" s="1"/>
  <c r="AG29" i="9"/>
  <c r="AG142" i="9" s="1"/>
  <c r="AN142" i="9" s="1"/>
  <c r="AV142" i="9" s="1"/>
  <c r="AG16" i="9"/>
  <c r="AG107" i="9" s="1"/>
  <c r="AN107" i="9" s="1"/>
  <c r="AV107" i="9" s="1"/>
  <c r="N67" i="9"/>
  <c r="L94" i="9"/>
  <c r="L97" i="9"/>
  <c r="P64" i="9"/>
  <c r="K96" i="9"/>
  <c r="M95" i="9"/>
  <c r="N94" i="9"/>
  <c r="M97" i="9"/>
  <c r="O95" i="9"/>
  <c r="O94" i="9"/>
  <c r="N96" i="9"/>
  <c r="N66" i="9"/>
  <c r="M96" i="9"/>
  <c r="O96" i="9"/>
  <c r="P67" i="9"/>
  <c r="L67" i="9"/>
  <c r="L96" i="9"/>
  <c r="K95" i="9"/>
  <c r="K94" i="9"/>
  <c r="N95" i="9"/>
  <c r="M94" i="9"/>
  <c r="O97" i="9"/>
  <c r="K97" i="9"/>
  <c r="P66" i="9"/>
  <c r="N97" i="9"/>
  <c r="L95" i="9"/>
  <c r="P65" i="9"/>
  <c r="AG109" i="9" l="1"/>
  <c r="AN109" i="9" s="1"/>
  <c r="AV109" i="9" s="1"/>
  <c r="AF134" i="9"/>
  <c r="AM134" i="9" s="1"/>
  <c r="AU134" i="9" s="1"/>
  <c r="AC127" i="9"/>
  <c r="AJ127" i="9" s="1"/>
  <c r="AR127" i="9" s="1"/>
  <c r="AB134" i="9"/>
  <c r="AI134" i="9" s="1"/>
  <c r="AQ134" i="9" s="1"/>
  <c r="AE127" i="9"/>
  <c r="AL127" i="9" s="1"/>
  <c r="AT127" i="9" s="1"/>
  <c r="AD134" i="9"/>
  <c r="AK134" i="9" s="1"/>
  <c r="AS134" i="9" s="1"/>
  <c r="G65" i="9"/>
  <c r="G66" i="9"/>
  <c r="G67" i="9"/>
  <c r="AB110" i="9"/>
  <c r="AI110" i="9" s="1"/>
  <c r="AQ110" i="9" s="1"/>
  <c r="D86" i="9"/>
  <c r="D94" i="9"/>
  <c r="D87" i="9"/>
  <c r="D95" i="9"/>
  <c r="D88" i="9"/>
  <c r="D96" i="9"/>
  <c r="D97" i="9"/>
  <c r="D89" i="9"/>
  <c r="F95" i="9"/>
  <c r="F88" i="9"/>
  <c r="F97" i="9"/>
  <c r="F89" i="9"/>
  <c r="F86" i="9"/>
  <c r="F94" i="9"/>
  <c r="F87" i="9"/>
  <c r="AG77" i="9"/>
  <c r="AG127" i="9" s="1"/>
  <c r="AN127" i="9" s="1"/>
  <c r="AV127" i="9" s="1"/>
  <c r="E96" i="9"/>
  <c r="E97" i="9"/>
  <c r="E89" i="9"/>
  <c r="E86" i="9"/>
  <c r="E94" i="9"/>
  <c r="E87" i="9"/>
  <c r="E95" i="9"/>
  <c r="E88" i="9"/>
  <c r="AG73" i="9"/>
  <c r="AG102" i="9" s="1"/>
  <c r="AN102" i="9" s="1"/>
  <c r="AV102" i="9" s="1"/>
  <c r="AG76" i="9"/>
  <c r="AG120" i="9" s="1"/>
  <c r="AN120" i="9" s="1"/>
  <c r="AV120" i="9" s="1"/>
  <c r="B96" i="9"/>
  <c r="B88" i="9"/>
  <c r="B95" i="9"/>
  <c r="B87" i="9"/>
  <c r="B94" i="9"/>
  <c r="B86" i="9"/>
  <c r="B97" i="9"/>
  <c r="B89" i="9"/>
  <c r="C94" i="9"/>
  <c r="C87" i="9"/>
  <c r="C95" i="9"/>
  <c r="C88" i="9"/>
  <c r="C96" i="9"/>
  <c r="C97" i="9"/>
  <c r="C89" i="9"/>
  <c r="C86" i="9"/>
  <c r="AG78" i="9"/>
  <c r="AG75" i="9"/>
  <c r="AG114" i="9" s="1"/>
  <c r="AN114" i="9" s="1"/>
  <c r="AV114" i="9" s="1"/>
  <c r="G60" i="9"/>
  <c r="G58" i="9"/>
  <c r="G59" i="9"/>
  <c r="G57" i="9"/>
  <c r="G64" i="9" s="1"/>
  <c r="AG67" i="12"/>
  <c r="AG68" i="12"/>
  <c r="AG69" i="12"/>
  <c r="AG70" i="12"/>
  <c r="AG59" i="12"/>
  <c r="AG60" i="12"/>
  <c r="AG61" i="12"/>
  <c r="AG62" i="12"/>
  <c r="P94" i="9"/>
  <c r="P97" i="9"/>
  <c r="P96" i="9"/>
  <c r="P95" i="9"/>
  <c r="AG134" i="9" l="1"/>
  <c r="AN134" i="9" s="1"/>
  <c r="AV134" i="9" s="1"/>
  <c r="G94" i="9"/>
  <c r="G87" i="9"/>
  <c r="G95" i="9"/>
  <c r="G96" i="9"/>
  <c r="G88" i="9"/>
  <c r="G97" i="9"/>
  <c r="G89" i="9"/>
  <c r="G86" i="9"/>
</calcChain>
</file>

<file path=xl/sharedStrings.xml><?xml version="1.0" encoding="utf-8"?>
<sst xmlns="http://schemas.openxmlformats.org/spreadsheetml/2006/main" count="5325" uniqueCount="956">
  <si>
    <t>Response ID</t>
  </si>
  <si>
    <t>Edit Links</t>
  </si>
  <si>
    <t>Edit Link</t>
  </si>
  <si>
    <t>Name of the enumerator</t>
  </si>
  <si>
    <t>2. Partner Organization</t>
  </si>
  <si>
    <t>3. National Coordinating Organisation (NCO)</t>
  </si>
  <si>
    <t>4. Country</t>
  </si>
  <si>
    <t>5&amp;9.  Risk Area / Community</t>
  </si>
  <si>
    <t>6. Urban or Rural</t>
  </si>
  <si>
    <t>10. Survey Date - Please enter in format dd/mm/yyyy</t>
  </si>
  <si>
    <t>11. Survey reference number</t>
  </si>
  <si>
    <t>12. Consultation Group of</t>
  </si>
  <si>
    <t>13. Number of Participants in Group</t>
  </si>
  <si>
    <t>14-17:14. Informant Age (how many participants per age group)</t>
  </si>
  <si>
    <t>18-24:14. Informant Age (how many participants per age group)</t>
  </si>
  <si>
    <t>25-34:14. Informant Age (how many participants per age group)</t>
  </si>
  <si>
    <t>35-44:14. Informant Age (how many participants per age group)</t>
  </si>
  <si>
    <t>45-64:14. Informant Age (how many participants per age group)</t>
  </si>
  <si>
    <t>65 plus:14. Informant Age (how many participants per age group)</t>
  </si>
  <si>
    <t>None:15. Previous VFL participation (by show of hands)</t>
  </si>
  <si>
    <t>VFL2009:15. Previous VFL participation (by show of hands)</t>
  </si>
  <si>
    <t>VFL2011:15. Previous VFL participation (by show of hands)</t>
  </si>
  <si>
    <t>VFL2013:15. Previous VFL participation (by show of hands)</t>
  </si>
  <si>
    <t>Frontline:15. Previous VFL participation (by show of hands)</t>
  </si>
  <si>
    <t>16. Have there been any community-led interventions in your community to reduce disaster risks?</t>
  </si>
  <si>
    <t>T1</t>
  </si>
  <si>
    <t>1:T1C</t>
  </si>
  <si>
    <t>2:T1C</t>
  </si>
  <si>
    <t>3:T1C</t>
  </si>
  <si>
    <t>1:T1A</t>
  </si>
  <si>
    <t>2:T1A</t>
  </si>
  <si>
    <t>3:T1A</t>
  </si>
  <si>
    <t>1:T1B</t>
  </si>
  <si>
    <t>2:T1B</t>
  </si>
  <si>
    <t>3:T1B</t>
  </si>
  <si>
    <t>T2</t>
  </si>
  <si>
    <t>1:T2C</t>
  </si>
  <si>
    <t>2:T2C</t>
  </si>
  <si>
    <t>3:T2C</t>
  </si>
  <si>
    <t>1:T2A</t>
  </si>
  <si>
    <t>2:T2A</t>
  </si>
  <si>
    <t>3:T2A</t>
  </si>
  <si>
    <t>1:T2B</t>
  </si>
  <si>
    <t>2:T2B</t>
  </si>
  <si>
    <t>3:T2B</t>
  </si>
  <si>
    <t>T3</t>
  </si>
  <si>
    <t>1:T3C</t>
  </si>
  <si>
    <t>2:T3C</t>
  </si>
  <si>
    <t>3:T3C</t>
  </si>
  <si>
    <t>1:T3A</t>
  </si>
  <si>
    <t>2:T3A</t>
  </si>
  <si>
    <t>3:T3A</t>
  </si>
  <si>
    <t>1:T3B</t>
  </si>
  <si>
    <t>2:T3B</t>
  </si>
  <si>
    <t>3:T3B</t>
  </si>
  <si>
    <t>Decreased significantly:In this community, how have disaster losses (lives, assets, livelihoods etc) changed in the last 5-10 years?   </t>
  </si>
  <si>
    <t>Decreased a little:In this community, how have disaster losses (lives, assets, livelihoods etc) changed in the last 5-10 years?   </t>
  </si>
  <si>
    <t>Remained the same:In this community, how have disaster losses (lives, assets, livelihoods etc) changed in the last 5-10 years?   </t>
  </si>
  <si>
    <t>Increased a little:In this community, how have disaster losses (lives, assets, livelihoods etc) changed in the last 5-10 years?   </t>
  </si>
  <si>
    <t>Increased significantly:In this community, how have disaster losses (lives, assets, livelihoods etc) changed in the last 5-10 years?   </t>
  </si>
  <si>
    <t>1:Forecasting</t>
  </si>
  <si>
    <t>2:Forecasting</t>
  </si>
  <si>
    <t>3:Forecasting</t>
  </si>
  <si>
    <t>1:CC1</t>
  </si>
  <si>
    <t>2:CC1</t>
  </si>
  <si>
    <t>3:CC1</t>
  </si>
  <si>
    <t>4:CC1</t>
  </si>
  <si>
    <t>5:CC1</t>
  </si>
  <si>
    <t>CC1: Comments</t>
  </si>
  <si>
    <t>1:CC2</t>
  </si>
  <si>
    <t>2:CC2</t>
  </si>
  <si>
    <t>3:CC2</t>
  </si>
  <si>
    <t>4:CC2</t>
  </si>
  <si>
    <t>5:CC2</t>
  </si>
  <si>
    <t>CC2: Comments</t>
  </si>
  <si>
    <t>1:CC3</t>
  </si>
  <si>
    <t>2:CC3</t>
  </si>
  <si>
    <t>3:CC3</t>
  </si>
  <si>
    <t>4:CC3</t>
  </si>
  <si>
    <t>5:CC3</t>
  </si>
  <si>
    <t>CC3: Comments</t>
  </si>
  <si>
    <t>1:CC4</t>
  </si>
  <si>
    <t>2:CC4</t>
  </si>
  <si>
    <t>3:CC4</t>
  </si>
  <si>
    <t>4:CC4</t>
  </si>
  <si>
    <t>5:CC4</t>
  </si>
  <si>
    <t>CC4: Comments</t>
  </si>
  <si>
    <t>1:CC5</t>
  </si>
  <si>
    <t>2:CC5</t>
  </si>
  <si>
    <t>3:CC5</t>
  </si>
  <si>
    <t>4:CC5</t>
  </si>
  <si>
    <t>5:CC5</t>
  </si>
  <si>
    <t>CC5: Comments</t>
  </si>
  <si>
    <t>1:CC6</t>
  </si>
  <si>
    <t>2:CC6</t>
  </si>
  <si>
    <t>3:CC6</t>
  </si>
  <si>
    <t>4:CC6</t>
  </si>
  <si>
    <t>5:CC6</t>
  </si>
  <si>
    <t>CC6: Comments</t>
  </si>
  <si>
    <t>1:CC7</t>
  </si>
  <si>
    <t>2:CC7</t>
  </si>
  <si>
    <t>3:CC7</t>
  </si>
  <si>
    <t>4:CC7</t>
  </si>
  <si>
    <t>5:CC7</t>
  </si>
  <si>
    <t>CC7: Comments</t>
  </si>
  <si>
    <t>Factors preventing your inclusion:1:CC8</t>
  </si>
  <si>
    <t>Factors facilitating your inclusion:1:CC8</t>
  </si>
  <si>
    <t>Factors preventing your inclusion:2:CC8</t>
  </si>
  <si>
    <t>Factors facilitating your inclusion:2:CC8</t>
  </si>
  <si>
    <t>Factors preventing your inclusion:3:CC8</t>
  </si>
  <si>
    <t>Factors facilitating your inclusion:3:CC8</t>
  </si>
  <si>
    <t>1:CC9</t>
  </si>
  <si>
    <t>2:CC9</t>
  </si>
  <si>
    <t>3:CC9</t>
  </si>
  <si>
    <t>4:CC9</t>
  </si>
  <si>
    <t>5:CC9</t>
  </si>
  <si>
    <t>CC9: Comments</t>
  </si>
  <si>
    <t>1:CC10</t>
  </si>
  <si>
    <t>2:CC10</t>
  </si>
  <si>
    <t>3:CC10</t>
  </si>
  <si>
    <t>4:CC10</t>
  </si>
  <si>
    <t>5:CC10</t>
  </si>
  <si>
    <t>CC10: Comments</t>
  </si>
  <si>
    <t>1:CC11</t>
  </si>
  <si>
    <t>2:CC11</t>
  </si>
  <si>
    <t>3:CC11</t>
  </si>
  <si>
    <t>4:CC11</t>
  </si>
  <si>
    <t>5:CC11</t>
  </si>
  <si>
    <t>CC11: Comments</t>
  </si>
  <si>
    <t>1:CC12</t>
  </si>
  <si>
    <t>2:CC12</t>
  </si>
  <si>
    <t>3:CC12</t>
  </si>
  <si>
    <t>4:CC12</t>
  </si>
  <si>
    <t>5:CC12</t>
  </si>
  <si>
    <t>CC12: Comments</t>
  </si>
  <si>
    <t>1:CC13</t>
  </si>
  <si>
    <t>2:CC13</t>
  </si>
  <si>
    <t>3:CC13</t>
  </si>
  <si>
    <t>4:CC13</t>
  </si>
  <si>
    <t>5:CC13</t>
  </si>
  <si>
    <t>CC13: Comments</t>
  </si>
  <si>
    <t>ComboRef</t>
  </si>
  <si>
    <t>Deletions</t>
  </si>
  <si>
    <t>Focus Group</t>
  </si>
  <si>
    <t>http://www.surveygizmo.com/s3/survey/4563835/2VK5FPR097J3PKVT37FH6KSA5OTKEK?snc=1560140503_5cfddad7556590.13874389&amp;sg_navigate=start&amp;_iseditlink=true</t>
  </si>
  <si>
    <t>EDIT</t>
  </si>
  <si>
    <t>Amrit Bahadur Ghote</t>
  </si>
  <si>
    <t>FIRDO</t>
  </si>
  <si>
    <t>Nepal  - National Society for Earthquake Technology - Nepal (NSET)</t>
  </si>
  <si>
    <t>Nepal</t>
  </si>
  <si>
    <t>Vyas Municipality Ward 1</t>
  </si>
  <si>
    <t>Urban</t>
  </si>
  <si>
    <t>04/15/2019</t>
  </si>
  <si>
    <t>Nepal-FIRDO-CC-Vyas Ward 1 -  1</t>
  </si>
  <si>
    <t>Women</t>
  </si>
  <si>
    <t>Yes</t>
  </si>
  <si>
    <t>Lack of Access to Water</t>
  </si>
  <si>
    <t>Loss of Clean Water Sources</t>
  </si>
  <si>
    <t>Displacement</t>
  </si>
  <si>
    <t>Loss of Values</t>
  </si>
  <si>
    <t>Stock Piling</t>
  </si>
  <si>
    <t>Reconstruction</t>
  </si>
  <si>
    <t>Dam/Dyke Building</t>
  </si>
  <si>
    <t>Economic Policies</t>
  </si>
  <si>
    <t>Lack Of Awareness And Education</t>
  </si>
  <si>
    <t>Traffic Congestion</t>
  </si>
  <si>
    <t>Building Destruction</t>
  </si>
  <si>
    <t>Environmental effects</t>
  </si>
  <si>
    <t>Commercial Loss</t>
  </si>
  <si>
    <t>Resilience Building</t>
  </si>
  <si>
    <t>Awareness Raising  Education and Training</t>
  </si>
  <si>
    <t>Lack Of Policies</t>
  </si>
  <si>
    <t>Violence</t>
  </si>
  <si>
    <t>Conflict</t>
  </si>
  <si>
    <t>Economic and Livelihood Loss</t>
  </si>
  <si>
    <t>Coordination and Inter Institutional Partnerships with NGOs and Other Actors</t>
  </si>
  <si>
    <t>Shelter Construction</t>
  </si>
  <si>
    <t>Wildlife Attacks</t>
  </si>
  <si>
    <t>Road Accidents</t>
  </si>
  <si>
    <t>Alcoholism</t>
  </si>
  <si>
    <t>Information</t>
  </si>
  <si>
    <t xml:space="preserve">Uneducated </t>
  </si>
  <si>
    <t>educated</t>
  </si>
  <si>
    <t>Lack of notice</t>
  </si>
  <si>
    <t>Notice for all</t>
  </si>
  <si>
    <t>CC2109</t>
  </si>
  <si>
    <t>Community Consultation</t>
  </si>
  <si>
    <t>http://www.surveygizmo.com/s3/survey/4563835/2VK5FPR097J3PKVT37FH6KSA5OTKEK?snc=1561619707_5d146cfb8ee510.48150907&amp;sg_navigate=start&amp;_iseditlink=true</t>
  </si>
  <si>
    <t>Bimala Maharjan</t>
  </si>
  <si>
    <t>FSCN</t>
  </si>
  <si>
    <t>Chandragiri Municipality Ward 3</t>
  </si>
  <si>
    <t>05/29/2019</t>
  </si>
  <si>
    <t>Nepal-FSCN-CC-Chandragiri-1</t>
  </si>
  <si>
    <t>Elderly</t>
  </si>
  <si>
    <t>-</t>
  </si>
  <si>
    <t>No</t>
  </si>
  <si>
    <t>Fire</t>
  </si>
  <si>
    <t>Injury</t>
  </si>
  <si>
    <t>Loss of Life</t>
  </si>
  <si>
    <t>Do Not Live In Risky Places</t>
  </si>
  <si>
    <t>Lack Of Initiative</t>
  </si>
  <si>
    <t>Lack Of Government Action</t>
  </si>
  <si>
    <t>Drought</t>
  </si>
  <si>
    <t>Increased Money Borrowing</t>
  </si>
  <si>
    <t>Loss of Access to Basic Services</t>
  </si>
  <si>
    <t>Actions For Poverty Reduction And Employment</t>
  </si>
  <si>
    <t>Investment in Infrastructure Improvement and Mitigation Works</t>
  </si>
  <si>
    <t>Livelihood Diversification</t>
  </si>
  <si>
    <t>Lack Of Capacity</t>
  </si>
  <si>
    <t>Lack Of Resources</t>
  </si>
  <si>
    <t>Lack Of Productive Techniques</t>
  </si>
  <si>
    <t>Psychological Effects</t>
  </si>
  <si>
    <t>Disaster Preparedness</t>
  </si>
  <si>
    <t>Monitoring of Regulation and Legislation</t>
  </si>
  <si>
    <t>Lack Of Coordination Between Actors</t>
  </si>
  <si>
    <t>Reduction In Irrigation</t>
  </si>
  <si>
    <t>Climate Change</t>
  </si>
  <si>
    <t>Sometimes there is and sometimes there are not</t>
  </si>
  <si>
    <t>If committee is formed, then we can get access to financial resources otherwise not.</t>
  </si>
  <si>
    <t>Lack of information</t>
  </si>
  <si>
    <t>Pre information should be provided about DRR and its related program</t>
  </si>
  <si>
    <t>Unaware about program</t>
  </si>
  <si>
    <t>Pre information should be provided about DRR program  through messaging, email or letters</t>
  </si>
  <si>
    <t>Lack of time</t>
  </si>
  <si>
    <t>Appropriate time should be managed as per the preferences</t>
  </si>
  <si>
    <t>CC2538</t>
  </si>
  <si>
    <t>http://www.surveygizmo.com/s3/survey/4563835/2VK5FPR097J3PKVT37FH6KSA5OTKEK?snc=1561619709_5d146cfdc7f635.17502248&amp;sg_navigate=start&amp;_iseditlink=true</t>
  </si>
  <si>
    <t>04/29/2019</t>
  </si>
  <si>
    <t>Nepal-FSCN-CC-Chandragiri-2</t>
  </si>
  <si>
    <t>Disease/Health Effects</t>
  </si>
  <si>
    <t>Insurance</t>
  </si>
  <si>
    <t>Health Promotion</t>
  </si>
  <si>
    <t>Attitudinal Issues</t>
  </si>
  <si>
    <t>Deforestation</t>
  </si>
  <si>
    <t>Impact on Biodiversity</t>
  </si>
  <si>
    <t>Promote and Maintain Ancestral Knowledge and Practices</t>
  </si>
  <si>
    <t>Local government action</t>
  </si>
  <si>
    <t>Lack Of Risk Awareness And Planning</t>
  </si>
  <si>
    <t>Looting of Properties</t>
  </si>
  <si>
    <t>Risk Assessment</t>
  </si>
  <si>
    <t>Measures to Protect Vulnerable Groups</t>
  </si>
  <si>
    <t>Lack Of Manpower</t>
  </si>
  <si>
    <t>Pollution</t>
  </si>
  <si>
    <t>Conflict/Insecurity</t>
  </si>
  <si>
    <t>No information</t>
  </si>
  <si>
    <t>People should be informed about DRR, its impact and importance</t>
  </si>
  <si>
    <t>Low participation</t>
  </si>
  <si>
    <t>All local people should be provided with equal opportunities in  DRR  platform  based program</t>
  </si>
  <si>
    <t>CC2539</t>
  </si>
  <si>
    <t>http://www.surveygizmo.com/s3/survey/4563835/2VK5FPR097J3PKVT37FH6KSA5OTKEK?snc=1561619711_5d146cff9e7f25.79995719&amp;sg_navigate=start&amp;_iseditlink=true</t>
  </si>
  <si>
    <t>Nepal-FSCN-CC-Chandragiri-3</t>
  </si>
  <si>
    <t>Children &amp; Youth</t>
  </si>
  <si>
    <t>Poverty</t>
  </si>
  <si>
    <t>Food Insecurity</t>
  </si>
  <si>
    <t>Hunger</t>
  </si>
  <si>
    <t>Food Security Actions</t>
  </si>
  <si>
    <t>Raising Homes</t>
  </si>
  <si>
    <t>Conflict In Schedule</t>
  </si>
  <si>
    <t>High Cost of Living</t>
  </si>
  <si>
    <t>Hopelessness</t>
  </si>
  <si>
    <t>Livestock Loss</t>
  </si>
  <si>
    <t>Individual/Personal Action</t>
  </si>
  <si>
    <t>Communication Issues</t>
  </si>
  <si>
    <t>Disease/Epidemics</t>
  </si>
  <si>
    <t>Drainage Channels</t>
  </si>
  <si>
    <t>Lack Of Community Commitment</t>
  </si>
  <si>
    <t>Illiteracy</t>
  </si>
  <si>
    <t>DRR based education should be promoted throughout the school level</t>
  </si>
  <si>
    <t>Budget</t>
  </si>
  <si>
    <t>Allocated budget should be effectively utilized in DRR decision making process</t>
  </si>
  <si>
    <t>CC2540</t>
  </si>
  <si>
    <t>http://www.surveygizmo.com/s3/survey/4563835/2VK5FPR097J3PKVT37FH6KSA5OTKEK?snc=1561619713_5d146d01b218e2.78540788&amp;sg_navigate=start&amp;_iseditlink=true</t>
  </si>
  <si>
    <t>Nepal-FSCN-CC-Chandragiri-4</t>
  </si>
  <si>
    <t>Men</t>
  </si>
  <si>
    <t>Earthquakes</t>
  </si>
  <si>
    <t>Loss of Assets</t>
  </si>
  <si>
    <t>High Debt</t>
  </si>
  <si>
    <t>Health Condition</t>
  </si>
  <si>
    <t>Disability</t>
  </si>
  <si>
    <t>First Aid Course</t>
  </si>
  <si>
    <t>Discrimination Against People With Disabilities</t>
  </si>
  <si>
    <t>Noise Pollution</t>
  </si>
  <si>
    <t>Improper waste disposal</t>
  </si>
  <si>
    <t>Job opportunities should be provided</t>
  </si>
  <si>
    <t>CC2541</t>
  </si>
  <si>
    <t>http://www.surveygizmo.com/s3/survey/4563835/2VK5FPR097J3PKVT37FH6KSA5OTKEK?snc=1561619715_5d146d03a488d6.31801441&amp;sg_navigate=start&amp;_iseditlink=true</t>
  </si>
  <si>
    <t>Nepal-FSCN-CC-Chandragiri-5</t>
  </si>
  <si>
    <t>Crop Damage</t>
  </si>
  <si>
    <t>Lack Of Land Surveying And Planning</t>
  </si>
  <si>
    <t>Psychological intervention</t>
  </si>
  <si>
    <t>Climate Change Adaptation</t>
  </si>
  <si>
    <t>Climate Change Mitigation</t>
  </si>
  <si>
    <t>Corruption</t>
  </si>
  <si>
    <t>Pre information should be provided about DRR  and its related program</t>
  </si>
  <si>
    <t>CC2542</t>
  </si>
  <si>
    <t>NP</t>
  </si>
  <si>
    <t>Kamal Rural Municipality Ward 1</t>
  </si>
  <si>
    <t>Rural</t>
  </si>
  <si>
    <t>Malnutrition</t>
  </si>
  <si>
    <t>Contingency Planning</t>
  </si>
  <si>
    <t>Lack Of Preparedness</t>
  </si>
  <si>
    <t>Disparities In Wealth And Income</t>
  </si>
  <si>
    <t>Floods</t>
  </si>
  <si>
    <t>Flooding</t>
  </si>
  <si>
    <t>Unemployment</t>
  </si>
  <si>
    <t>Geographical Situation</t>
  </si>
  <si>
    <t>Unplanned Urbanisation</t>
  </si>
  <si>
    <t>Impoverishment</t>
  </si>
  <si>
    <t>Community/Social Empowerment</t>
  </si>
  <si>
    <t>Lack Of Employment</t>
  </si>
  <si>
    <t>Maintain Basic Services (Medical and Other)</t>
  </si>
  <si>
    <t>Weak Governance</t>
  </si>
  <si>
    <t>Lack Of Rehabilitation Plan From The Government</t>
  </si>
  <si>
    <t>Storms</t>
  </si>
  <si>
    <t>Disaster Response</t>
  </si>
  <si>
    <t xml:space="preserve">Providing information in time </t>
  </si>
  <si>
    <t>Reduced Yields</t>
  </si>
  <si>
    <t>Community Self-Management</t>
  </si>
  <si>
    <t>Erosion</t>
  </si>
  <si>
    <t>Social/Family Disintegration</t>
  </si>
  <si>
    <t>Business Development</t>
  </si>
  <si>
    <t>Coordination with government and authorities</t>
  </si>
  <si>
    <t>Lack Of Opportunity/Time</t>
  </si>
  <si>
    <t>Counselling</t>
  </si>
  <si>
    <t>Lack Of Government Commitment</t>
  </si>
  <si>
    <t>Water and Sanitation Programme</t>
  </si>
  <si>
    <t>Lack Of Accessibility</t>
  </si>
  <si>
    <t>Illegal/Poor Construction</t>
  </si>
  <si>
    <t>Lack Of Access To Technology</t>
  </si>
  <si>
    <t>Lack of awareness</t>
  </si>
  <si>
    <t>Persons with disability</t>
  </si>
  <si>
    <t>Ecosystem Management and Restoration</t>
  </si>
  <si>
    <t>Government Instability</t>
  </si>
  <si>
    <t>Prone to Disasters</t>
  </si>
  <si>
    <t>Dependency</t>
  </si>
  <si>
    <t>Rising Crime</t>
  </si>
  <si>
    <t>Discrimination</t>
  </si>
  <si>
    <t>http://www.surveygizmo.com/s3/survey/4563835/2VK5FPR097J3PKVT37FH6KSA5OTKEK?snc=1561703110_5d15b2c6bc9315.72413147&amp;sg_navigate=start&amp;_iseditlink=true</t>
  </si>
  <si>
    <t>Hari Prasad Adhikari</t>
  </si>
  <si>
    <t>FAYA</t>
  </si>
  <si>
    <t>Birendranagar Municipality Ward 10</t>
  </si>
  <si>
    <t>Nepal-FAYA-CC-Birendranagar Ward 10 - 1</t>
  </si>
  <si>
    <t>Reforestation</t>
  </si>
  <si>
    <t>Enployment Oppertunities</t>
  </si>
  <si>
    <t>Dam/Dykes Construction</t>
  </si>
  <si>
    <t xml:space="preserve">Transport </t>
  </si>
  <si>
    <t>Transport facilities</t>
  </si>
  <si>
    <t>Flood</t>
  </si>
  <si>
    <t>Managed settelment</t>
  </si>
  <si>
    <t>CC2558</t>
  </si>
  <si>
    <t>http://www.surveygizmo.com/s3/survey/4563835/2VK5FPR097J3PKVT37FH6KSA5OTKEK?snc=1561703113_5d15b2c96ffdd9.93081602&amp;sg_navigate=start&amp;_iseditlink=true</t>
  </si>
  <si>
    <t>Nepal-FAYA-CC-Birendranagar Ward 10 - 2</t>
  </si>
  <si>
    <t>Infrastructure Damage</t>
  </si>
  <si>
    <t>Water Pollution</t>
  </si>
  <si>
    <t>Hail</t>
  </si>
  <si>
    <t xml:space="preserve">Budget </t>
  </si>
  <si>
    <t>Budget Management</t>
  </si>
  <si>
    <t xml:space="preserve">Civil settelment </t>
  </si>
  <si>
    <t>managed settelment</t>
  </si>
  <si>
    <t>CC2559</t>
  </si>
  <si>
    <t>http://www.surveygizmo.com/s3/survey/4563835/2VK5FPR097J3PKVT37FH6KSA5OTKEK?snc=1561703115_5d15b2cbd80869.96258231&amp;sg_navigate=start&amp;_iseditlink=true</t>
  </si>
  <si>
    <t>Nepal-FAYA-CC-Birendranagar Ward 10 - 3</t>
  </si>
  <si>
    <t>Landlessness</t>
  </si>
  <si>
    <t>Household Task</t>
  </si>
  <si>
    <t>task Management</t>
  </si>
  <si>
    <t>Lack of interest</t>
  </si>
  <si>
    <t>developing interst</t>
  </si>
  <si>
    <t xml:space="preserve">lack of capital management </t>
  </si>
  <si>
    <t>capital management</t>
  </si>
  <si>
    <t>CC2560</t>
  </si>
  <si>
    <t>http://www.surveygizmo.com/s3/survey/4563835/2VK5FPR097J3PKVT37FH6KSA5OTKEK?snc=1561703118_5d15b2ceb2e932.94271860&amp;sg_navigate=start&amp;_iseditlink=true</t>
  </si>
  <si>
    <t xml:space="preserve">Hari Prasad Adhikari </t>
  </si>
  <si>
    <t>Nepal-FAYA-CC-Birendranagar Ward 10 -  4</t>
  </si>
  <si>
    <t>Lack of Information</t>
  </si>
  <si>
    <t xml:space="preserve">Allowance Management </t>
  </si>
  <si>
    <t xml:space="preserve">lack of awareness </t>
  </si>
  <si>
    <t xml:space="preserve">awareness management </t>
  </si>
  <si>
    <t xml:space="preserve">lack of budget </t>
  </si>
  <si>
    <t xml:space="preserve">budget management </t>
  </si>
  <si>
    <t>CC2561</t>
  </si>
  <si>
    <t>http://www.surveygizmo.com/s3/survey/4563835/2VK5FPR097J3PKVT37FH6KSA5OTKEK?snc=1561703121_5d15b2d10fcac3.91094350&amp;sg_navigate=start&amp;_iseditlink=true</t>
  </si>
  <si>
    <t xml:space="preserve"> 07/05/2019</t>
  </si>
  <si>
    <t>Nepal-FAYA-CC-Birendranagar Ward 10 -  5</t>
  </si>
  <si>
    <t>lack of information</t>
  </si>
  <si>
    <t xml:space="preserve">Information in time </t>
  </si>
  <si>
    <t xml:space="preserve">Geographical Difficulties </t>
  </si>
  <si>
    <t>Unified Settelments</t>
  </si>
  <si>
    <t>lack of unity</t>
  </si>
  <si>
    <t>Unity</t>
  </si>
  <si>
    <t>CC2562</t>
  </si>
  <si>
    <t>http://www.surveygizmo.com/s3/survey/4563835/2VK5FPR097J3PKVT37FH6KSA5OTKEK?snc=1561705221_5d15bb0598d373.49824313&amp;sg_navigate=start&amp;_iseditlink=true</t>
  </si>
  <si>
    <t>Chaukune Rural Municipality Ward 10</t>
  </si>
  <si>
    <t>Nepal-FAYA-CC-Chaukune- Ward 10 - 1</t>
  </si>
  <si>
    <t>Family Problem/ Issues</t>
  </si>
  <si>
    <t>Protect Water Tanks</t>
  </si>
  <si>
    <t>Lack Of Public Transparency And Accountability</t>
  </si>
  <si>
    <t>Information on time</t>
  </si>
  <si>
    <t>Busy on work</t>
  </si>
  <si>
    <t>Managing time for notice</t>
  </si>
  <si>
    <t>Managed budget</t>
  </si>
  <si>
    <t>CC2563</t>
  </si>
  <si>
    <t>http://www.surveygizmo.com/s3/survey/4563835/2VK5FPR097J3PKVT37FH6KSA5OTKEK?snc=1561705223_5d15bb07e7c543.87213580&amp;sg_navigate=start&amp;_iseditlink=true</t>
  </si>
  <si>
    <t>Nepal-FAYA-CC-Chaukune- Ward 10 - 2</t>
  </si>
  <si>
    <t>Temperature Rise</t>
  </si>
  <si>
    <t>Marginalisation/Exclusion</t>
  </si>
  <si>
    <t>Discussion</t>
  </si>
  <si>
    <t>Budget for disability</t>
  </si>
  <si>
    <t>Managed society</t>
  </si>
  <si>
    <t>Managed information</t>
  </si>
  <si>
    <t>Giving notice</t>
  </si>
  <si>
    <t>Skilled manpower</t>
  </si>
  <si>
    <t>Lack of participation</t>
  </si>
  <si>
    <t>Participation of the people</t>
  </si>
  <si>
    <t>CC2564</t>
  </si>
  <si>
    <t>http://www.surveygizmo.com/s3/survey/4563835/2VK5FPR097J3PKVT37FH6KSA5OTKEK?snc=1561705229_5d15bb0d00be55.13203224&amp;sg_navigate=start&amp;_iseditlink=true</t>
  </si>
  <si>
    <t>Nepal-FAYA-CC-Chaukune- Ward 10 - 3</t>
  </si>
  <si>
    <t>Early Warning Systems (EWS)</t>
  </si>
  <si>
    <t>Distribution of Emergency Equipment/Survival Kits</t>
  </si>
  <si>
    <t xml:space="preserve">Information </t>
  </si>
  <si>
    <t>Managing time</t>
  </si>
  <si>
    <t>CC2565</t>
  </si>
  <si>
    <t>http://www.surveygizmo.com/s3/survey/4563835/2VK5FPR097J3PKVT37FH6KSA5OTKEK?snc=1561705231_5d15bb0f260dd0.15661084&amp;sg_navigate=start&amp;_iseditlink=true</t>
  </si>
  <si>
    <t>Nepal-FAYA-CC-Chaukune- Ward 10 - 4</t>
  </si>
  <si>
    <t>Implementation of policies</t>
  </si>
  <si>
    <t>Awareness</t>
  </si>
  <si>
    <t>CC2566</t>
  </si>
  <si>
    <t>http://www.surveygizmo.com/s3/survey/4563835/2VK5FPR097J3PKVT37FH6KSA5OTKEK?snc=1561705233_5d15bb11afa101.67689097&amp;sg_navigate=start&amp;_iseditlink=true</t>
  </si>
  <si>
    <t>Hari Prafaysad Adhikari</t>
  </si>
  <si>
    <t>Nepal-FAYA-CC-Chaukune- Ward 10 - 5</t>
  </si>
  <si>
    <t>River swelling</t>
  </si>
  <si>
    <t>Government Inefficiency</t>
  </si>
  <si>
    <t>Uneducated</t>
  </si>
  <si>
    <t>Knowledge about disasters</t>
  </si>
  <si>
    <t>CC2567</t>
  </si>
  <si>
    <t>http://www.surveygizmo.com/s3/survey/4563835/2VK5FPR097J3PKVT37FH6KSA5OTKEK?snc=1561705598_5d15bc7e369144.23154546&amp;sg_navigate=start&amp;_iseditlink=true</t>
  </si>
  <si>
    <t>Sarasoti Timsina</t>
  </si>
  <si>
    <t>Udayapurgadhi Rural Municipality  Ward 5</t>
  </si>
  <si>
    <t>Nepal-NP-CC-Udhyapurgadhi- Ward 5 - 389</t>
  </si>
  <si>
    <t>Committee Establishment</t>
  </si>
  <si>
    <t>Exclusion Based On Party Politics</t>
  </si>
  <si>
    <t>Loss of Biodiversity</t>
  </si>
  <si>
    <t>Stroms</t>
  </si>
  <si>
    <t>Lack of research</t>
  </si>
  <si>
    <t>Making groups</t>
  </si>
  <si>
    <t>Unmanaged society</t>
  </si>
  <si>
    <t>CC2568</t>
  </si>
  <si>
    <t>http://www.surveygizmo.com/s3/survey/4563835/2VK5FPR097J3PKVT37FH6KSA5OTKEK?snc=1561705600_5d15bc800e40f1.65360647&amp;sg_navigate=start&amp;_iseditlink=true</t>
  </si>
  <si>
    <t>Nepal-NP-CC-Udhyapurgadhi- Ward 5 - 390</t>
  </si>
  <si>
    <t>no</t>
  </si>
  <si>
    <t>Evacuation/Drills/Simulations</t>
  </si>
  <si>
    <t>Coastal Zone Development</t>
  </si>
  <si>
    <t>Sanitation problems</t>
  </si>
  <si>
    <t>Lack Of Transport</t>
  </si>
  <si>
    <t>Friendly with others</t>
  </si>
  <si>
    <t>No moving forward for any work</t>
  </si>
  <si>
    <t>CC2569</t>
  </si>
  <si>
    <t>http://www.surveygizmo.com/s3/survey/4563835/2VK5FPR097J3PKVT37FH6KSA5OTKEK?snc=1561705602_5d15bc823975f4.59072898&amp;sg_navigate=start&amp;_iseditlink=true</t>
  </si>
  <si>
    <t>Nepal-NP-CC-Udhyapurgadhi- Ward 5 - 391</t>
  </si>
  <si>
    <t>Landslides</t>
  </si>
  <si>
    <t>Local Financial Resources for DRR/Response</t>
  </si>
  <si>
    <t>Tornado</t>
  </si>
  <si>
    <t>Unmanaged groups</t>
  </si>
  <si>
    <t>Managed groups</t>
  </si>
  <si>
    <t>CC2570</t>
  </si>
  <si>
    <t>http://www.surveygizmo.com/s3/survey/4563835/2VK5FPR097J3PKVT37FH6KSA5OTKEK?snc=1561705604_5d15bc842f8e46.52960648&amp;sg_navigate=start&amp;_iseditlink=true</t>
  </si>
  <si>
    <t>Nepal-NP-CC-Udhyapurgadhi- Ward 5 - 392</t>
  </si>
  <si>
    <t>Lack Of Facilities</t>
  </si>
  <si>
    <t>Unsuccess</t>
  </si>
  <si>
    <t>Successfull</t>
  </si>
  <si>
    <t>Managing  time</t>
  </si>
  <si>
    <t>CC2571</t>
  </si>
  <si>
    <t>http://www.surveygizmo.com/s3/survey/4563835/2VK5FPR097J3PKVT37FH6KSA5OTKEK?snc=1561705606_5d15bc86b073e3.09768050&amp;sg_navigate=start&amp;_iseditlink=true</t>
  </si>
  <si>
    <t>Nepal-NP-CC-Udhyapurgadhi- Ward 5 - 393</t>
  </si>
  <si>
    <t>Improved Waste Management</t>
  </si>
  <si>
    <t>Geographical Landscape Inbalance</t>
  </si>
  <si>
    <t>Managed time for discussion</t>
  </si>
  <si>
    <t>CC2572</t>
  </si>
  <si>
    <t>http://www.surveygizmo.com/s3/survey/4563835/2VK5FPR097J3PKVT37FH6KSA5OTKEK?snc=1561711610_5d15d3fa703002.58257653&amp;sg_navigate=start&amp;_iseditlink=true</t>
  </si>
  <si>
    <t>Nepal-FIRDO-CC-Vyas Ward 1 - 1</t>
  </si>
  <si>
    <t>Strengthen Security Institutions</t>
  </si>
  <si>
    <t>Psychosocial Violence</t>
  </si>
  <si>
    <t>Alcohol Consumption</t>
  </si>
  <si>
    <t>Illitracy</t>
  </si>
  <si>
    <t>Literacy</t>
  </si>
  <si>
    <t>Prior Information</t>
  </si>
  <si>
    <t>CC2580</t>
  </si>
  <si>
    <t>http://www.surveygizmo.com/s3/survey/4563835/2VK5FPR097J3PKVT37FH6KSA5OTKEK?snc=1561711614_5d15d3fe86da86.71506921&amp;sg_navigate=start&amp;_iseditlink=true</t>
  </si>
  <si>
    <t>Nepal-FIRDO-CC-Vyas Ward 1 - 2</t>
  </si>
  <si>
    <t>Drug Addiction</t>
  </si>
  <si>
    <t xml:space="preserve">LAck of good relation </t>
  </si>
  <si>
    <t>Good relation in community</t>
  </si>
  <si>
    <t>CC2581</t>
  </si>
  <si>
    <t>http://www.surveygizmo.com/s3/survey/4563835/2VK5FPR097J3PKVT37FH6KSA5OTKEK?snc=1561711617_5d15d401b4d448.14715253&amp;sg_navigate=start&amp;_iseditlink=true</t>
  </si>
  <si>
    <t>Hari Basnet</t>
  </si>
  <si>
    <t>Nepal-FIRDO-CC-Vyas Ward 1 - 3</t>
  </si>
  <si>
    <t>Famine</t>
  </si>
  <si>
    <t>Exclusion Of Ethnic Minorities Or Indigenous People</t>
  </si>
  <si>
    <t>School/Education Drop Out</t>
  </si>
  <si>
    <t>Lack of Peace and order</t>
  </si>
  <si>
    <t>Exclusion Of Youth</t>
  </si>
  <si>
    <t>prior information</t>
  </si>
  <si>
    <t>lack of economy</t>
  </si>
  <si>
    <t xml:space="preserve">Economy management </t>
  </si>
  <si>
    <t xml:space="preserve">lack of meeting hall </t>
  </si>
  <si>
    <t>CC2582</t>
  </si>
  <si>
    <t>http://www.surveygizmo.com/s3/survey/4563835/2VK5FPR097J3PKVT37FH6KSA5OTKEK?snc=1561711620_5d15d4044f6025.38278919&amp;sg_navigate=start&amp;_iseditlink=true</t>
  </si>
  <si>
    <t>Nepal-FIRDO-CC-Vyas Ward 1 - 4</t>
  </si>
  <si>
    <t>Loss Of Hope And Credibility In Authorities</t>
  </si>
  <si>
    <t xml:space="preserve">Violance </t>
  </si>
  <si>
    <t xml:space="preserve">Omitting alcohol </t>
  </si>
  <si>
    <t xml:space="preserve">Female Violance </t>
  </si>
  <si>
    <t>Awareness and education</t>
  </si>
  <si>
    <t>CC2583</t>
  </si>
  <si>
    <t>http://www.surveygizmo.com/s3/survey/4563835/2VK5FPR097J3PKVT37FH6KSA5OTKEK?snc=1561711623_5d15d4072b53b9.47315984&amp;sg_navigate=start&amp;_iseditlink=true</t>
  </si>
  <si>
    <t>Nepal-FIRDO-CC-Vyas Ward 1 - 5</t>
  </si>
  <si>
    <t>LAck of good relation</t>
  </si>
  <si>
    <t>good relation in family</t>
  </si>
  <si>
    <t>CC2584</t>
  </si>
  <si>
    <t>http://www.surveygizmo.com/s3/survey/4563835/2VK5FPR097J3PKVT37FH6KSA5OTKEK?snc=1561721593_5d15faf951cb10.77866650&amp;sg_navigate=start&amp;_iseditlink=true</t>
  </si>
  <si>
    <t>Gandaki Rural Municipality Ward 2</t>
  </si>
  <si>
    <t>Nepal-FIRDO-CC-Gandaki Ward 2 - 1</t>
  </si>
  <si>
    <t>Recovery of Native Seeds</t>
  </si>
  <si>
    <t>Time</t>
  </si>
  <si>
    <t>Work on time</t>
  </si>
  <si>
    <t>CC2588</t>
  </si>
  <si>
    <t>http://www.surveygizmo.com/s3/survey/4563835/2VK5FPR097J3PKVT37FH6KSA5OTKEK?snc=1561721596_5d15fafc1c23d4.48116382&amp;sg_navigate=start&amp;_iseditlink=true</t>
  </si>
  <si>
    <t>Nepal-FIRDO-CC-Gandaki Ward 2 - 2</t>
  </si>
  <si>
    <t>Educated</t>
  </si>
  <si>
    <t>Controlling alcohol</t>
  </si>
  <si>
    <t>CC2589</t>
  </si>
  <si>
    <t>http://www.surveygizmo.com/s3/survey/4563835/2VK5FPR097J3PKVT37FH6KSA5OTKEK?snc=1561721598_5d15fafe7a1b74.73800199&amp;sg_navigate=start&amp;_iseditlink=true</t>
  </si>
  <si>
    <t>Nepal-FIRDO-CC-Gandaki Ward 2 - 3</t>
  </si>
  <si>
    <t>Not listening to big</t>
  </si>
  <si>
    <t>CC2590</t>
  </si>
  <si>
    <t>http://www.surveygizmo.com/s3/survey/4563835/2VK5FPR097J3PKVT37FH6KSA5OTKEK?snc=1561721600_5d15fb006e2667.83813121&amp;sg_navigate=start&amp;_iseditlink=true</t>
  </si>
  <si>
    <t>Nepal-FIRDO-CC-Gandaki Ward 2 - 4</t>
  </si>
  <si>
    <t>Lack of Access to Basic Services</t>
  </si>
  <si>
    <t>Price Rises</t>
  </si>
  <si>
    <t>Early marriage</t>
  </si>
  <si>
    <t>Child Protection</t>
  </si>
  <si>
    <t>Listening to others</t>
  </si>
  <si>
    <t>Programme running far</t>
  </si>
  <si>
    <t>CC2591</t>
  </si>
  <si>
    <t>http://www.surveygizmo.com/s3/survey/4563835/2VK5FPR097J3PKVT37FH6KSA5OTKEK?snc=1561745562_5d16589a93c6c4.54408109&amp;sg_navigate=start&amp;_iseditlink=true</t>
  </si>
  <si>
    <t>Galyang Municipality Ward 5</t>
  </si>
  <si>
    <t>Nepal-FAYA-CC-Galyang Ward 5 - 1</t>
  </si>
  <si>
    <t>Lack of transportation</t>
  </si>
  <si>
    <t>Development</t>
  </si>
  <si>
    <t>Geographical problems</t>
  </si>
  <si>
    <t>CC2599</t>
  </si>
  <si>
    <t>http://www.surveygizmo.com/s3/survey/4563835/2VK5FPR097J3PKVT37FH6KSA5OTKEK?snc=1561745564_5d16589cd59e36.16770823&amp;sg_navigate=start&amp;_iseditlink=true</t>
  </si>
  <si>
    <t>Nepal-FAYA-CC-Galyang Ward 5 - 2</t>
  </si>
  <si>
    <t>Stray Animals</t>
  </si>
  <si>
    <t>Resilient Agricultural Techniques</t>
  </si>
  <si>
    <t>Family problem</t>
  </si>
  <si>
    <t>CC2600</t>
  </si>
  <si>
    <t>http://www.surveygizmo.com/s3/survey/4563835/2VK5FPR097J3PKVT37FH6KSA5OTKEK?snc=1561745567_5d16589f684863.67513710&amp;sg_navigate=start&amp;_iseditlink=true</t>
  </si>
  <si>
    <t>Nepal-FAYA-CC-Galyang Ward 5 -  3</t>
  </si>
  <si>
    <t>Poor Natural Resource Management</t>
  </si>
  <si>
    <t>Geographical Problems</t>
  </si>
  <si>
    <t xml:space="preserve">Managed </t>
  </si>
  <si>
    <t>Developmental work</t>
  </si>
  <si>
    <t>CC2601</t>
  </si>
  <si>
    <t>http://www.surveygizmo.com/s3/survey/4563835/2VK5FPR097J3PKVT37FH6KSA5OTKEK?snc=1561745603_5d1658c3ba2729.83489105&amp;sg_navigate=start&amp;_iseditlink=true</t>
  </si>
  <si>
    <t>Nepal-FAYA-CC-Galyang Ward 5 -  4</t>
  </si>
  <si>
    <t>CC2602</t>
  </si>
  <si>
    <t>http://www.surveygizmo.com/s3/survey/4563835/2VK5FPR097J3PKVT37FH6KSA5OTKEK?snc=1561745605_5d1658c5e43e94.75882627&amp;sg_navigate=start&amp;_iseditlink=true</t>
  </si>
  <si>
    <t>Nepal-FAYA-CC-Galyang Ward 5 - 5</t>
  </si>
  <si>
    <t>Lack of Preparedness</t>
  </si>
  <si>
    <t>Management</t>
  </si>
  <si>
    <t>CC2603</t>
  </si>
  <si>
    <t>http://www.surveygizmo.com/s3/survey/4563835/2VK5FPR097J3PKVT37FH6KSA5OTKEK?snc=1562050730_5d1b00aa1c4112.27212493&amp;sg_navigate=start&amp;_iseditlink=true</t>
  </si>
  <si>
    <t>Nikita Maharjan</t>
  </si>
  <si>
    <t>Lalitpur Metropolitan city Ward 12</t>
  </si>
  <si>
    <t>06/30/2019</t>
  </si>
  <si>
    <t>Nepal-FSCN-CC-Hakha-</t>
  </si>
  <si>
    <t>Debt</t>
  </si>
  <si>
    <t>Child Abuse and Exploitation</t>
  </si>
  <si>
    <t>Timing problem</t>
  </si>
  <si>
    <t xml:space="preserve">Lack of DRR policies		</t>
  </si>
  <si>
    <t>Effective DRR based policies should be implemented</t>
  </si>
  <si>
    <t xml:space="preserve"> Unaware about policies 	</t>
  </si>
  <si>
    <t>Local people should be pre-informed about DRR acts and policies</t>
  </si>
  <si>
    <t>CC2682</t>
  </si>
  <si>
    <t>http://www.surveygizmo.com/s3/survey/4563835/2VK5FPR097J3PKVT37FH6KSA5OTKEK?snc=1562050732_5d1b00ac319209.06183627&amp;sg_navigate=start&amp;_iseditlink=true</t>
  </si>
  <si>
    <t>Nepal-FSCN-CC-Chakrabahil-2</t>
  </si>
  <si>
    <t>DRR related program should be conducted during holiday time</t>
  </si>
  <si>
    <t>Budget crisis</t>
  </si>
  <si>
    <t>Adequate budget should be properly allocated</t>
  </si>
  <si>
    <t>All local people should be provided with equal opportunities in  DRR    platform  based program</t>
  </si>
  <si>
    <t>CC2683</t>
  </si>
  <si>
    <t>http://www.surveygizmo.com/s3/survey/4563835/2VK5FPR097J3PKVT37FH6KSA5OTKEK?snc=1562050733_5d1b00ade2f0a5.42816321&amp;sg_navigate=start&amp;_iseditlink=true</t>
  </si>
  <si>
    <t>Nepal-FSCN-CC-Tangal-3</t>
  </si>
  <si>
    <t>Sexual Violence</t>
  </si>
  <si>
    <t>Local participation</t>
  </si>
  <si>
    <t>Appropriate time should be selected</t>
  </si>
  <si>
    <t>CC2684</t>
  </si>
  <si>
    <t>http://www.surveygizmo.com/s3/survey/4563835/2VK5FPR097J3PKVT37FH6KSA5OTKEK?snc=1562050735_5d1b00af9e4315.67680691&amp;sg_navigate=start&amp;_iseditlink=true</t>
  </si>
  <si>
    <t>Nepal-FSCN-CC-Hakha-4</t>
  </si>
  <si>
    <t xml:space="preserve">	Pre information should be provided about DRR and its related program</t>
  </si>
  <si>
    <t>CC2685</t>
  </si>
  <si>
    <t>http://www.surveygizmo.com/s3/survey/4563835/2VK5FPR097J3PKVT37FH6KSA5OTKEK?snc=1562050737_5d1b00b152cc58.60113218&amp;sg_navigate=start&amp;_iseditlink=true</t>
  </si>
  <si>
    <t>Nepal-FSCN-CC-Hakha-5</t>
  </si>
  <si>
    <t>CC2686</t>
  </si>
  <si>
    <t>http://www.surveygizmo.com/s3/survey/4563835/2VK5FPR097J3PKVT37FH6KSA5OTKEK?snc=1562137799_5d1c54c7762d33.23511980&amp;sg_navigate=start&amp;_iseditlink=true</t>
  </si>
  <si>
    <t>Pratima Khadka</t>
  </si>
  <si>
    <t>Changunaryan Municipality Ward 8</t>
  </si>
  <si>
    <t>Nepal-FSCN-CC-Changunarayan-1</t>
  </si>
  <si>
    <t>Heavy Rainfall</t>
  </si>
  <si>
    <t>Desertification</t>
  </si>
  <si>
    <t>Accessibility to input</t>
  </si>
  <si>
    <t>Should be made accessible to appropriate needy person</t>
  </si>
  <si>
    <t>CC2731</t>
  </si>
  <si>
    <t>http://www.surveygizmo.com/s3/survey/4563835/2VK5FPR097J3PKVT37FH6KSA5OTKEK?snc=1562137802_5d1c54ca693c53.79180180&amp;sg_navigate=start&amp;_iseditlink=true</t>
  </si>
  <si>
    <t>05/15/2019</t>
  </si>
  <si>
    <t>Nepal-FSCN-CC-Changunarayan-2</t>
  </si>
  <si>
    <t>Hurricanes</t>
  </si>
  <si>
    <t>Political Unrest</t>
  </si>
  <si>
    <t>CC2732</t>
  </si>
  <si>
    <t>http://www.surveygizmo.com/s3/survey/4563835/2VK5FPR097J3PKVT37FH6KSA5OTKEK?snc=1562137804_5d1c54cca15886.00601387&amp;sg_navigate=start&amp;_iseditlink=true</t>
  </si>
  <si>
    <t>04/26/2019</t>
  </si>
  <si>
    <t>Nepal-FSCN-CC-Changunarayan-3</t>
  </si>
  <si>
    <t>Migration</t>
  </si>
  <si>
    <t>Pre information should be provided about DRR program  through messaging%2C email or letters</t>
  </si>
  <si>
    <t>Time problem</t>
  </si>
  <si>
    <t>Management of proper time</t>
  </si>
  <si>
    <t>CC2733</t>
  </si>
  <si>
    <t>http://www.surveygizmo.com/s3/survey/4563835/2VK5FPR097J3PKVT37FH6KSA5OTKEK?snc=1562137806_5d1c54cee40604.15379117&amp;sg_navigate=start&amp;_iseditlink=true</t>
  </si>
  <si>
    <t>05/13/2019</t>
  </si>
  <si>
    <t>Nepal-FSCN-CC-Changunarayan-4</t>
  </si>
  <si>
    <t>Management of providing DRR based education and trainings</t>
  </si>
  <si>
    <t>CC2734</t>
  </si>
  <si>
    <t>http://www.surveygizmo.com/s3/survey/4563835/2VK5FPR097J3PKVT37FH6KSA5OTKEK?snc=1562137809_5d1c54d1227f61.78093339&amp;sg_navigate=start&amp;_iseditlink=true</t>
  </si>
  <si>
    <t>Nepal-FSCN-CC-Changunarayan-5</t>
  </si>
  <si>
    <t>Psychological problems</t>
  </si>
  <si>
    <t>Unaware about DRR program</t>
  </si>
  <si>
    <t>Pre information should be provided about DRR   and its related program</t>
  </si>
  <si>
    <t>CC2735</t>
  </si>
  <si>
    <t>http://www.surveygizmo.com/s3/survey/4563835/2VK5FPR097J3PKVT37FH6KSA5OTKEK?snc=1564029556_5d393274855742.25099151&amp;sg_navigate=start&amp;_iseditlink=true</t>
  </si>
  <si>
    <t>05/31/2019</t>
  </si>
  <si>
    <t>Nepal-FIRDO-CC-Gandaki Ward 2-5</t>
  </si>
  <si>
    <t>None</t>
  </si>
  <si>
    <t>Irrigation Systems</t>
  </si>
  <si>
    <t>No presence</t>
  </si>
  <si>
    <t>Interactions</t>
  </si>
  <si>
    <t>Information for all</t>
  </si>
  <si>
    <t>To be informed</t>
  </si>
  <si>
    <t>Timely conduction of meetings.</t>
  </si>
  <si>
    <t>CC2910</t>
  </si>
  <si>
    <t>http://www.surveygizmo.com/s3/survey/4563835/2VK5FPR097J3PKVT37FH6KSA5OTKEK?snc=1564572996_5d417d4475da70.88799282&amp;sg_navigate=start&amp;_iseditlink=true</t>
  </si>
  <si>
    <t>Urmila Chaudhary/Shree Kant Choudhary</t>
  </si>
  <si>
    <t>Triyuga Municipality Ward 11</t>
  </si>
  <si>
    <t>Nepal-NP-CC-Triyuga Ward 11-1</t>
  </si>
  <si>
    <t>No information about time to the community.</t>
  </si>
  <si>
    <t>To give prior information.</t>
  </si>
  <si>
    <t>Investments only on infrastructures.</t>
  </si>
  <si>
    <t>Skilled work plan.</t>
  </si>
  <si>
    <t>Concrete plan.</t>
  </si>
  <si>
    <t>Selection  of plans in local levels.</t>
  </si>
  <si>
    <t>CC2969</t>
  </si>
  <si>
    <t>http://www.surveygizmo.com/s3/survey/4563835/2VK5FPR097J3PKVT37FH6KSA5OTKEK?snc=1564573001_5d417d492043c4.58560985&amp;sg_navigate=start&amp;_iseditlink=true</t>
  </si>
  <si>
    <t>Urmila Chaudhary/Shreekant Chaudhary</t>
  </si>
  <si>
    <t>Nepal-NP-CC-Triyuga ward 11-2</t>
  </si>
  <si>
    <t>Lack of awareness.</t>
  </si>
  <si>
    <t xml:space="preserve">Gathering of farmers during off time. </t>
  </si>
  <si>
    <t xml:space="preserve">Information regarding budget. </t>
  </si>
  <si>
    <t xml:space="preserve">Discussions required. </t>
  </si>
  <si>
    <t>No prioritization of problems.</t>
  </si>
  <si>
    <t xml:space="preserve">Prioritization of community participation. </t>
  </si>
  <si>
    <t>CC2970</t>
  </si>
  <si>
    <t>http://www.surveygizmo.com/s3/survey/4563835/2VK5FPR097J3PKVT37FH6KSA5OTKEK?snc=1564573005_5d417d4dbf54a0.68248125&amp;sg_navigate=start&amp;_iseditlink=true</t>
  </si>
  <si>
    <t>Urmila Chaudhary/Shree kant Chaudhary</t>
  </si>
  <si>
    <t>Nepal-NP-CC-Triyuga ward11-3</t>
  </si>
  <si>
    <t xml:space="preserve">Lack of information regarding planning to the community. </t>
  </si>
  <si>
    <t>Investment in big scale planning.</t>
  </si>
  <si>
    <t>Planning of livelihood.</t>
  </si>
  <si>
    <t xml:space="preserve">Leadership. </t>
  </si>
  <si>
    <t>Selection of plan from tole/community.</t>
  </si>
  <si>
    <t>CC2971</t>
  </si>
  <si>
    <t>http://www.surveygizmo.com/s3/survey/4563835/2VK5FPR097J3PKVT37FH6KSA5OTKEK?snc=1564573010_5d417d5245e2c2.76316608&amp;sg_navigate=start&amp;_iseditlink=true</t>
  </si>
  <si>
    <t>Urmila Chaudhary/Shree Kant Chaudhary</t>
  </si>
  <si>
    <t>Nepal-NP-CC-Triyuga ward 11-4</t>
  </si>
  <si>
    <t>Selection of farming and planning</t>
  </si>
  <si>
    <t>Gathering during the leisure time.</t>
  </si>
  <si>
    <t>Big scale planning</t>
  </si>
  <si>
    <t>selection of the plan in respect of the victim of the disaster.</t>
  </si>
  <si>
    <t>Leadership in favor of  elite groups.</t>
  </si>
  <si>
    <t>Selection of the participants through inclusion.</t>
  </si>
  <si>
    <t>CC2972</t>
  </si>
  <si>
    <t>http://www.surveygizmo.com/s3/survey/4563835/2VK5FPR097J3PKVT37FH6KSA5OTKEK?snc=1564573014_5d417d5643bdc6.90281796&amp;sg_navigate=start&amp;_iseditlink=true</t>
  </si>
  <si>
    <t>Nepal-NP-CC-Triyuga Ward 11-5</t>
  </si>
  <si>
    <t>Children were unaware of the local level services.</t>
  </si>
  <si>
    <t>No information regarding the schools.</t>
  </si>
  <si>
    <t>Employment</t>
  </si>
  <si>
    <t>Lack of budget</t>
  </si>
  <si>
    <t>Budget to be provided to the community</t>
  </si>
  <si>
    <t>CC2973</t>
  </si>
  <si>
    <t>Count of FGDs in Community Consultations</t>
  </si>
  <si>
    <t>Focused Groups</t>
  </si>
  <si>
    <t>Risk Area or Community / FocusedGroup</t>
  </si>
  <si>
    <t>All</t>
  </si>
  <si>
    <t>Count of FGD</t>
  </si>
  <si>
    <t>Number of Records</t>
  </si>
  <si>
    <t>GRAND TOTAL</t>
  </si>
  <si>
    <t>Blanks</t>
  </si>
  <si>
    <t>Total of Blanks and Errors</t>
  </si>
  <si>
    <t>Total All</t>
  </si>
  <si>
    <t>SN</t>
  </si>
  <si>
    <t>Community</t>
  </si>
  <si>
    <t>Municipality-Ward</t>
  </si>
  <si>
    <t>Province</t>
  </si>
  <si>
    <t>Geographic Region</t>
  </si>
  <si>
    <t>Existing Hazard</t>
  </si>
  <si>
    <t>Level of DRR intervention</t>
  </si>
  <si>
    <t>No.</t>
  </si>
  <si>
    <t>Children and Youth</t>
  </si>
  <si>
    <t>Seniors</t>
  </si>
  <si>
    <t>No. Participants</t>
  </si>
  <si>
    <t>No. Groups</t>
  </si>
  <si>
    <t xml:space="preserve">Teltele Fant + </t>
  </si>
  <si>
    <t>21+24+9+13+16</t>
  </si>
  <si>
    <t>Sharanapara +</t>
  </si>
  <si>
    <t>Kamal-1</t>
  </si>
  <si>
    <t>Terai</t>
  </si>
  <si>
    <t>Fire/Flood</t>
  </si>
  <si>
    <t>Minimum</t>
  </si>
  <si>
    <t xml:space="preserve">Chappan + </t>
  </si>
  <si>
    <t>20+27+11</t>
  </si>
  <si>
    <t>Kharikhola +</t>
  </si>
  <si>
    <t>Khumbu Pas. Lhamo-1</t>
  </si>
  <si>
    <t>Himal</t>
  </si>
  <si>
    <t>Landslide</t>
  </si>
  <si>
    <t>Lagenkhel +</t>
  </si>
  <si>
    <t>12+10</t>
  </si>
  <si>
    <t>Teltele Fant +</t>
  </si>
  <si>
    <t>Udaypurgadi-5</t>
  </si>
  <si>
    <t>Mountain</t>
  </si>
  <si>
    <t>Fire/Fv lood</t>
  </si>
  <si>
    <t xml:space="preserve">Pariyartol + </t>
  </si>
  <si>
    <t>18+13</t>
  </si>
  <si>
    <t>Chappan +</t>
  </si>
  <si>
    <t>Triyuga-11</t>
  </si>
  <si>
    <t>Moderate</t>
  </si>
  <si>
    <t xml:space="preserve">Imakhel + </t>
  </si>
  <si>
    <t>34 +10</t>
  </si>
  <si>
    <t>Kalinchok +</t>
  </si>
  <si>
    <t>Kalinchok-1</t>
  </si>
  <si>
    <t>Bagmati</t>
  </si>
  <si>
    <t xml:space="preserve">Gajedanda + </t>
  </si>
  <si>
    <t>21+21</t>
  </si>
  <si>
    <t>Lalitpur-12</t>
  </si>
  <si>
    <t>Good</t>
  </si>
  <si>
    <t>Mohandanda +</t>
  </si>
  <si>
    <t>31+26</t>
  </si>
  <si>
    <t>Changunarayan-8</t>
  </si>
  <si>
    <t xml:space="preserve">Tanlichok </t>
  </si>
  <si>
    <t>Imakhel +</t>
  </si>
  <si>
    <t>Chandragiri-3</t>
  </si>
  <si>
    <t xml:space="preserve">Ghursa </t>
  </si>
  <si>
    <t>29 +23</t>
  </si>
  <si>
    <t>Gajedanda +</t>
  </si>
  <si>
    <t>Vyas-1</t>
  </si>
  <si>
    <t>Gandaki</t>
  </si>
  <si>
    <t>Flood/slide</t>
  </si>
  <si>
    <t>Ghatgaun</t>
  </si>
  <si>
    <t>Galyang-5</t>
  </si>
  <si>
    <t>Flood/ Landslide</t>
  </si>
  <si>
    <t xml:space="preserve">Total number of focus group discussion </t>
  </si>
  <si>
    <t>Tanlichok</t>
  </si>
  <si>
    <t>Gandaki-2</t>
  </si>
  <si>
    <t>Total number of participants</t>
  </si>
  <si>
    <t>Ghursa</t>
  </si>
  <si>
    <t>Birendranagar-10</t>
  </si>
  <si>
    <t>Karnali</t>
  </si>
  <si>
    <t>Chaukune-10</t>
  </si>
  <si>
    <t>Bistabada</t>
  </si>
  <si>
    <t>Sinja-2</t>
  </si>
  <si>
    <t>Talium</t>
  </si>
  <si>
    <t>Chabdannath-9</t>
  </si>
  <si>
    <t>Count of Focused Groups in Community Consulotations</t>
  </si>
  <si>
    <t>Ranking Absolute Count</t>
  </si>
  <si>
    <t>Relative Rank based upon highest score for each group</t>
  </si>
  <si>
    <t>Threat 1</t>
  </si>
  <si>
    <t>Threat 2</t>
  </si>
  <si>
    <t>Threat 3</t>
  </si>
  <si>
    <t>Ranked Threats</t>
  </si>
  <si>
    <t>Threats /FocusedGroup</t>
  </si>
  <si>
    <t>All Weighted</t>
  </si>
  <si>
    <t>Number of FDG</t>
  </si>
  <si>
    <t xml:space="preserve">Why does the count here in B43 and H43 not match? Shouldn't these numbers be equal to the number of focus groups? </t>
  </si>
  <si>
    <t>Higest Score</t>
  </si>
  <si>
    <t>No Data</t>
  </si>
  <si>
    <t>Top 4 Consequences of  Major Threats (Threats #1)</t>
  </si>
  <si>
    <t>1st</t>
  </si>
  <si>
    <t>2nd</t>
  </si>
  <si>
    <t>3rd</t>
  </si>
  <si>
    <t>4th</t>
  </si>
  <si>
    <t>Weighted Ranked Threats</t>
  </si>
  <si>
    <t xml:space="preserve">Environmental </t>
  </si>
  <si>
    <t>Infrastructure</t>
  </si>
  <si>
    <t>Legal</t>
  </si>
  <si>
    <t>Natural</t>
  </si>
  <si>
    <t>Natural Common</t>
  </si>
  <si>
    <t>Social</t>
  </si>
  <si>
    <t>Total</t>
  </si>
  <si>
    <t>Highest Score</t>
  </si>
  <si>
    <t>WEIGHTED RANKED THREATS</t>
  </si>
  <si>
    <t>RELATIVE RANKED THREATS</t>
  </si>
  <si>
    <t>Absolute Count (Relative  Percentage) of Ranked Threats</t>
  </si>
  <si>
    <t>Threats</t>
  </si>
  <si>
    <t>[Ranked Threats Count] Sum of Weighted Count  (Relative  Percentage)</t>
  </si>
  <si>
    <t>All Social Groups</t>
  </si>
  <si>
    <t>Grouped Threats (Sum)</t>
  </si>
  <si>
    <t>Individual Threats (Sum)</t>
  </si>
  <si>
    <t xml:space="preserve">Empty </t>
  </si>
  <si>
    <t>Count</t>
  </si>
  <si>
    <t>Threat</t>
  </si>
  <si>
    <t>Social Groups</t>
  </si>
  <si>
    <t>Threats (FGDs Count)</t>
  </si>
  <si>
    <t>Row Labels</t>
  </si>
  <si>
    <t>Sum of Women (Weighted Count)</t>
  </si>
  <si>
    <t>Sum of WC_Elderly (Weighted Count)</t>
  </si>
  <si>
    <t>Sum of WC_Children &amp; Youth (Weighted Count)</t>
  </si>
  <si>
    <t>Sum of WC_Men (Weighted Count)</t>
  </si>
  <si>
    <t>Sum of WC_Persons with disability (Weighted Count)</t>
  </si>
  <si>
    <t>Sum of All (Weighted Count)</t>
  </si>
  <si>
    <t>Sum of Women (Relative Percent)</t>
  </si>
  <si>
    <t>Sum of WC_Elderly (Relative Percent)</t>
  </si>
  <si>
    <t>Sum of WC_Children &amp; Youth (Relative Percent)</t>
  </si>
  <si>
    <t>Sum of WC_Men (Relative Percent)</t>
  </si>
  <si>
    <t>Sum of WC_Persons with disability (Relative Percent)</t>
  </si>
  <si>
    <t>Sum of All (Relative Percent)</t>
  </si>
  <si>
    <t>Grand Total</t>
  </si>
  <si>
    <t>Category</t>
  </si>
  <si>
    <t>Women (Weighted Count)</t>
  </si>
  <si>
    <t>WC_Elderly (Weighted Count)</t>
  </si>
  <si>
    <t>WC_Children &amp; Youth (Weighted Count)</t>
  </si>
  <si>
    <t>WC_Men (Weighted Count)</t>
  </si>
  <si>
    <t>WC_Persons with disability (Weighted Count)</t>
  </si>
  <si>
    <t>All (Weighted Count)</t>
  </si>
  <si>
    <t>Women (Relative Percent)</t>
  </si>
  <si>
    <t>WC_Elderly (Relative Percent)</t>
  </si>
  <si>
    <t>WC_Children &amp; Youth (Relative Percent)</t>
  </si>
  <si>
    <t>WC_Men (Relative Percent)</t>
  </si>
  <si>
    <t>WC_Persons with disability (Relative Percent)</t>
  </si>
  <si>
    <t>All (Relative Percent)</t>
  </si>
  <si>
    <t>SN1</t>
  </si>
  <si>
    <t>Rermarks</t>
  </si>
  <si>
    <t>Climate Change and temperture rise could be treated as one</t>
  </si>
  <si>
    <t xml:space="preserve">Temperature rise and Climate Change could be treated as one </t>
  </si>
  <si>
    <t xml:space="preserve">Floods and River Swelling could be treated as one </t>
  </si>
  <si>
    <t>Hailstorm</t>
  </si>
  <si>
    <t>River Swellig and Floods could be treated as one</t>
  </si>
  <si>
    <t>Nsame</t>
  </si>
  <si>
    <t>Chandannath Municipality Ward 9</t>
  </si>
  <si>
    <t>Kalinchok Rural Municipality Ward 1</t>
  </si>
  <si>
    <t>Count of Focused Groups in Community Consultations</t>
  </si>
  <si>
    <t>Ranked Consequences for Threat#1</t>
  </si>
  <si>
    <t>Consequences  for Threat#1</t>
  </si>
  <si>
    <t>Consequences (threat1) / FocusedGroup</t>
  </si>
  <si>
    <t>More Severe Disasters</t>
  </si>
  <si>
    <t>Socio-political effects</t>
  </si>
  <si>
    <t>Name</t>
  </si>
  <si>
    <t>nan</t>
  </si>
  <si>
    <t xml:space="preserve">                              </t>
  </si>
  <si>
    <t>Participants</t>
  </si>
  <si>
    <t>14-17</t>
  </si>
  <si>
    <t>18-24</t>
  </si>
  <si>
    <t>25-34</t>
  </si>
  <si>
    <t>35-44</t>
  </si>
  <si>
    <t>45-64</t>
  </si>
  <si>
    <t>65 plus</t>
  </si>
  <si>
    <t>Total Participants</t>
  </si>
  <si>
    <t>Groups</t>
  </si>
  <si>
    <t>Above 25</t>
  </si>
  <si>
    <t>Below 25</t>
  </si>
  <si>
    <t>Normalization</t>
  </si>
  <si>
    <t>Count of Unique Hazard Names</t>
  </si>
  <si>
    <t>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t>
  </si>
  <si>
    <t>Alcoholism,Crop Damage,Drought,Earthquakes,Fire,Floods,Hail,Hurricanes,Lack of Access to Water,Landslides,Road Accidents,Storms,Unemployment,Wildlife Attacks,</t>
  </si>
  <si>
    <t>Disease/Epidemics,Drought,Drug Addiction,Earthquakes,Fire,Floods,Hail,High Cost of Living,Lack of Access to Basic Services,Lack of Access to Water,Landslides,Poverty,Road Accidents,Unemployment,Violence,</t>
  </si>
  <si>
    <t>Alcoholism,Child Abuse and Exploitation,Disease/Epidemics,Drought,Earthquakes,Fire,Floods,Heavy Rainfall,High Cost of Living,Lack of Access to Water,Lack of Preparedness,Landslides,Road Accidents,Storms,Traffic Congestion,Unemployment,Wildlife Attacks,</t>
  </si>
  <si>
    <t>Disease/Epidemics,Earthquakes,Floods,Lack of Access to Basic Services,Lack of Access to Water,Reduction In Irrigation,Road Accidents,Temperature Rise,Unemployment,Violence,Wildlife Attacks,</t>
  </si>
  <si>
    <t>FGD Group</t>
  </si>
  <si>
    <t>All Hazards/Threats/Risk</t>
  </si>
  <si>
    <t>Unique Hazards/Threats/Risk</t>
  </si>
  <si>
    <t>Common Hazards</t>
  </si>
  <si>
    <t>Count (All)</t>
  </si>
  <si>
    <t>Is Common</t>
  </si>
  <si>
    <t>Count (Unique)</t>
  </si>
  <si>
    <t>Consequences</t>
  </si>
  <si>
    <t>Actions</t>
  </si>
  <si>
    <t>Barriers</t>
  </si>
  <si>
    <t>Major Risk/Threat  Identified By Groups</t>
  </si>
  <si>
    <t xml:space="preserve">        </t>
  </si>
  <si>
    <t>Focus Group - Major Threat</t>
  </si>
  <si>
    <t>Women -  Lack of Access to Water</t>
  </si>
  <si>
    <t>Disease/Health Effects (3),  Loss of Clean Water Sources (3),  Environmental effects (2), Commercial Loss (1),  Crop Damage (1),  Displacement (1),  Drought (1),  Economic and Livelihood Loss (1),  Infrastructure Damage (1),  Injury (1),  Loss of Values (1),  Reduction In Irrigation (1)</t>
  </si>
  <si>
    <t>Economic Policies (6),  Lack Of Awareness And Education (4),  Geographical Situation (1),  Government Inefficiency (1),  Lack Of Access To Technology (1),  Lack Of Government Action (1),  Lack Of Government Commitment (1),  Water Pollution (1)</t>
  </si>
  <si>
    <t>Protect Water Tanks (5),  Water and Sanitation Programme (4),  Dam/Dyke Building (3),  Reforestation (2), Awareness Raising  Education and Training (1),  Climate Change Adaptation (1),  Reconstruction (1),  Stock Piling (1)</t>
  </si>
  <si>
    <t>Elderly -  Earthquakes</t>
  </si>
  <si>
    <t>Economic and Livelihood Loss (3), Building Destruction (1),  Crop Damage (1),  Impact on Biodiversity (1),  Looting of Properties (1),  Loss of Access to Basic Services (1),  Loss of Life (1)</t>
  </si>
  <si>
    <t>Lack Of Awareness And Education (3),  Lack Of Accessibility (2), Attitudinal Issues (1),  Conflict (1),  Lack Of Community Commitment (1),  Lack Of Coordination Between Actors (1)</t>
  </si>
  <si>
    <t>Awareness Raising  Education and Training (2),  Investment in Infrastructure Improvement and Mitigation Works (2), Actions For Poverty Reduction And Employment (1),  Climate Change Adaptation (1),  Climate Change Mitigation (1),  Individual/Personal Action (1),  Resilience Building (1)</t>
  </si>
  <si>
    <t>Children &amp; Youth -  Floods</t>
  </si>
  <si>
    <t>Crop Damage (2),  Environmental effects (2), Commercial Loss (1),  Flooding (1),  School/Education Drop Out (1)</t>
  </si>
  <si>
    <t>Economic Policies (2),  Lack Of Awareness And Education (1),  Lack Of Employment (1),  Lack Of Government Commitment (1),  Lack Of Preparedness (1),  Lack Of Resources (1)</t>
  </si>
  <si>
    <t>Dam/Dyke Building (3),  Reforestation (2),  Disaster Preparedness (1),  Implementation of policies (1),  Investment in Infrastructure Improvement and Mitigation Works (1)</t>
  </si>
  <si>
    <t>Men -  Floods</t>
  </si>
  <si>
    <t>Crop Damage (4),  Infrastructure Damage (4),  Environmental effects (3), Building Destruction (2),  Impact on Biodiversity (2),  Economic and Livelihood Loss (1),  Erosion (1),  Food Insecurity (1)</t>
  </si>
  <si>
    <t>Economic Policies (2),  Lack Of Awareness And Education (2),  Lack Of Resources (2),  Lack Of Risk Awareness And Planning (2),  Lack Of Access To Technology (1),  Lack Of Accessibility (1),  Lack Of Government Commitment (1),  Lack Of Land Surveying And Planning (1),  Lack Of Policies (1),  Poverty (1)</t>
  </si>
  <si>
    <t>Dam/Dyke Building (6),  Disaster Preparedness (2),  Reforestation (2), Awareness Raising  Education and Training (1),  Climate Change Adaptation (1),  Climate Change Mitigation (1),  Drainage Channels (1),  Early Warning Systems (EWS) (1),  Investment in Infrastructure Improvement and Mitigation Works (1),  Resilience Building (1)</t>
  </si>
  <si>
    <t>Persons with disability -  Lack of Access to Basic Services</t>
  </si>
  <si>
    <t>Disease/Health Effects (2), Crop Damage (1),  Disability (1),  Economic and Livelihood Loss (1),  Loss of Access to Basic Services (1),  School/Education Drop Out (1)</t>
  </si>
  <si>
    <t>Lack Of Resources (3), Lack Of Awareness And Education (2),  Lack Of Facilities (1),  Lack Of Government Action (1)</t>
  </si>
  <si>
    <t>Investment in Infrastructure Improvement and Mitigation Works (3), Awareness Raising  Education and Training (1),  Drainage Channels (1),  Health Promotion (1),  Maintain Basic Services (Medical and Other) (1)</t>
  </si>
  <si>
    <t>All -  Floods</t>
  </si>
  <si>
    <t>Crop Damage (10),  Infrastructure Damage (10),  Environmental effects (5), Building Destruction (3),  Commercial Loss (3),  Economic and Livelihood Loss (3),  Erosion (2),  Impact on Biodiversity (2),  Disease/Health Effects (1),  Flooding (1),  Food Insecurity (1),  Livestock Loss (1),  Loss of Clean Water Sources (1),  Reduction In Irrigation (1),  School/Education Drop Out (1)</t>
  </si>
  <si>
    <t>Economic Policies (9),  Lack Of Awareness And Education (8),  Lack Of Resources (4),  Lack Of Access To Technology (2),  Lack Of Government Commitment (2),  Lack Of Risk Awareness And Planning (2), Communication Issues (1),  Family Problem/ Issues (1),  Lack Of Accessibility (1),  Lack Of Employment (1),  Lack Of Initiative (1),  Lack Of Land Surveying And Planning (1),  Lack Of Opportunity/Time (1),  Lack Of Policies (1),  Lack Of Preparedness (1),  Poverty (1)</t>
  </si>
  <si>
    <t>Dam/Dyke Building (14),  Reforestation (8),  Disaster Preparedness (5), Awareness Raising  Education and Training (3),  Investment in Infrastructure Improvement and Mitigation Works (3),  Reconstruction (2),  Climate Change Adaptation (1),  Climate Change Mitigation (1),  Drainage Channels (1),  Early Warning Systems (EWS) (1),  Implementation of policies (1),  Livelihood Diversification (1),  Raising Homes (1),  Resilience Building (1),  Water and Sanitation Programme (1)</t>
  </si>
  <si>
    <t>Sorted</t>
  </si>
  <si>
    <t>Categories</t>
  </si>
  <si>
    <t>Health and Education</t>
  </si>
  <si>
    <t>Agriculture and Environment</t>
  </si>
  <si>
    <t>Infrastructure and Economic</t>
  </si>
  <si>
    <t>Legal Provision</t>
  </si>
  <si>
    <t>Basic Services</t>
  </si>
  <si>
    <t>Infrastructure and Development</t>
  </si>
  <si>
    <t>Policies Formulation</t>
  </si>
  <si>
    <t>Awareness and Education</t>
  </si>
  <si>
    <t>New</t>
  </si>
  <si>
    <t>Removed</t>
  </si>
  <si>
    <t>name changed(Plegal Provision) to (Policy and Legan Provisions)</t>
  </si>
  <si>
    <t>name changed (Awareness) to (Awareness and Education)</t>
  </si>
  <si>
    <t>Infrastructure and Basic Services </t>
  </si>
  <si>
    <t>name changed (Basic Services) to (Infrastructure and Basic Services 
(Physical Development) 
)</t>
  </si>
  <si>
    <t>(Physical Development) </t>
  </si>
  <si>
    <t>removed</t>
  </si>
  <si>
    <t xml:space="preserve">Policy and Legal Provision  </t>
  </si>
  <si>
    <t>name changed (Policies Formulation ) to (Policy and Legal Provision  )</t>
  </si>
  <si>
    <t>Infrastructure and Development (Physical Development)</t>
  </si>
  <si>
    <t>name changed (Infrastructure Development) to (Physical Development)</t>
  </si>
  <si>
    <t>Policy and Legal Provisions</t>
  </si>
  <si>
    <t>Infrastructure and Basic Services</t>
  </si>
  <si>
    <t>Policy and Legal Provision</t>
  </si>
  <si>
    <t>Group - Major Threat</t>
  </si>
  <si>
    <t xml:space="preserve">Flooding Ommitted in </t>
  </si>
  <si>
    <t>k</t>
  </si>
  <si>
    <t>v</t>
  </si>
  <si>
    <t>ag</t>
  </si>
  <si>
    <t>ar</t>
  </si>
  <si>
    <t>bc</t>
  </si>
  <si>
    <t>bn</t>
  </si>
  <si>
    <t>56-&gt;107:108</t>
  </si>
  <si>
    <t>ommitted water pollution (1)</t>
  </si>
  <si>
    <t>Group - Major Threats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</si>
</sst>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8" x14ac:knownFonts="1">
    <font>
      <sz val="11"/>
      <color theme="1"/>
      <name val="Calibri"/>
      <family val="2"/>
      <scheme val="minor"/>
    </font>
    <font>
      <b/>
      <sz val="11"/>
      <color rgb="FFFA7D00"/>
      <name val="Calibri"/>
      <family val="2"/>
      <scheme val="minor"/>
    </font>
    <font>
      <sz val="11"/>
      <color theme="0"/>
      <name val="Calibri"/>
      <family val="2"/>
      <scheme val="minor"/>
    </font>
    <font>
      <sz val="11"/>
      <color rgb="FF454545"/>
      <name val="Courier New"/>
      <family val="3"/>
    </font>
    <font>
      <sz val="11"/>
      <color theme="1"/>
      <name val="Calibri"/>
      <family val="2"/>
      <scheme val="minor"/>
    </font>
    <font>
      <sz val="11"/>
      <color rgb="FF333333"/>
      <name val="Arial"/>
      <family val="2"/>
    </font>
    <font>
      <sz val="11"/>
      <color rgb="FFFF0000"/>
      <name val="Calibri"/>
      <family val="2"/>
      <scheme val="minor"/>
    </font>
    <font>
      <b/>
      <sz val="11"/>
      <color theme="1"/>
      <name val="Calibri"/>
      <family val="2"/>
      <scheme val="minor"/>
    </font>
    <font>
      <sz val="10"/>
      <color theme="1"/>
      <name val="Arial Narrow"/>
      <family val="2"/>
    </font>
    <font>
      <b/>
      <sz val="10"/>
      <color rgb="FF0D0D0D"/>
      <name val="Arial Narrow"/>
      <family val="2"/>
    </font>
    <font>
      <b/>
      <sz val="10"/>
      <color rgb="FF000000"/>
      <name val="Arial Narrow"/>
      <family val="2"/>
    </font>
    <font>
      <sz val="10"/>
      <color rgb="FF0D0D0D"/>
      <name val="Arial Narrow"/>
      <family val="2"/>
    </font>
    <font>
      <sz val="10"/>
      <color rgb="FF000000"/>
      <name val="Arial Narrow"/>
      <family val="2"/>
    </font>
    <font>
      <sz val="11"/>
      <name val="Calibri"/>
      <family val="2"/>
      <scheme val="minor"/>
    </font>
    <font>
      <b/>
      <sz val="11"/>
      <name val="Calibri"/>
      <family val="2"/>
      <scheme val="minor"/>
    </font>
    <font>
      <sz val="11"/>
      <color rgb="FF9C0006"/>
      <name val="Calibri"/>
      <family val="2"/>
      <scheme val="minor"/>
    </font>
    <font>
      <sz val="10"/>
      <color rgb="FF000000"/>
      <name val="Arial"/>
      <family val="2"/>
    </font>
    <font>
      <sz val="11"/>
      <color rgb="FF000000"/>
      <name val="Arial Narrow"/>
      <family val="2"/>
    </font>
  </fonts>
  <fills count="19">
    <fill>
      <patternFill patternType="none"/>
    </fill>
    <fill>
      <patternFill patternType="gray125"/>
    </fill>
    <fill>
      <patternFill patternType="solid">
        <fgColor rgb="FFF2F2F2"/>
      </patternFill>
    </fill>
    <fill>
      <patternFill patternType="solid">
        <fgColor theme="1"/>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patternFill>
    </fill>
    <fill>
      <patternFill patternType="solid">
        <fgColor rgb="FFD9D9D9"/>
        <bgColor indexed="64"/>
      </patternFill>
    </fill>
    <fill>
      <patternFill patternType="solid">
        <fgColor rgb="FF92D050"/>
        <bgColor indexed="64"/>
      </patternFill>
    </fill>
    <fill>
      <patternFill patternType="solid">
        <fgColor rgb="FFFF0000"/>
        <bgColor indexed="64"/>
      </patternFill>
    </fill>
    <fill>
      <patternFill patternType="solid">
        <fgColor rgb="FFFFFF00"/>
        <bgColor theme="9" tint="0.79998168889431442"/>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7CE"/>
      </patternFill>
    </fill>
    <fill>
      <patternFill patternType="solid">
        <fgColor theme="5" tint="-0.249977111117893"/>
        <bgColor indexed="64"/>
      </patternFill>
    </fill>
    <fill>
      <patternFill patternType="solid">
        <fgColor rgb="FF00B050"/>
        <bgColor indexed="64"/>
      </patternFill>
    </fill>
    <fill>
      <patternFill patternType="solid">
        <fgColor rgb="FF0070C0"/>
        <bgColor indexed="64"/>
      </patternFill>
    </fill>
  </fills>
  <borders count="10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dashed">
        <color auto="1"/>
      </left>
      <right style="thick">
        <color auto="1"/>
      </right>
      <top style="thin">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thin">
        <color auto="1"/>
      </top>
      <bottom style="thick">
        <color auto="1"/>
      </bottom>
      <diagonal/>
    </border>
    <border>
      <left style="dashed">
        <color auto="1"/>
      </left>
      <right style="dashed">
        <color auto="1"/>
      </right>
      <top style="thin">
        <color auto="1"/>
      </top>
      <bottom style="thick">
        <color auto="1"/>
      </bottom>
      <diagonal/>
    </border>
    <border>
      <left/>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bottom/>
      <diagonal/>
    </border>
    <border>
      <left style="dashed">
        <color auto="1"/>
      </left>
      <right style="thick">
        <color auto="1"/>
      </right>
      <top style="dashed">
        <color auto="1"/>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rgb="FF7F7F7F"/>
      </left>
      <right style="thin">
        <color rgb="FF7F7F7F"/>
      </right>
      <top/>
      <bottom style="thin">
        <color rgb="FF7F7F7F"/>
      </bottom>
      <diagonal/>
    </border>
    <border>
      <left/>
      <right/>
      <top style="thin">
        <color theme="9" tint="0.39997558519241921"/>
      </top>
      <bottom style="thin">
        <color theme="4" tint="0.39997558519241921"/>
      </bottom>
      <diagonal/>
    </border>
    <border>
      <left style="thin">
        <color rgb="FF7F7F7F"/>
      </left>
      <right style="thin">
        <color rgb="FF7F7F7F"/>
      </right>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ck">
        <color auto="1"/>
      </right>
      <top/>
      <bottom style="thick">
        <color auto="1"/>
      </bottom>
      <diagonal/>
    </border>
    <border>
      <left style="thick">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thick">
        <color auto="1"/>
      </right>
      <top/>
      <bottom style="dashed">
        <color auto="1"/>
      </bottom>
      <diagonal/>
    </border>
    <border>
      <left style="dashed">
        <color auto="1"/>
      </left>
      <right style="thick">
        <color auto="1"/>
      </right>
      <top/>
      <bottom style="thick">
        <color auto="1"/>
      </bottom>
      <diagonal/>
    </border>
    <border>
      <left style="thick">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
      <left style="medium">
        <color auto="1"/>
      </left>
      <right style="dashed">
        <color auto="1"/>
      </right>
      <top style="medium">
        <color auto="1"/>
      </top>
      <bottom style="dashed">
        <color auto="1"/>
      </bottom>
      <diagonal/>
    </border>
    <border>
      <left style="dashed">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style="medium">
        <color auto="1"/>
      </right>
      <top style="medium">
        <color auto="1"/>
      </top>
      <bottom style="dashed">
        <color auto="1"/>
      </bottom>
      <diagonal/>
    </border>
    <border>
      <left style="medium">
        <color auto="1"/>
      </left>
      <right style="medium">
        <color auto="1"/>
      </right>
      <top style="dashed">
        <color auto="1"/>
      </top>
      <bottom style="medium">
        <color auto="1"/>
      </bottom>
      <diagonal/>
    </border>
    <border>
      <left style="medium">
        <color auto="1"/>
      </left>
      <right style="medium">
        <color auto="1"/>
      </right>
      <top style="dashed">
        <color auto="1"/>
      </top>
      <bottom style="dashed">
        <color auto="1"/>
      </bottom>
      <diagonal/>
    </border>
    <border>
      <left/>
      <right/>
      <top/>
      <bottom style="dashed">
        <color theme="0"/>
      </bottom>
      <diagonal/>
    </border>
    <border>
      <left/>
      <right/>
      <top style="dashed">
        <color theme="0"/>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dashed">
        <color auto="1"/>
      </bottom>
      <diagonal/>
    </border>
  </borders>
  <cellStyleXfs count="6">
    <xf numFmtId="0" fontId="0" fillId="0" borderId="0"/>
    <xf numFmtId="0" fontId="1" fillId="2" borderId="1" applyNumberFormat="0" applyAlignment="0" applyProtection="0"/>
    <xf numFmtId="9" fontId="4" fillId="0" borderId="0" applyFont="0" applyFill="0" applyBorder="0" applyAlignment="0" applyProtection="0"/>
    <xf numFmtId="0" fontId="6" fillId="0" borderId="0" applyNumberFormat="0" applyFill="0" applyBorder="0" applyAlignment="0" applyProtection="0"/>
    <xf numFmtId="0" fontId="2" fillId="8" borderId="0" applyNumberFormat="0" applyBorder="0" applyAlignment="0" applyProtection="0"/>
    <xf numFmtId="0" fontId="15" fillId="15" borderId="0" applyNumberFormat="0" applyBorder="0" applyAlignment="0" applyProtection="0"/>
  </cellStyleXfs>
  <cellXfs count="282">
    <xf numFmtId="0" fontId="0" fillId="0" borderId="0" xfId="0"/>
    <xf numFmtId="14" fontId="0" fillId="0" borderId="0" xfId="0" applyNumberFormat="1"/>
    <xf numFmtId="0" fontId="3" fillId="0" borderId="0" xfId="0" applyFont="1"/>
    <xf numFmtId="0" fontId="0" fillId="0" borderId="0" xfId="0" applyBorder="1"/>
    <xf numFmtId="0" fontId="0" fillId="0" borderId="0" xfId="0" applyAlignment="1">
      <alignment wrapText="1"/>
    </xf>
    <xf numFmtId="0" fontId="0" fillId="0" borderId="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0" fillId="0" borderId="19" xfId="0" applyFill="1" applyBorder="1"/>
    <xf numFmtId="0" fontId="0" fillId="0" borderId="20" xfId="0" applyFill="1" applyBorder="1"/>
    <xf numFmtId="0" fontId="0" fillId="0" borderId="3" xfId="0" applyBorder="1" applyAlignment="1">
      <alignment horizontal="center" vertical="center" wrapText="1"/>
    </xf>
    <xf numFmtId="0" fontId="0" fillId="0" borderId="3" xfId="0" applyBorder="1"/>
    <xf numFmtId="0" fontId="0" fillId="0" borderId="21" xfId="0" applyFill="1" applyBorder="1"/>
    <xf numFmtId="0" fontId="0" fillId="0" borderId="22" xfId="0" applyFill="1" applyBorder="1"/>
    <xf numFmtId="0" fontId="1" fillId="2" borderId="1" xfId="1"/>
    <xf numFmtId="9" fontId="0" fillId="0" borderId="12" xfId="2" applyFont="1" applyFill="1" applyBorder="1"/>
    <xf numFmtId="0" fontId="0" fillId="0" borderId="0" xfId="0" applyFill="1" applyBorder="1"/>
    <xf numFmtId="9" fontId="0" fillId="0" borderId="0" xfId="2" applyFont="1" applyFill="1" applyBorder="1"/>
    <xf numFmtId="0" fontId="0" fillId="4" borderId="0" xfId="0" applyFill="1"/>
    <xf numFmtId="0" fontId="0" fillId="4" borderId="7" xfId="0" applyFill="1" applyBorder="1" applyAlignment="1">
      <alignment horizontal="center" vertical="center" wrapText="1"/>
    </xf>
    <xf numFmtId="0" fontId="0" fillId="4" borderId="2" xfId="0" applyFill="1" applyBorder="1" applyAlignment="1">
      <alignment horizontal="center" vertical="center" wrapText="1"/>
    </xf>
    <xf numFmtId="0" fontId="0" fillId="4" borderId="8" xfId="0" applyFill="1" applyBorder="1" applyAlignment="1">
      <alignment horizontal="center" vertical="center" wrapText="1"/>
    </xf>
    <xf numFmtId="0" fontId="2" fillId="3" borderId="0"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wrapText="1"/>
    </xf>
    <xf numFmtId="0" fontId="0" fillId="7" borderId="0" xfId="0" applyFill="1" applyBorder="1"/>
    <xf numFmtId="0" fontId="0" fillId="7" borderId="24"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7" xfId="0" applyFill="1" applyBorder="1" applyAlignment="1">
      <alignment horizontal="center" vertical="center" wrapText="1"/>
    </xf>
    <xf numFmtId="0" fontId="0" fillId="6" borderId="0" xfId="0" applyFill="1"/>
    <xf numFmtId="0" fontId="1" fillId="6" borderId="1" xfId="1" applyFill="1"/>
    <xf numFmtId="0" fontId="0" fillId="4" borderId="28" xfId="0" applyFill="1" applyBorder="1" applyAlignment="1">
      <alignment horizontal="center" vertical="center" wrapText="1"/>
    </xf>
    <xf numFmtId="0" fontId="0" fillId="7" borderId="0" xfId="0" applyFill="1"/>
    <xf numFmtId="0" fontId="0" fillId="0" borderId="29" xfId="0" applyFill="1" applyBorder="1"/>
    <xf numFmtId="9" fontId="0" fillId="5" borderId="0" xfId="0" applyNumberFormat="1" applyFill="1"/>
    <xf numFmtId="49" fontId="5" fillId="0" borderId="0" xfId="0" applyNumberFormat="1" applyFont="1" applyAlignment="1">
      <alignment wrapText="1"/>
    </xf>
    <xf numFmtId="0" fontId="6" fillId="0" borderId="0" xfId="3"/>
    <xf numFmtId="0" fontId="2" fillId="8" borderId="0" xfId="4"/>
    <xf numFmtId="0" fontId="7" fillId="0" borderId="3" xfId="0" applyFont="1" applyBorder="1" applyAlignment="1">
      <alignment horizontal="center" vertical="center" wrapText="1"/>
    </xf>
    <xf numFmtId="0" fontId="8" fillId="0" borderId="31" xfId="0" applyFont="1" applyBorder="1" applyAlignment="1">
      <alignment vertical="center" wrapText="1"/>
    </xf>
    <xf numFmtId="0" fontId="7" fillId="0" borderId="31" xfId="0" applyFont="1" applyBorder="1" applyAlignment="1">
      <alignment horizontal="justify" vertical="center" wrapText="1"/>
    </xf>
    <xf numFmtId="0" fontId="0" fillId="0" borderId="32" xfId="0" applyFont="1" applyBorder="1" applyAlignment="1">
      <alignment vertical="center" wrapText="1"/>
    </xf>
    <xf numFmtId="0" fontId="0" fillId="0" borderId="31" xfId="0" applyFont="1" applyBorder="1" applyAlignment="1">
      <alignment vertical="center" wrapText="1"/>
    </xf>
    <xf numFmtId="0" fontId="0" fillId="6" borderId="31" xfId="0" applyFont="1" applyFill="1" applyBorder="1" applyAlignment="1">
      <alignment vertical="center" wrapText="1"/>
    </xf>
    <xf numFmtId="0" fontId="9" fillId="0" borderId="27" xfId="0" applyFont="1" applyBorder="1" applyAlignment="1">
      <alignment vertical="center" wrapText="1"/>
    </xf>
    <xf numFmtId="0" fontId="9" fillId="0" borderId="30" xfId="0" applyFont="1" applyBorder="1" applyAlignment="1">
      <alignment vertical="center" wrapText="1"/>
    </xf>
    <xf numFmtId="0" fontId="10" fillId="0" borderId="30" xfId="0" applyFont="1" applyBorder="1" applyAlignment="1">
      <alignment vertical="center" wrapText="1"/>
    </xf>
    <xf numFmtId="0" fontId="10" fillId="9" borderId="30" xfId="0" applyFont="1" applyFill="1" applyBorder="1" applyAlignment="1">
      <alignment vertical="center" wrapText="1"/>
    </xf>
    <xf numFmtId="0" fontId="11" fillId="0" borderId="32" xfId="0" applyFont="1" applyBorder="1" applyAlignment="1">
      <alignment vertical="center" wrapText="1"/>
    </xf>
    <xf numFmtId="0" fontId="11" fillId="0" borderId="31" xfId="0" applyFont="1" applyBorder="1" applyAlignment="1">
      <alignment vertical="center" wrapText="1"/>
    </xf>
    <xf numFmtId="0" fontId="12" fillId="0" borderId="31" xfId="0" applyFont="1" applyBorder="1" applyAlignment="1">
      <alignment vertical="center" wrapText="1"/>
    </xf>
    <xf numFmtId="0" fontId="9" fillId="9" borderId="31"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 fillId="6" borderId="35" xfId="1" applyFill="1" applyBorder="1"/>
    <xf numFmtId="0" fontId="1" fillId="2" borderId="35" xfId="1" applyBorder="1"/>
    <xf numFmtId="0" fontId="0" fillId="10" borderId="31" xfId="0" applyFont="1" applyFill="1" applyBorder="1" applyAlignment="1">
      <alignment vertical="center" wrapText="1"/>
    </xf>
    <xf numFmtId="0" fontId="0" fillId="11" borderId="31" xfId="0" applyFont="1" applyFill="1" applyBorder="1" applyAlignment="1">
      <alignment vertical="center" wrapText="1"/>
    </xf>
    <xf numFmtId="0" fontId="0" fillId="6" borderId="36" xfId="0" applyNumberFormat="1" applyFont="1" applyFill="1" applyBorder="1"/>
    <xf numFmtId="0" fontId="0" fillId="12" borderId="36" xfId="0" applyNumberFormat="1" applyFont="1" applyFill="1" applyBorder="1"/>
    <xf numFmtId="0" fontId="1" fillId="2" borderId="37" xfId="1" applyBorder="1"/>
    <xf numFmtId="0" fontId="0" fillId="0" borderId="38" xfId="0" applyBorder="1"/>
    <xf numFmtId="0" fontId="0" fillId="0" borderId="39" xfId="0" applyBorder="1"/>
    <xf numFmtId="0" fontId="0" fillId="0" borderId="40" xfId="0" applyBorder="1"/>
    <xf numFmtId="0" fontId="0" fillId="0" borderId="23" xfId="0" applyBorder="1"/>
    <xf numFmtId="0" fontId="0" fillId="0" borderId="41" xfId="0" applyBorder="1"/>
    <xf numFmtId="0" fontId="0" fillId="7" borderId="38" xfId="0" applyFill="1" applyBorder="1" applyAlignment="1">
      <alignment horizontal="center" vertical="center" wrapText="1"/>
    </xf>
    <xf numFmtId="0" fontId="0" fillId="7" borderId="39"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0" fontId="0" fillId="0" borderId="48" xfId="0" applyFill="1" applyBorder="1" applyAlignment="1">
      <alignment horizontal="center" vertical="center" wrapText="1"/>
    </xf>
    <xf numFmtId="9" fontId="0" fillId="0" borderId="50" xfId="0" applyNumberFormat="1" applyBorder="1"/>
    <xf numFmtId="9" fontId="0" fillId="0" borderId="51" xfId="0" applyNumberFormat="1" applyBorder="1"/>
    <xf numFmtId="9" fontId="0" fillId="0" borderId="52" xfId="0" applyNumberFormat="1" applyBorder="1"/>
    <xf numFmtId="9" fontId="0" fillId="0" borderId="15" xfId="0" applyNumberFormat="1" applyBorder="1"/>
    <xf numFmtId="9" fontId="0" fillId="0" borderId="16" xfId="0" applyNumberFormat="1" applyBorder="1"/>
    <xf numFmtId="9" fontId="0" fillId="0" borderId="18" xfId="0" applyNumberFormat="1" applyBorder="1"/>
    <xf numFmtId="9" fontId="0" fillId="0" borderId="19" xfId="0" applyNumberFormat="1" applyBorder="1"/>
    <xf numFmtId="9" fontId="0" fillId="0" borderId="53" xfId="0" applyNumberFormat="1" applyBorder="1"/>
    <xf numFmtId="0" fontId="0" fillId="0" borderId="0" xfId="0" applyAlignment="1">
      <alignment horizontal="left"/>
    </xf>
    <xf numFmtId="0" fontId="0" fillId="0" borderId="0" xfId="0" applyAlignment="1">
      <alignment horizontal="left" indent="1"/>
    </xf>
    <xf numFmtId="0" fontId="0" fillId="0" borderId="0" xfId="0" applyNumberFormat="1"/>
    <xf numFmtId="9" fontId="0" fillId="0" borderId="0" xfId="0" applyNumberFormat="1"/>
    <xf numFmtId="0" fontId="0" fillId="0" borderId="0" xfId="0" pivotButton="1" applyAlignment="1">
      <alignment wrapText="1"/>
    </xf>
    <xf numFmtId="9" fontId="0" fillId="6" borderId="0" xfId="0" applyNumberFormat="1" applyFill="1"/>
    <xf numFmtId="0" fontId="0" fillId="0" borderId="0" xfId="0" applyFill="1"/>
    <xf numFmtId="9" fontId="0" fillId="0" borderId="0" xfId="0" applyNumberFormat="1" applyFill="1"/>
    <xf numFmtId="0" fontId="2" fillId="3" borderId="38" xfId="0" applyFont="1" applyFill="1" applyBorder="1"/>
    <xf numFmtId="0" fontId="2" fillId="3" borderId="0" xfId="0" applyFont="1" applyFill="1" applyBorder="1"/>
    <xf numFmtId="0" fontId="2" fillId="3" borderId="39" xfId="0" applyFont="1" applyFill="1" applyBorder="1"/>
    <xf numFmtId="9" fontId="2" fillId="3" borderId="38" xfId="0" applyNumberFormat="1" applyFont="1" applyFill="1" applyBorder="1"/>
    <xf numFmtId="9" fontId="0" fillId="0" borderId="38" xfId="0" applyNumberFormat="1" applyBorder="1"/>
    <xf numFmtId="9" fontId="2" fillId="3" borderId="0" xfId="0" applyNumberFormat="1" applyFont="1" applyFill="1" applyBorder="1"/>
    <xf numFmtId="9" fontId="2" fillId="3" borderId="39" xfId="0" applyNumberFormat="1" applyFont="1" applyFill="1" applyBorder="1"/>
    <xf numFmtId="9" fontId="0" fillId="0" borderId="0" xfId="0" applyNumberFormat="1" applyBorder="1"/>
    <xf numFmtId="9" fontId="0" fillId="0" borderId="39" xfId="0" applyNumberFormat="1" applyBorder="1"/>
    <xf numFmtId="9" fontId="0" fillId="0" borderId="23" xfId="0" applyNumberFormat="1" applyBorder="1"/>
    <xf numFmtId="9" fontId="0" fillId="0" borderId="41" xfId="0" applyNumberFormat="1" applyBorder="1"/>
    <xf numFmtId="9" fontId="0" fillId="0" borderId="40" xfId="0" applyNumberFormat="1" applyBorder="1"/>
    <xf numFmtId="0" fontId="0" fillId="0" borderId="42" xfId="0" applyBorder="1"/>
    <xf numFmtId="0" fontId="0" fillId="0" borderId="43" xfId="0" applyBorder="1"/>
    <xf numFmtId="0" fontId="0" fillId="0" borderId="44" xfId="0" applyBorder="1"/>
    <xf numFmtId="0" fontId="2" fillId="3" borderId="45" xfId="0" applyFont="1" applyFill="1" applyBorder="1"/>
    <xf numFmtId="0" fontId="0" fillId="0" borderId="54" xfId="0" applyBorder="1"/>
    <xf numFmtId="0" fontId="2" fillId="3" borderId="54" xfId="0" applyFont="1" applyFill="1" applyBorder="1"/>
    <xf numFmtId="0" fontId="0" fillId="0" borderId="49" xfId="0" applyBorder="1"/>
    <xf numFmtId="0" fontId="13" fillId="0" borderId="0" xfId="0" applyFont="1" applyFill="1" applyBorder="1" applyAlignment="1">
      <alignment horizontal="center"/>
    </xf>
    <xf numFmtId="0" fontId="0" fillId="0" borderId="7" xfId="0" applyBorder="1" applyAlignment="1">
      <alignment vertical="center"/>
    </xf>
    <xf numFmtId="0" fontId="0" fillId="0" borderId="2" xfId="0" applyBorder="1"/>
    <xf numFmtId="0" fontId="0" fillId="0" borderId="8" xfId="0" applyBorder="1"/>
    <xf numFmtId="0" fontId="2" fillId="3" borderId="7" xfId="0" applyFont="1" applyFill="1" applyBorder="1"/>
    <xf numFmtId="9" fontId="2" fillId="3" borderId="2" xfId="0" applyNumberFormat="1" applyFont="1" applyFill="1" applyBorder="1"/>
    <xf numFmtId="9" fontId="2" fillId="3" borderId="8" xfId="0" applyNumberFormat="1" applyFont="1" applyFill="1" applyBorder="1"/>
    <xf numFmtId="0" fontId="0" fillId="0" borderId="7" xfId="0" applyBorder="1"/>
    <xf numFmtId="9" fontId="13" fillId="0" borderId="2" xfId="0" applyNumberFormat="1" applyFont="1" applyFill="1" applyBorder="1"/>
    <xf numFmtId="9" fontId="13" fillId="0" borderId="8" xfId="0" applyNumberFormat="1" applyFont="1" applyFill="1" applyBorder="1"/>
    <xf numFmtId="0" fontId="0" fillId="0" borderId="55" xfId="0" applyBorder="1"/>
    <xf numFmtId="9" fontId="13" fillId="0" borderId="56" xfId="0" applyNumberFormat="1" applyFont="1" applyFill="1" applyBorder="1"/>
    <xf numFmtId="9" fontId="13" fillId="0" borderId="57" xfId="0" applyNumberFormat="1" applyFont="1" applyFill="1" applyBorder="1"/>
    <xf numFmtId="0" fontId="7" fillId="0" borderId="0" xfId="0" applyFont="1"/>
    <xf numFmtId="0" fontId="7" fillId="0" borderId="2" xfId="0" applyFont="1" applyBorder="1"/>
    <xf numFmtId="0" fontId="0" fillId="11" borderId="3" xfId="0" applyFill="1" applyBorder="1"/>
    <xf numFmtId="0" fontId="0" fillId="0" borderId="11" xfId="0" applyFill="1" applyBorder="1" applyAlignment="1">
      <alignment horizontal="center"/>
    </xf>
    <xf numFmtId="0" fontId="0" fillId="6" borderId="0" xfId="0" applyFill="1" applyAlignment="1">
      <alignment wrapText="1"/>
    </xf>
    <xf numFmtId="0" fontId="0" fillId="14" borderId="0" xfId="0" applyFill="1" applyAlignment="1">
      <alignment wrapText="1"/>
    </xf>
    <xf numFmtId="0" fontId="6" fillId="0" borderId="54" xfId="0" applyFont="1" applyBorder="1"/>
    <xf numFmtId="0" fontId="6" fillId="0" borderId="38" xfId="0" applyFont="1" applyBorder="1"/>
    <xf numFmtId="0" fontId="6" fillId="0" borderId="0" xfId="0" applyFont="1" applyBorder="1"/>
    <xf numFmtId="0" fontId="6" fillId="0" borderId="39" xfId="0" applyFont="1" applyBorder="1"/>
    <xf numFmtId="0" fontId="6" fillId="0" borderId="0" xfId="0" applyFont="1"/>
    <xf numFmtId="9" fontId="6" fillId="0" borderId="38" xfId="0" applyNumberFormat="1" applyFont="1" applyBorder="1"/>
    <xf numFmtId="9" fontId="6" fillId="0" borderId="0" xfId="0" applyNumberFormat="1" applyFont="1" applyBorder="1"/>
    <xf numFmtId="9" fontId="6" fillId="0" borderId="39" xfId="0" applyNumberFormat="1" applyFont="1" applyBorder="1"/>
    <xf numFmtId="0" fontId="6" fillId="0" borderId="7" xfId="0" applyFont="1" applyBorder="1"/>
    <xf numFmtId="9" fontId="6" fillId="0" borderId="2" xfId="0" applyNumberFormat="1" applyFont="1" applyFill="1" applyBorder="1"/>
    <xf numFmtId="9" fontId="6" fillId="0" borderId="8" xfId="0" applyNumberFormat="1" applyFont="1" applyFill="1" applyBorder="1"/>
    <xf numFmtId="0" fontId="6" fillId="0" borderId="2" xfId="0" applyFont="1" applyBorder="1"/>
    <xf numFmtId="9" fontId="0" fillId="0" borderId="12" xfId="2" applyNumberFormat="1" applyFont="1" applyFill="1" applyBorder="1"/>
    <xf numFmtId="0" fontId="1" fillId="2" borderId="0" xfId="1" applyBorder="1"/>
    <xf numFmtId="0" fontId="0" fillId="0" borderId="0" xfId="0" pivotButton="1"/>
    <xf numFmtId="0" fontId="0" fillId="0" borderId="0" xfId="0" applyFont="1" applyAlignment="1">
      <alignment horizontal="left"/>
    </xf>
    <xf numFmtId="9" fontId="0" fillId="0" borderId="0" xfId="2" applyFont="1"/>
    <xf numFmtId="164" fontId="0" fillId="0" borderId="0" xfId="2" applyNumberFormat="1" applyFont="1"/>
    <xf numFmtId="0" fontId="0" fillId="0" borderId="0" xfId="0" applyAlignment="1">
      <alignment horizontal="center" wrapText="1"/>
    </xf>
    <xf numFmtId="0" fontId="0" fillId="0" borderId="0" xfId="0" applyAlignment="1"/>
    <xf numFmtId="0" fontId="0" fillId="0" borderId="2" xfId="0" applyBorder="1" applyAlignment="1">
      <alignment wrapText="1"/>
    </xf>
    <xf numFmtId="0" fontId="0" fillId="0" borderId="2" xfId="0" applyFont="1" applyBorder="1" applyAlignment="1">
      <alignment wrapText="1"/>
    </xf>
    <xf numFmtId="0" fontId="7" fillId="0" borderId="2" xfId="0" applyFont="1" applyBorder="1" applyAlignment="1">
      <alignment wrapText="1"/>
    </xf>
    <xf numFmtId="0" fontId="0" fillId="0" borderId="58" xfId="0" applyBorder="1"/>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Fill="1" applyBorder="1"/>
    <xf numFmtId="0" fontId="0" fillId="0" borderId="68" xfId="0" applyFill="1" applyBorder="1"/>
    <xf numFmtId="0" fontId="0" fillId="0" borderId="69" xfId="0" applyFill="1" applyBorder="1"/>
    <xf numFmtId="9" fontId="0" fillId="5" borderId="59" xfId="0" applyNumberFormat="1" applyFill="1" applyBorder="1"/>
    <xf numFmtId="9" fontId="0" fillId="5" borderId="60" xfId="0" applyNumberFormat="1" applyFill="1" applyBorder="1"/>
    <xf numFmtId="9" fontId="0" fillId="5" borderId="62" xfId="0" applyNumberFormat="1" applyFill="1" applyBorder="1"/>
    <xf numFmtId="9" fontId="0" fillId="5" borderId="63" xfId="0" applyNumberFormat="1" applyFill="1" applyBorder="1"/>
    <xf numFmtId="9" fontId="6" fillId="5" borderId="62" xfId="0" applyNumberFormat="1" applyFont="1" applyFill="1" applyBorder="1"/>
    <xf numFmtId="9" fontId="0" fillId="5" borderId="65" xfId="0" applyNumberFormat="1" applyFill="1" applyBorder="1"/>
    <xf numFmtId="9" fontId="6" fillId="5" borderId="65" xfId="0" applyNumberFormat="1" applyFont="1" applyFill="1" applyBorder="1"/>
    <xf numFmtId="9" fontId="0" fillId="5" borderId="66" xfId="0" applyNumberFormat="1" applyFill="1" applyBorder="1"/>
    <xf numFmtId="0" fontId="0" fillId="0" borderId="70" xfId="0" applyBorder="1"/>
    <xf numFmtId="0" fontId="7" fillId="0" borderId="71" xfId="0" applyFont="1" applyBorder="1" applyAlignment="1">
      <alignment wrapText="1"/>
    </xf>
    <xf numFmtId="0" fontId="7" fillId="0" borderId="72" xfId="0" applyFont="1" applyBorder="1" applyAlignment="1">
      <alignment wrapText="1"/>
    </xf>
    <xf numFmtId="9" fontId="0" fillId="5" borderId="73" xfId="0" applyNumberFormat="1" applyFill="1" applyBorder="1"/>
    <xf numFmtId="9" fontId="0" fillId="5" borderId="74" xfId="0" applyNumberFormat="1" applyFill="1" applyBorder="1"/>
    <xf numFmtId="9" fontId="0" fillId="5" borderId="75" xfId="0" applyNumberFormat="1" applyFill="1" applyBorder="1"/>
    <xf numFmtId="0" fontId="7" fillId="0" borderId="67" xfId="0" applyFont="1" applyBorder="1"/>
    <xf numFmtId="0" fontId="7" fillId="0" borderId="68" xfId="0" applyFont="1" applyBorder="1"/>
    <xf numFmtId="0" fontId="7" fillId="0" borderId="69" xfId="0" applyFont="1" applyBorder="1"/>
    <xf numFmtId="9" fontId="13" fillId="5" borderId="73" xfId="0" applyNumberFormat="1" applyFont="1" applyFill="1" applyBorder="1" applyAlignment="1">
      <alignment wrapText="1"/>
    </xf>
    <xf numFmtId="9" fontId="13" fillId="5" borderId="59" xfId="0" applyNumberFormat="1" applyFont="1" applyFill="1" applyBorder="1" applyAlignment="1">
      <alignment wrapText="1"/>
    </xf>
    <xf numFmtId="9" fontId="13" fillId="5" borderId="60" xfId="0" applyNumberFormat="1" applyFont="1" applyFill="1" applyBorder="1" applyAlignment="1">
      <alignment wrapText="1"/>
    </xf>
    <xf numFmtId="9" fontId="13" fillId="5" borderId="74" xfId="0" applyNumberFormat="1" applyFont="1" applyFill="1" applyBorder="1" applyAlignment="1">
      <alignment wrapText="1"/>
    </xf>
    <xf numFmtId="9" fontId="13" fillId="5" borderId="62" xfId="0" applyNumberFormat="1" applyFont="1" applyFill="1" applyBorder="1" applyAlignment="1">
      <alignment wrapText="1"/>
    </xf>
    <xf numFmtId="9" fontId="13" fillId="5" borderId="63" xfId="0" applyNumberFormat="1" applyFont="1" applyFill="1" applyBorder="1" applyAlignment="1">
      <alignment wrapText="1"/>
    </xf>
    <xf numFmtId="9" fontId="13" fillId="5" borderId="75" xfId="0" applyNumberFormat="1" applyFont="1" applyFill="1" applyBorder="1" applyAlignment="1">
      <alignment wrapText="1"/>
    </xf>
    <xf numFmtId="9" fontId="13" fillId="5" borderId="65" xfId="0" applyNumberFormat="1" applyFont="1" applyFill="1" applyBorder="1" applyAlignment="1">
      <alignment wrapText="1"/>
    </xf>
    <xf numFmtId="9" fontId="13" fillId="5" borderId="66" xfId="0" applyNumberFormat="1" applyFont="1" applyFill="1" applyBorder="1" applyAlignment="1">
      <alignment wrapText="1"/>
    </xf>
    <xf numFmtId="0" fontId="7" fillId="0" borderId="0" xfId="0" applyFont="1" applyFill="1"/>
    <xf numFmtId="0" fontId="0" fillId="0" borderId="78" xfId="0" applyBorder="1"/>
    <xf numFmtId="0" fontId="0" fillId="0" borderId="77" xfId="0" applyBorder="1"/>
    <xf numFmtId="0" fontId="0" fillId="0" borderId="16" xfId="0" applyBorder="1"/>
    <xf numFmtId="0" fontId="0" fillId="0" borderId="83" xfId="0" applyBorder="1"/>
    <xf numFmtId="0" fontId="0" fillId="0" borderId="80" xfId="0" applyBorder="1"/>
    <xf numFmtId="0" fontId="0" fillId="0" borderId="81" xfId="0" applyBorder="1"/>
    <xf numFmtId="0" fontId="0" fillId="0" borderId="84" xfId="0" applyFont="1" applyFill="1" applyBorder="1"/>
    <xf numFmtId="0" fontId="0" fillId="0" borderId="86" xfId="0" applyFont="1" applyFill="1" applyBorder="1"/>
    <xf numFmtId="0" fontId="0" fillId="0" borderId="85" xfId="0" applyFont="1" applyFill="1" applyBorder="1"/>
    <xf numFmtId="0" fontId="0" fillId="0" borderId="82" xfId="0" applyBorder="1"/>
    <xf numFmtId="0" fontId="0" fillId="0" borderId="79" xfId="0" applyBorder="1"/>
    <xf numFmtId="0" fontId="13" fillId="0" borderId="0" xfId="0" applyFont="1" applyFill="1" applyAlignment="1"/>
    <xf numFmtId="0" fontId="14" fillId="0" borderId="82" xfId="0" applyFont="1" applyFill="1" applyBorder="1"/>
    <xf numFmtId="0" fontId="14" fillId="0" borderId="16" xfId="0" applyFont="1" applyFill="1" applyBorder="1"/>
    <xf numFmtId="0" fontId="14" fillId="0" borderId="83" xfId="0" applyFont="1" applyFill="1" applyBorder="1"/>
    <xf numFmtId="0" fontId="0" fillId="0" borderId="97" xfId="0" applyBorder="1" applyAlignment="1">
      <alignment wrapText="1"/>
    </xf>
    <xf numFmtId="0" fontId="0" fillId="0" borderId="98" xfId="0" applyBorder="1" applyAlignment="1">
      <alignment wrapText="1"/>
    </xf>
    <xf numFmtId="0" fontId="0" fillId="0" borderId="99" xfId="0" applyBorder="1" applyAlignment="1">
      <alignment wrapText="1"/>
    </xf>
    <xf numFmtId="0" fontId="7" fillId="0" borderId="27" xfId="0" applyFont="1" applyBorder="1"/>
    <xf numFmtId="0" fontId="0" fillId="0" borderId="0" xfId="0" applyFont="1" applyFill="1" applyBorder="1"/>
    <xf numFmtId="0" fontId="14" fillId="0" borderId="84" xfId="0" applyFont="1" applyFill="1" applyBorder="1" applyAlignment="1"/>
    <xf numFmtId="0" fontId="13" fillId="0" borderId="0" xfId="0" applyFont="1" applyFill="1" applyBorder="1" applyAlignment="1"/>
    <xf numFmtId="0" fontId="15" fillId="15" borderId="0" xfId="5"/>
    <xf numFmtId="0" fontId="0" fillId="0" borderId="86" xfId="0" applyBorder="1" applyAlignment="1">
      <alignment wrapText="1"/>
    </xf>
    <xf numFmtId="0" fontId="0" fillId="0" borderId="85" xfId="0" applyBorder="1" applyAlignment="1">
      <alignment wrapText="1"/>
    </xf>
    <xf numFmtId="0" fontId="0" fillId="0" borderId="103" xfId="0" applyBorder="1" applyAlignment="1">
      <alignment wrapText="1"/>
    </xf>
    <xf numFmtId="0" fontId="0" fillId="0" borderId="0" xfId="0" applyAlignment="1">
      <alignment horizontal="center"/>
    </xf>
    <xf numFmtId="0" fontId="2" fillId="3" borderId="88" xfId="0" applyFont="1" applyFill="1" applyBorder="1" applyAlignment="1">
      <alignment horizontal="center"/>
    </xf>
    <xf numFmtId="0" fontId="2" fillId="3" borderId="0" xfId="0" applyFont="1" applyFill="1" applyAlignment="1">
      <alignment horizontal="center"/>
    </xf>
    <xf numFmtId="0" fontId="14" fillId="0" borderId="76" xfId="0" applyFont="1" applyFill="1" applyBorder="1" applyAlignment="1">
      <alignment horizontal="center"/>
    </xf>
    <xf numFmtId="0" fontId="14" fillId="0" borderId="77" xfId="0" applyFont="1" applyFill="1" applyBorder="1" applyAlignment="1">
      <alignment horizontal="center"/>
    </xf>
    <xf numFmtId="0" fontId="14" fillId="0" borderId="84" xfId="0" applyFont="1" applyFill="1" applyBorder="1" applyAlignment="1">
      <alignment horizontal="center"/>
    </xf>
    <xf numFmtId="0" fontId="14" fillId="0" borderId="85" xfId="0" applyFont="1" applyFill="1" applyBorder="1" applyAlignment="1">
      <alignment horizontal="center"/>
    </xf>
    <xf numFmtId="0" fontId="2" fillId="3" borderId="87" xfId="0" applyFont="1" applyFill="1" applyBorder="1" applyAlignment="1">
      <alignment horizontal="center"/>
    </xf>
    <xf numFmtId="0" fontId="0" fillId="0" borderId="95" xfId="0" applyBorder="1" applyAlignment="1">
      <alignment horizontal="left" vertical="top" wrapText="1"/>
    </xf>
    <xf numFmtId="0" fontId="0" fillId="0" borderId="2" xfId="0" applyBorder="1" applyAlignment="1">
      <alignment horizontal="left" vertical="top" wrapText="1"/>
    </xf>
    <xf numFmtId="0" fontId="0" fillId="0" borderId="91" xfId="0" applyBorder="1" applyAlignment="1">
      <alignment horizontal="left" vertical="top" wrapText="1"/>
    </xf>
    <xf numFmtId="0" fontId="0" fillId="0" borderId="94" xfId="0" applyBorder="1" applyAlignment="1">
      <alignment horizontal="left" vertical="top" wrapText="1"/>
    </xf>
    <xf numFmtId="0" fontId="0" fillId="0" borderId="89" xfId="0" applyBorder="1" applyAlignment="1">
      <alignment horizontal="left" vertical="top" wrapText="1"/>
    </xf>
    <xf numFmtId="0" fontId="0" fillId="0" borderId="90" xfId="0" applyBorder="1" applyAlignment="1">
      <alignment horizontal="left" vertical="top" wrapText="1"/>
    </xf>
    <xf numFmtId="0" fontId="7" fillId="0" borderId="27" xfId="0" applyFont="1" applyBorder="1" applyAlignment="1">
      <alignment horizontal="center"/>
    </xf>
    <xf numFmtId="0" fontId="0" fillId="0" borderId="27" xfId="0" applyFont="1" applyBorder="1" applyAlignment="1">
      <alignment horizontal="center" wrapText="1"/>
    </xf>
    <xf numFmtId="0" fontId="0" fillId="0" borderId="96" xfId="0" applyBorder="1" applyAlignment="1">
      <alignment horizontal="left" vertical="top" wrapText="1"/>
    </xf>
    <xf numFmtId="0" fontId="0" fillId="0" borderId="92" xfId="0" applyBorder="1" applyAlignment="1">
      <alignment horizontal="left" vertical="top" wrapText="1"/>
    </xf>
    <xf numFmtId="0" fontId="0" fillId="0" borderId="93" xfId="0" applyBorder="1" applyAlignment="1">
      <alignment horizontal="left" vertical="top" wrapText="1"/>
    </xf>
    <xf numFmtId="0" fontId="0" fillId="0" borderId="100" xfId="0" applyBorder="1" applyAlignment="1">
      <alignment horizontal="left" vertical="top" wrapText="1"/>
    </xf>
    <xf numFmtId="0" fontId="0" fillId="0" borderId="101" xfId="0" applyBorder="1" applyAlignment="1">
      <alignment horizontal="left" vertical="top" wrapText="1"/>
    </xf>
    <xf numFmtId="0" fontId="0" fillId="0" borderId="102" xfId="0" applyBorder="1" applyAlignment="1">
      <alignment horizontal="left" vertical="top" wrapText="1"/>
    </xf>
    <xf numFmtId="0" fontId="0" fillId="0" borderId="86" xfId="0" applyBorder="1" applyAlignment="1">
      <alignment horizontal="center"/>
    </xf>
    <xf numFmtId="0" fontId="0" fillId="0" borderId="85" xfId="0" applyBorder="1" applyAlignment="1">
      <alignment horizontal="center"/>
    </xf>
    <xf numFmtId="0" fontId="0" fillId="0" borderId="103" xfId="0" applyBorder="1" applyAlignment="1">
      <alignment horizontal="center"/>
    </xf>
    <xf numFmtId="0" fontId="2" fillId="3" borderId="23" xfId="0" applyFont="1"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9" fillId="9" borderId="34" xfId="0" applyFont="1" applyFill="1" applyBorder="1" applyAlignment="1">
      <alignment vertical="center" wrapText="1"/>
    </xf>
    <xf numFmtId="0" fontId="9" fillId="9" borderId="30" xfId="0" applyFont="1" applyFill="1" applyBorder="1" applyAlignment="1">
      <alignment vertical="center" wrapText="1"/>
    </xf>
    <xf numFmtId="0" fontId="7" fillId="0" borderId="33"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0" xfId="0" applyFont="1" applyBorder="1" applyAlignment="1">
      <alignment horizontal="center" vertical="center" wrapText="1"/>
    </xf>
    <xf numFmtId="0" fontId="0" fillId="0" borderId="9"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13" borderId="23" xfId="0" applyFill="1" applyBorder="1" applyAlignment="1">
      <alignment horizontal="center"/>
    </xf>
    <xf numFmtId="0" fontId="13" fillId="0" borderId="10" xfId="0" applyFont="1" applyFill="1" applyBorder="1" applyAlignment="1">
      <alignment horizontal="center"/>
    </xf>
    <xf numFmtId="0" fontId="13" fillId="0" borderId="11" xfId="0" applyFont="1" applyFill="1" applyBorder="1" applyAlignment="1">
      <alignment horizontal="center"/>
    </xf>
    <xf numFmtId="0" fontId="13" fillId="0" borderId="4" xfId="0" applyFont="1" applyFill="1" applyBorder="1" applyAlignment="1">
      <alignment horizontal="center"/>
    </xf>
    <xf numFmtId="0" fontId="13" fillId="0" borderId="5" xfId="0" applyFont="1" applyFill="1" applyBorder="1" applyAlignment="1">
      <alignment horizontal="center"/>
    </xf>
    <xf numFmtId="0" fontId="13" fillId="0" borderId="6" xfId="0" applyFont="1" applyFill="1" applyBorder="1" applyAlignment="1">
      <alignment horizont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left" wrapText="1"/>
    </xf>
    <xf numFmtId="0" fontId="7" fillId="0" borderId="2" xfId="0" applyFont="1" applyBorder="1" applyAlignment="1">
      <alignment horizontal="center"/>
    </xf>
    <xf numFmtId="0" fontId="0" fillId="0" borderId="0" xfId="0" applyAlignment="1">
      <alignment horizontal="center" wrapText="1"/>
    </xf>
    <xf numFmtId="0" fontId="0" fillId="0" borderId="0" xfId="0" applyAlignment="1">
      <alignment horizontal="center"/>
    </xf>
    <xf numFmtId="0" fontId="7" fillId="0" borderId="2" xfId="0" applyFont="1" applyBorder="1" applyAlignment="1">
      <alignment horizontal="center" vertical="center" textRotation="90"/>
    </xf>
    <xf numFmtId="0" fontId="7" fillId="0" borderId="0" xfId="0" applyFont="1" applyAlignment="1">
      <alignment horizontal="center"/>
    </xf>
    <xf numFmtId="0" fontId="0" fillId="16" borderId="0" xfId="0" applyFill="1"/>
    <xf numFmtId="0" fontId="0" fillId="10" borderId="0" xfId="0" applyFill="1"/>
    <xf numFmtId="0" fontId="0" fillId="17" borderId="0" xfId="0" applyFill="1"/>
    <xf numFmtId="0" fontId="16" fillId="18" borderId="0" xfId="0" applyFont="1" applyFill="1" applyAlignment="1">
      <alignment horizontal="left" vertical="center"/>
    </xf>
    <xf numFmtId="0" fontId="7" fillId="0" borderId="0" xfId="0" applyFont="1" applyAlignment="1">
      <alignment wrapText="1"/>
    </xf>
    <xf numFmtId="0" fontId="17" fillId="0" borderId="0" xfId="0" applyFont="1" applyAlignment="1">
      <alignment wrapText="1"/>
    </xf>
    <xf numFmtId="0" fontId="0" fillId="11" borderId="0" xfId="0" applyFill="1"/>
    <xf numFmtId="0" fontId="13" fillId="11" borderId="0" xfId="0" applyFont="1" applyFill="1"/>
  </cellXfs>
  <cellStyles count="6">
    <cellStyle name="Accent2" xfId="4" builtinId="33"/>
    <cellStyle name="Bad" xfId="5" builtinId="27"/>
    <cellStyle name="Calculation" xfId="1" builtinId="22"/>
    <cellStyle name="Normal" xfId="0" builtinId="0"/>
    <cellStyle name="Percent" xfId="2" builtinId="5"/>
    <cellStyle name="Warning Text" xfId="3" builtinId="11"/>
  </cellStyles>
  <dxfs count="37">
    <dxf>
      <fill>
        <patternFill>
          <bgColor theme="4"/>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color rgb="FFFF0000"/>
      </font>
    </dxf>
    <dxf>
      <font>
        <color rgb="FF9C0006"/>
      </font>
      <fill>
        <patternFill>
          <bgColor rgb="FFFFC7CE"/>
        </patternFill>
      </fill>
    </dxf>
    <dxf>
      <font>
        <color rgb="FF9C0006"/>
      </font>
      <fill>
        <patternFill>
          <bgColor rgb="FFFFC7CE"/>
        </patternFill>
      </fill>
    </dxf>
    <dxf>
      <font>
        <strike/>
        <color theme="5" tint="0.59996337778862885"/>
      </font>
    </dxf>
    <dxf>
      <font>
        <strike/>
        <color theme="5" tint="0.59996337778862885"/>
      </font>
    </dxf>
    <dxf>
      <font>
        <strike/>
        <color theme="5" tint="0.59996337778862885"/>
      </font>
    </dxf>
    <dxf>
      <font>
        <strike/>
        <color theme="5" tint="0.59996337778862885"/>
      </font>
    </dxf>
    <dxf>
      <font>
        <strike/>
        <color theme="5" tint="0.59996337778862885"/>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auto="1"/>
      </font>
      <fill>
        <patternFill>
          <bgColor rgb="FF00B050"/>
        </patternFill>
      </fill>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wrapText="1" readingOrder="0"/>
    </dxf>
    <dxf>
      <alignment wrapText="1" readingOrder="0"/>
    </dxf>
    <dxf>
      <numFmt numFmtId="19" formatCode="dd/mm/yyyy"/>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Barriers of Major Threats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charts_CBA!$B$15</c:f>
              <c:strCache>
                <c:ptCount val="1"/>
                <c:pt idx="0">
                  <c:v>Policy and Legal Provisions</c:v>
                </c:pt>
              </c:strCache>
            </c:strRef>
          </c:tx>
          <c:spPr>
            <a:solidFill>
              <a:schemeClr val="accent1"/>
            </a:solidFill>
            <a:ln>
              <a:noFill/>
            </a:ln>
            <a:effectLst/>
          </c:spPr>
          <c:invertIfNegative val="0"/>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charts_CBA!$B$16:$B$21</c:f>
              <c:numCache>
                <c:formatCode>General</c:formatCode>
                <c:ptCount val="6"/>
                <c:pt idx="0">
                  <c:v>9</c:v>
                </c:pt>
                <c:pt idx="1">
                  <c:v>2</c:v>
                </c:pt>
                <c:pt idx="2">
                  <c:v>3</c:v>
                </c:pt>
                <c:pt idx="3">
                  <c:v>5</c:v>
                </c:pt>
                <c:pt idx="4">
                  <c:v>1</c:v>
                </c:pt>
                <c:pt idx="5">
                  <c:v>14</c:v>
                </c:pt>
              </c:numCache>
            </c:numRef>
          </c:val>
        </c:ser>
        <c:ser>
          <c:idx val="1"/>
          <c:order val="1"/>
          <c:tx>
            <c:strRef>
              <c:f>charts_CBA!$C$15</c:f>
              <c:strCache>
                <c:ptCount val="1"/>
                <c:pt idx="0">
                  <c:v>Awareness and Education</c:v>
                </c:pt>
              </c:strCache>
            </c:strRef>
          </c:tx>
          <c:spPr>
            <a:solidFill>
              <a:schemeClr val="accent2"/>
            </a:solidFill>
            <a:ln>
              <a:noFill/>
            </a:ln>
            <a:effectLst/>
          </c:spPr>
          <c:invertIfNegative val="0"/>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charts_CBA!$C$16:$C$21</c:f>
              <c:numCache>
                <c:formatCode>General</c:formatCode>
                <c:ptCount val="6"/>
                <c:pt idx="0">
                  <c:v>4</c:v>
                </c:pt>
                <c:pt idx="1">
                  <c:v>5</c:v>
                </c:pt>
                <c:pt idx="2">
                  <c:v>2</c:v>
                </c:pt>
                <c:pt idx="3">
                  <c:v>5</c:v>
                </c:pt>
                <c:pt idx="4">
                  <c:v>2</c:v>
                </c:pt>
                <c:pt idx="5">
                  <c:v>13</c:v>
                </c:pt>
              </c:numCache>
            </c:numRef>
          </c:val>
        </c:ser>
        <c:ser>
          <c:idx val="2"/>
          <c:order val="2"/>
          <c:tx>
            <c:strRef>
              <c:f>charts_CBA!$D$15</c:f>
              <c:strCache>
                <c:ptCount val="1"/>
                <c:pt idx="0">
                  <c:v>Infrastructure and Basic Services</c:v>
                </c:pt>
              </c:strCache>
            </c:strRef>
          </c:tx>
          <c:spPr>
            <a:solidFill>
              <a:schemeClr val="accent3"/>
            </a:solidFill>
            <a:ln>
              <a:noFill/>
            </a:ln>
            <a:effectLst/>
          </c:spPr>
          <c:invertIfNegative val="0"/>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charts_CBA!$D$16:$D$21</c:f>
              <c:numCache>
                <c:formatCode>General</c:formatCode>
                <c:ptCount val="6"/>
                <c:pt idx="0">
                  <c:v>2</c:v>
                </c:pt>
                <c:pt idx="1">
                  <c:v>2</c:v>
                </c:pt>
                <c:pt idx="2">
                  <c:v>2</c:v>
                </c:pt>
                <c:pt idx="3">
                  <c:v>4</c:v>
                </c:pt>
                <c:pt idx="4">
                  <c:v>4</c:v>
                </c:pt>
                <c:pt idx="5">
                  <c:v>10</c:v>
                </c:pt>
              </c:numCache>
            </c:numRef>
          </c:val>
        </c:ser>
        <c:dLbls>
          <c:showLegendKey val="0"/>
          <c:showVal val="0"/>
          <c:showCatName val="0"/>
          <c:showSerName val="0"/>
          <c:showPercent val="0"/>
          <c:showBubbleSize val="0"/>
        </c:dLbls>
        <c:gapWidth val="219"/>
        <c:overlap val="-27"/>
        <c:axId val="563207688"/>
        <c:axId val="563212000"/>
      </c:barChart>
      <c:catAx>
        <c:axId val="563207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12000"/>
        <c:crosses val="autoZero"/>
        <c:auto val="1"/>
        <c:lblAlgn val="ctr"/>
        <c:lblOffset val="100"/>
        <c:noMultiLvlLbl val="0"/>
      </c:catAx>
      <c:valAx>
        <c:axId val="56321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07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Actions for Major Threats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charts_CBA!$B$27</c:f>
              <c:strCache>
                <c:ptCount val="1"/>
                <c:pt idx="0">
                  <c:v>Policy and Legal Provision</c:v>
                </c:pt>
              </c:strCache>
            </c:strRef>
          </c:tx>
          <c:spPr>
            <a:solidFill>
              <a:schemeClr val="accent1"/>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charts_CBA!$B$28:$B$33</c:f>
              <c:numCache>
                <c:formatCode>General</c:formatCode>
                <c:ptCount val="6"/>
                <c:pt idx="0">
                  <c:v>3</c:v>
                </c:pt>
                <c:pt idx="1">
                  <c:v>1</c:v>
                </c:pt>
                <c:pt idx="2">
                  <c:v>3</c:v>
                </c:pt>
                <c:pt idx="3">
                  <c:v>2</c:v>
                </c:pt>
                <c:pt idx="4">
                  <c:v>0</c:v>
                </c:pt>
                <c:pt idx="5">
                  <c:v>9</c:v>
                </c:pt>
              </c:numCache>
            </c:numRef>
          </c:val>
        </c:ser>
        <c:ser>
          <c:idx val="1"/>
          <c:order val="1"/>
          <c:tx>
            <c:strRef>
              <c:f>charts_CBA!$C$27</c:f>
              <c:strCache>
                <c:ptCount val="1"/>
                <c:pt idx="0">
                  <c:v>Infrastructure and Development</c:v>
                </c:pt>
              </c:strCache>
            </c:strRef>
          </c:tx>
          <c:spPr>
            <a:solidFill>
              <a:schemeClr val="accent2"/>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charts_CBA!$C$28:$C$33</c:f>
              <c:numCache>
                <c:formatCode>General</c:formatCode>
                <c:ptCount val="6"/>
                <c:pt idx="0">
                  <c:v>9</c:v>
                </c:pt>
                <c:pt idx="1">
                  <c:v>3</c:v>
                </c:pt>
                <c:pt idx="2">
                  <c:v>4</c:v>
                </c:pt>
                <c:pt idx="3">
                  <c:v>10</c:v>
                </c:pt>
                <c:pt idx="4">
                  <c:v>4</c:v>
                </c:pt>
                <c:pt idx="5">
                  <c:v>24</c:v>
                </c:pt>
              </c:numCache>
            </c:numRef>
          </c:val>
        </c:ser>
        <c:ser>
          <c:idx val="2"/>
          <c:order val="2"/>
          <c:tx>
            <c:strRef>
              <c:f>charts_CBA!$D$27</c:f>
              <c:strCache>
                <c:ptCount val="1"/>
                <c:pt idx="0">
                  <c:v>Awareness and Education</c:v>
                </c:pt>
              </c:strCache>
            </c:strRef>
          </c:tx>
          <c:spPr>
            <a:solidFill>
              <a:schemeClr val="accent3"/>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charts_CBA!$D$28:$D$33</c:f>
              <c:numCache>
                <c:formatCode>General</c:formatCode>
                <c:ptCount val="6"/>
                <c:pt idx="0">
                  <c:v>6</c:v>
                </c:pt>
                <c:pt idx="1">
                  <c:v>5</c:v>
                </c:pt>
                <c:pt idx="2">
                  <c:v>1</c:v>
                </c:pt>
                <c:pt idx="3">
                  <c:v>5</c:v>
                </c:pt>
                <c:pt idx="4">
                  <c:v>3</c:v>
                </c:pt>
                <c:pt idx="5">
                  <c:v>11</c:v>
                </c:pt>
              </c:numCache>
            </c:numRef>
          </c:val>
        </c:ser>
        <c:dLbls>
          <c:showLegendKey val="0"/>
          <c:showVal val="0"/>
          <c:showCatName val="0"/>
          <c:showSerName val="0"/>
          <c:showPercent val="0"/>
          <c:showBubbleSize val="0"/>
        </c:dLbls>
        <c:gapWidth val="219"/>
        <c:overlap val="-27"/>
        <c:axId val="563201808"/>
        <c:axId val="563202200"/>
      </c:barChart>
      <c:catAx>
        <c:axId val="56320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02200"/>
        <c:crosses val="autoZero"/>
        <c:auto val="1"/>
        <c:lblAlgn val="ctr"/>
        <c:lblOffset val="100"/>
        <c:noMultiLvlLbl val="0"/>
      </c:catAx>
      <c:valAx>
        <c:axId val="563202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01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163819</xdr:colOff>
      <xdr:row>222</xdr:row>
      <xdr:rowOff>29837</xdr:rowOff>
    </xdr:from>
    <xdr:ext cx="6531428" cy="4742452"/>
    <xdr:sp macro="" textlink="">
      <xdr:nvSpPr>
        <xdr:cNvPr id="2" name="TextBox 1"/>
        <xdr:cNvSpPr txBox="1"/>
      </xdr:nvSpPr>
      <xdr:spPr>
        <a:xfrm>
          <a:off x="163819" y="42421690"/>
          <a:ext cx="6531428" cy="4742452"/>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p>
        <a:p>
          <a:endParaRPr lang="en-US" sz="1100"/>
        </a:p>
        <a:p>
          <a:r>
            <a:rPr lang="en-US" sz="1100"/>
            <a:t>hOW</a:t>
          </a:r>
          <a:r>
            <a:rPr lang="en-US" sz="1100" baseline="0"/>
            <a:t> DOES LACK OF ACCESS TO WATER CAUSE iNJURY, lOOK t1 AND 3:T1C</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endParaRPr lang="en-US" sz="1100"/>
        </a:p>
        <a:p>
          <a:endParaRPr lang="en-US" sz="1100"/>
        </a:p>
        <a:p>
          <a:endParaRPr lang="en-US" sz="1100"/>
        </a:p>
        <a:p>
          <a:endParaRPr lang="en-US" sz="1100"/>
        </a:p>
        <a:p>
          <a:r>
            <a:rPr lang="en-US" sz="1100"/>
            <a:t>2910 http://www.surveygizmo.com/s3/survey/4563835/2VK5FPR097J3PKVT37FH6KSA5OTKEK?snc=1564029556_5d393274855742.25099151&amp;sg_navigate=start&amp;_iseditlink=true EDIT Amrit Bahadur Ghote FIRDO Nepal  - National Society for Earthquake Technology - Nepal (NSET) Nepal Gandaki Rural Municipality Ward 2 </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r>
            <a:rPr lang="en-US" sz="1100"/>
            <a:t>T1=Lack of Access to basic Services, 3:T1C</a:t>
          </a:r>
          <a:r>
            <a:rPr lang="en-US" sz="1100" baseline="0"/>
            <a:t> is Crop Damage</a:t>
          </a:r>
          <a:endParaRPr lang="en-US" sz="1100"/>
        </a:p>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40821</xdr:colOff>
      <xdr:row>6</xdr:row>
      <xdr:rowOff>50346</xdr:rowOff>
    </xdr:from>
    <xdr:to>
      <xdr:col>12</xdr:col>
      <xdr:colOff>326571</xdr:colOff>
      <xdr:row>16</xdr:row>
      <xdr:rowOff>126546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40821</xdr:colOff>
      <xdr:row>17</xdr:row>
      <xdr:rowOff>50346</xdr:rowOff>
    </xdr:from>
    <xdr:to>
      <xdr:col>12</xdr:col>
      <xdr:colOff>326571</xdr:colOff>
      <xdr:row>27</xdr:row>
      <xdr:rowOff>126546</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993.441851620373" createdVersion="5" refreshedVersion="5" minRefreshableVersion="3" recordCount="38">
  <cacheSource type="worksheet">
    <worksheetSource ref="A1:N39" sheet="CategorizedThreatsAnalysis" r:id="rId2"/>
  </cacheSource>
  <cacheFields count="14">
    <cacheField name="Threat" numFmtId="0">
      <sharedItems count="38">
        <s v="Alcoholism"/>
        <s v="Child Abuse and Exploitation"/>
        <s v="Climate Change"/>
        <s v="Conflict/Insecurity"/>
        <s v="Crop Damage"/>
        <s v="Deforestation"/>
        <s v="Disease/Epidemics"/>
        <s v="Drought"/>
        <s v="Drug Addiction"/>
        <s v="Early marriage"/>
        <s v="Earthquakes"/>
        <s v="Famine"/>
        <s v="Fire"/>
        <s v="Floods"/>
        <s v="Food Insecurity"/>
        <s v="Hail"/>
        <s v="Heavy Rainfall"/>
        <s v="High Cost of Living"/>
        <s v="Hurricanes"/>
        <s v="Illegal/Poor Construction"/>
        <s v="Lack of Access to Basic Services"/>
        <s v="Lack of Access to Water"/>
        <s v="Lack of Preparedness"/>
        <s v="Landslides"/>
        <s v="Migration"/>
        <s v="Pollution"/>
        <s v="Poverty"/>
        <s v="Reduction In Irrigation"/>
        <s v="River swelling"/>
        <s v="Road Accidents"/>
        <s v="Storms"/>
        <s v="Stray Animals"/>
        <s v="Temperature Rise"/>
        <s v="Tornado"/>
        <s v="Traffic Congestion"/>
        <s v="Unemployment"/>
        <s v="Violence"/>
        <s v="Wildlife Attacks"/>
      </sharedItems>
    </cacheField>
    <cacheField name="Category" numFmtId="0">
      <sharedItems count="6">
        <s v="Social"/>
        <s v="Natural"/>
        <s v="Environmental "/>
        <s v="Natural Common"/>
        <s v="Legal"/>
        <s v="Infrastructure"/>
      </sharedItems>
    </cacheField>
    <cacheField name="Women (Weighted Count)" numFmtId="0">
      <sharedItems containsSemiMixedTypes="0" containsString="0" containsNumber="1" containsInteger="1" minValue="0" maxValue="17"/>
    </cacheField>
    <cacheField name="WC_Elderly (Weighted Count)" numFmtId="0">
      <sharedItems containsSemiMixedTypes="0" containsString="0" containsNumber="1" containsInteger="1" minValue="0" maxValue="9"/>
    </cacheField>
    <cacheField name="WC_Children &amp; Youth (Weighted Count)" numFmtId="0">
      <sharedItems containsSemiMixedTypes="0" containsString="0" containsNumber="1" containsInteger="1" minValue="0" maxValue="11"/>
    </cacheField>
    <cacheField name="WC_Men (Weighted Count)" numFmtId="0">
      <sharedItems containsSemiMixedTypes="0" containsString="0" containsNumber="1" containsInteger="1" minValue="0" maxValue="21"/>
    </cacheField>
    <cacheField name="WC_Persons with disability (Weighted Count)" numFmtId="0">
      <sharedItems containsSemiMixedTypes="0" containsString="0" containsNumber="1" containsInteger="1" minValue="0" maxValue="7"/>
    </cacheField>
    <cacheField name="All (Weighted Count)" numFmtId="0">
      <sharedItems containsSemiMixedTypes="0" containsString="0" containsNumber="1" containsInteger="1" minValue="0" maxValue="60"/>
    </cacheField>
    <cacheField name="Women (Relative Percent)" numFmtId="9">
      <sharedItems containsSemiMixedTypes="0" containsString="0" containsNumber="1" minValue="0" maxValue="1"/>
    </cacheField>
    <cacheField name="WC_Elderly (Relative Percent)" numFmtId="9">
      <sharedItems containsSemiMixedTypes="0" containsString="0" containsNumber="1" minValue="0" maxValue="1"/>
    </cacheField>
    <cacheField name="WC_Children &amp; Youth (Relative Percent)" numFmtId="9">
      <sharedItems containsSemiMixedTypes="0" containsString="0" containsNumber="1" minValue="0" maxValue="1"/>
    </cacheField>
    <cacheField name="WC_Men (Relative Percent)" numFmtId="9">
      <sharedItems containsSemiMixedTypes="0" containsString="0" containsNumber="1" minValue="0" maxValue="1"/>
    </cacheField>
    <cacheField name="WC_Persons with disability (Relative Percent)" numFmtId="9">
      <sharedItems containsSemiMixedTypes="0" containsString="0" containsNumber="1" minValue="0" maxValue="1"/>
    </cacheField>
    <cacheField name="All (Relative Percent)"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034.426792361111" createdVersion="5" refreshedVersion="5" minRefreshableVersion="3" recordCount="51">
  <cacheSource type="worksheet">
    <worksheetSource name="tbl_data" r:id="rId2"/>
  </cacheSource>
  <cacheFields count="144">
    <cacheField name="Response ID" numFmtId="0">
      <sharedItems containsSemiMixedTypes="0" containsString="0" containsNumber="1" containsInteger="1" minValue="2109" maxValue="2973"/>
    </cacheField>
    <cacheField name="Edit Links" numFmtId="0">
      <sharedItems/>
    </cacheField>
    <cacheField name="Edit Link" numFmtId="0">
      <sharedItems/>
    </cacheField>
    <cacheField name="Name of the enumerator" numFmtId="0">
      <sharedItems/>
    </cacheField>
    <cacheField name="2. Partner Organization" numFmtId="0">
      <sharedItems/>
    </cacheField>
    <cacheField name="3. National Coordinating Organisation (NCO)" numFmtId="0">
      <sharedItems/>
    </cacheField>
    <cacheField name="4. Country" numFmtId="0">
      <sharedItems/>
    </cacheField>
    <cacheField name="5&amp;9.  Risk Area / Community" numFmtId="0">
      <sharedItems/>
    </cacheField>
    <cacheField name="6. Urban or Rural" numFmtId="0">
      <sharedItems/>
    </cacheField>
    <cacheField name="10. Survey Date - Please enter in format dd/mm/yyyy" numFmtId="0">
      <sharedItems containsDate="1" containsMixedTypes="1" minDate="2019-01-06T00:00:00" maxDate="2019-09-07T00:00:00"/>
    </cacheField>
    <cacheField name="11. Survey reference number" numFmtId="0">
      <sharedItems/>
    </cacheField>
    <cacheField name="12. Consultation Group of" numFmtId="0">
      <sharedItems count="5">
        <s v="Women"/>
        <s v="Elderly"/>
        <s v="Children &amp; Youth"/>
        <s v="Men"/>
        <s v="Persons with disability"/>
      </sharedItems>
    </cacheField>
    <cacheField name="13. Number of Participants in Group" numFmtId="0">
      <sharedItems containsSemiMixedTypes="0" containsString="0" containsNumber="1" containsInteger="1" minValue="6" maxValue="35"/>
    </cacheField>
    <cacheField name="14-17:14. Informant Age (how many participants per age group)" numFmtId="0">
      <sharedItems containsString="0" containsBlank="1" containsNumber="1" containsInteger="1" minValue="1" maxValue="10" count="9">
        <m/>
        <n v="3"/>
        <n v="1"/>
        <n v="4"/>
        <n v="5"/>
        <n v="2"/>
        <n v="7"/>
        <n v="10"/>
        <n v="8"/>
      </sharedItems>
    </cacheField>
    <cacheField name="18-24:14. Informant Age (how many participants per age group)" numFmtId="0">
      <sharedItems containsBlank="1" containsMixedTypes="1" containsNumber="1" containsInteger="1" minValue="1" maxValue="23" count="12">
        <m/>
        <n v="12"/>
        <n v="5"/>
        <n v="2"/>
        <n v="3"/>
        <n v="23"/>
        <n v="1"/>
        <n v="4"/>
        <n v="6"/>
        <n v="9"/>
        <n v="7"/>
        <s v="-"/>
      </sharedItems>
    </cacheField>
    <cacheField name="25-34:14. Informant Age (how many participants per age group)" numFmtId="0">
      <sharedItems containsBlank="1" containsMixedTypes="1" containsNumber="1" containsInteger="1" minValue="1" maxValue="20" count="13">
        <n v="1"/>
        <m/>
        <n v="9"/>
        <n v="5"/>
        <n v="2"/>
        <n v="6"/>
        <n v="3"/>
        <n v="4"/>
        <n v="20"/>
        <n v="10"/>
        <n v="7"/>
        <n v="11"/>
        <s v="-"/>
      </sharedItems>
    </cacheField>
    <cacheField name="35-44:14. Informant Age (how many participants per age group)" numFmtId="0">
      <sharedItems containsBlank="1" containsMixedTypes="1" containsNumber="1" containsInteger="1" minValue="1" maxValue="17" count="13">
        <n v="4"/>
        <m/>
        <n v="17"/>
        <n v="5"/>
        <n v="12"/>
        <n v="2"/>
        <n v="3"/>
        <n v="11"/>
        <n v="7"/>
        <n v="6"/>
        <n v="1"/>
        <s v="-"/>
        <n v="9"/>
      </sharedItems>
    </cacheField>
    <cacheField name="45-64:14. Informant Age (how many participants per age group)" numFmtId="0">
      <sharedItems containsBlank="1" containsMixedTypes="1" containsNumber="1" containsInteger="1" minValue="1" maxValue="23" count="13">
        <n v="9"/>
        <n v="23"/>
        <m/>
        <n v="5"/>
        <n v="7"/>
        <n v="6"/>
        <n v="11"/>
        <n v="1"/>
        <n v="3"/>
        <n v="4"/>
        <n v="2"/>
        <n v="8"/>
        <s v="-"/>
      </sharedItems>
    </cacheField>
    <cacheField name="65 plus:14. Informant Age (how many participants per age group)" numFmtId="0">
      <sharedItems containsBlank="1" containsMixedTypes="1" containsNumber="1" containsInteger="1" minValue="1" maxValue="24"/>
    </cacheField>
    <cacheField name="None:15. Previous VFL participation (by show of hands)" numFmtId="0">
      <sharedItems containsBlank="1"/>
    </cacheField>
    <cacheField name="VFL2009:15. Previous VFL participation (by show of hands)" numFmtId="0">
      <sharedItems containsNonDate="0" containsString="0" containsBlank="1"/>
    </cacheField>
    <cacheField name="VFL2011:15. Previous VFL participation (by show of hands)" numFmtId="0">
      <sharedItems containsNonDate="0" containsString="0" containsBlank="1"/>
    </cacheField>
    <cacheField name="VFL2013:15. Previous VFL participation (by show of hands)" numFmtId="0">
      <sharedItems containsBlank="1"/>
    </cacheField>
    <cacheField name="Frontline:15. Previous VFL participation (by show of hands)" numFmtId="0">
      <sharedItems containsNonDate="0" containsString="0" containsBlank="1"/>
    </cacheField>
    <cacheField name="16. Have there been any community-led interventions in your community to reduce disaster risks?" numFmtId="0">
      <sharedItems/>
    </cacheField>
    <cacheField name="T1" numFmtId="0">
      <sharedItems/>
    </cacheField>
    <cacheField name="1:T1C" numFmtId="0">
      <sharedItems containsBlank="1"/>
    </cacheField>
    <cacheField name="2:T1C" numFmtId="0">
      <sharedItems/>
    </cacheField>
    <cacheField name="3:T1C" numFmtId="0">
      <sharedItems containsBlank="1"/>
    </cacheField>
    <cacheField name="1:T1A" numFmtId="0">
      <sharedItems/>
    </cacheField>
    <cacheField name="2:T1A" numFmtId="0">
      <sharedItems containsBlank="1"/>
    </cacheField>
    <cacheField name="3:T1A" numFmtId="0">
      <sharedItems containsBlank="1"/>
    </cacheField>
    <cacheField name="1:T1B" numFmtId="0">
      <sharedItems containsBlank="1"/>
    </cacheField>
    <cacheField name="2:T1B" numFmtId="0">
      <sharedItems containsBlank="1"/>
    </cacheField>
    <cacheField name="3:T1B" numFmtId="0">
      <sharedItems containsBlank="1"/>
    </cacheField>
    <cacheField name="T2" numFmtId="0">
      <sharedItems containsBlank="1"/>
    </cacheField>
    <cacheField name="1:T2C" numFmtId="0">
      <sharedItems containsBlank="1"/>
    </cacheField>
    <cacheField name="2:T2C" numFmtId="0">
      <sharedItems containsBlank="1"/>
    </cacheField>
    <cacheField name="3:T2C" numFmtId="0">
      <sharedItems containsBlank="1"/>
    </cacheField>
    <cacheField name="1:T2A" numFmtId="0">
      <sharedItems containsBlank="1"/>
    </cacheField>
    <cacheField name="2:T2A" numFmtId="0">
      <sharedItems containsBlank="1"/>
    </cacheField>
    <cacheField name="3:T2A" numFmtId="0">
      <sharedItems containsBlank="1"/>
    </cacheField>
    <cacheField name="1:T2B" numFmtId="0">
      <sharedItems containsBlank="1"/>
    </cacheField>
    <cacheField name="2:T2B" numFmtId="0">
      <sharedItems containsBlank="1"/>
    </cacheField>
    <cacheField name="3:T2B" numFmtId="0">
      <sharedItems containsBlank="1"/>
    </cacheField>
    <cacheField name="T3" numFmtId="0">
      <sharedItems containsBlank="1"/>
    </cacheField>
    <cacheField name="1:T3C" numFmtId="0">
      <sharedItems containsBlank="1"/>
    </cacheField>
    <cacheField name="2:T3C" numFmtId="0">
      <sharedItems containsBlank="1"/>
    </cacheField>
    <cacheField name="3:T3C" numFmtId="0">
      <sharedItems containsBlank="1"/>
    </cacheField>
    <cacheField name="1:T3A" numFmtId="0">
      <sharedItems containsBlank="1"/>
    </cacheField>
    <cacheField name="2:T3A" numFmtId="0">
      <sharedItems containsBlank="1"/>
    </cacheField>
    <cacheField name="3:T3A" numFmtId="0">
      <sharedItems containsBlank="1"/>
    </cacheField>
    <cacheField name="1:T3B" numFmtId="0">
      <sharedItems containsBlank="1"/>
    </cacheField>
    <cacheField name="2:T3B" numFmtId="0">
      <sharedItems containsBlank="1"/>
    </cacheField>
    <cacheField name="3:T3B" numFmtId="0">
      <sharedItems containsBlank="1"/>
    </cacheField>
    <cacheField name="Decreased significantly:In this community, how have disaster losses (lives, assets, livelihoods etc) changed in the last 5-10 years?   " numFmtId="0">
      <sharedItems containsBlank="1" containsMixedTypes="1" containsNumber="1" containsInteger="1" minValue="1" maxValue="1"/>
    </cacheField>
    <cacheField name="Decreased a little:In this community, how have disaster losses (lives, assets, livelihoods etc) changed in the last 5-10 years?   " numFmtId="0">
      <sharedItems containsBlank="1" containsMixedTypes="1" containsNumber="1" containsInteger="1" minValue="2" maxValue="2"/>
    </cacheField>
    <cacheField name="Remained the same:In this community, how have disaster losses (lives, assets, livelihoods etc) changed in the last 5-10 years?   " numFmtId="0">
      <sharedItems containsBlank="1" containsMixedTypes="1" containsNumber="1" containsInteger="1" minValue="3" maxValue="3"/>
    </cacheField>
    <cacheField name="Increased a little:In this community, how have disaster losses (lives, assets, livelihoods etc) changed in the last 5-10 years?   " numFmtId="0">
      <sharedItems containsBlank="1" containsMixedTypes="1" containsNumber="1" containsInteger="1" minValue="4" maxValue="4"/>
    </cacheField>
    <cacheField name="Increased significantly:In this community, how have disaster losses (lives, assets, livelihoods etc) changed in the last 5-10 years?   " numFmtId="0">
      <sharedItems containsBlank="1" containsMixedTypes="1" containsNumber="1" containsInteger="1" minValue="5" maxValue="5"/>
    </cacheField>
    <cacheField name="1:Forecasting" numFmtId="0">
      <sharedItems containsBlank="1"/>
    </cacheField>
    <cacheField name="2:Forecasting" numFmtId="0">
      <sharedItems containsBlank="1"/>
    </cacheField>
    <cacheField name="3:Forecasting" numFmtId="0">
      <sharedItems containsBlank="1"/>
    </cacheField>
    <cacheField name="1:CC1" numFmtId="0">
      <sharedItems containsString="0" containsBlank="1" containsNumber="1" containsInteger="1" minValue="1" maxValue="34"/>
    </cacheField>
    <cacheField name="2:CC1" numFmtId="0">
      <sharedItems containsString="0" containsBlank="1" containsNumber="1" containsInteger="1" minValue="1" maxValue="22"/>
    </cacheField>
    <cacheField name="3:CC1" numFmtId="0">
      <sharedItems containsString="0" containsBlank="1" containsNumber="1" containsInteger="1" minValue="1" maxValue="17"/>
    </cacheField>
    <cacheField name="4:CC1" numFmtId="0">
      <sharedItems containsString="0" containsBlank="1" containsNumber="1" containsInteger="1" minValue="2" maxValue="21"/>
    </cacheField>
    <cacheField name="5:CC1" numFmtId="0">
      <sharedItems containsString="0" containsBlank="1" containsNumber="1" containsInteger="1" minValue="1" maxValue="22"/>
    </cacheField>
    <cacheField name="CC1: Comments" numFmtId="0">
      <sharedItems containsBlank="1"/>
    </cacheField>
    <cacheField name="1:CC2" numFmtId="0">
      <sharedItems containsString="0" containsBlank="1" containsNumber="1" containsInteger="1" minValue="1" maxValue="34"/>
    </cacheField>
    <cacheField name="2:CC2" numFmtId="0">
      <sharedItems containsString="0" containsBlank="1" containsNumber="1" containsInteger="1" minValue="1" maxValue="18"/>
    </cacheField>
    <cacheField name="3:CC2" numFmtId="0">
      <sharedItems containsString="0" containsBlank="1" containsNumber="1" containsInteger="1" minValue="1" maxValue="9"/>
    </cacheField>
    <cacheField name="4:CC2" numFmtId="0">
      <sharedItems containsString="0" containsBlank="1" containsNumber="1" containsInteger="1" minValue="1" maxValue="11"/>
    </cacheField>
    <cacheField name="5:CC2" numFmtId="0">
      <sharedItems containsString="0" containsBlank="1" containsNumber="1" containsInteger="1" minValue="1" maxValue="13"/>
    </cacheField>
    <cacheField name="CC2: Comments" numFmtId="0">
      <sharedItems containsBlank="1"/>
    </cacheField>
    <cacheField name="1:CC3" numFmtId="0">
      <sharedItems containsString="0" containsBlank="1" containsNumber="1" containsInteger="1" minValue="1" maxValue="34"/>
    </cacheField>
    <cacheField name="2:CC3" numFmtId="0">
      <sharedItems containsString="0" containsBlank="1" containsNumber="1" containsInteger="1" minValue="1" maxValue="15"/>
    </cacheField>
    <cacheField name="3:CC3" numFmtId="0">
      <sharedItems containsString="0" containsBlank="1" containsNumber="1" containsInteger="1" minValue="2" maxValue="13"/>
    </cacheField>
    <cacheField name="4:CC3" numFmtId="0">
      <sharedItems containsString="0" containsBlank="1" containsNumber="1" containsInteger="1" minValue="1" maxValue="18"/>
    </cacheField>
    <cacheField name="5:CC3" numFmtId="0">
      <sharedItems containsString="0" containsBlank="1" containsNumber="1" containsInteger="1" minValue="1" maxValue="6"/>
    </cacheField>
    <cacheField name="CC3: Comments" numFmtId="0">
      <sharedItems containsNonDate="0" containsString="0" containsBlank="1"/>
    </cacheField>
    <cacheField name="1:CC4" numFmtId="0">
      <sharedItems containsString="0" containsBlank="1" containsNumber="1" containsInteger="1" minValue="1" maxValue="34"/>
    </cacheField>
    <cacheField name="2:CC4" numFmtId="0">
      <sharedItems containsString="0" containsBlank="1" containsNumber="1" containsInteger="1" minValue="1" maxValue="18"/>
    </cacheField>
    <cacheField name="3:CC4" numFmtId="0">
      <sharedItems containsString="0" containsBlank="1" containsNumber="1" containsInteger="1" minValue="1" maxValue="11"/>
    </cacheField>
    <cacheField name="4:CC4" numFmtId="0">
      <sharedItems containsString="0" containsBlank="1" containsNumber="1" containsInteger="1" minValue="1" maxValue="18"/>
    </cacheField>
    <cacheField name="5:CC4" numFmtId="0">
      <sharedItems containsString="0" containsBlank="1" containsNumber="1" containsInteger="1" minValue="1" maxValue="15"/>
    </cacheField>
    <cacheField name="CC4: Comments" numFmtId="0">
      <sharedItems containsBlank="1"/>
    </cacheField>
    <cacheField name="1:CC5" numFmtId="0">
      <sharedItems containsString="0" containsBlank="1" containsNumber="1" containsInteger="1" minValue="1" maxValue="30"/>
    </cacheField>
    <cacheField name="2:CC5" numFmtId="0">
      <sharedItems containsString="0" containsBlank="1" containsNumber="1" containsInteger="1" minValue="1" maxValue="15"/>
    </cacheField>
    <cacheField name="3:CC5" numFmtId="0">
      <sharedItems containsString="0" containsBlank="1" containsNumber="1" containsInteger="1" minValue="1" maxValue="10"/>
    </cacheField>
    <cacheField name="4:CC5" numFmtId="0">
      <sharedItems containsString="0" containsBlank="1" containsNumber="1" containsInteger="1" minValue="1" maxValue="13"/>
    </cacheField>
    <cacheField name="5:CC5" numFmtId="0">
      <sharedItems containsString="0" containsBlank="1" containsNumber="1" containsInteger="1" minValue="1" maxValue="11"/>
    </cacheField>
    <cacheField name="CC5: Comments" numFmtId="0">
      <sharedItems containsBlank="1"/>
    </cacheField>
    <cacheField name="1:CC6" numFmtId="0">
      <sharedItems containsString="0" containsBlank="1" containsNumber="1" containsInteger="1" minValue="1" maxValue="30"/>
    </cacheField>
    <cacheField name="2:CC6" numFmtId="0">
      <sharedItems containsString="0" containsBlank="1" containsNumber="1" containsInteger="1" minValue="2" maxValue="12"/>
    </cacheField>
    <cacheField name="3:CC6" numFmtId="0">
      <sharedItems containsString="0" containsBlank="1" containsNumber="1" containsInteger="1" minValue="1" maxValue="23"/>
    </cacheField>
    <cacheField name="4:CC6" numFmtId="0">
      <sharedItems containsString="0" containsBlank="1" containsNumber="1" containsInteger="1" minValue="1" maxValue="18"/>
    </cacheField>
    <cacheField name="5:CC6" numFmtId="0">
      <sharedItems containsString="0" containsBlank="1" containsNumber="1" containsInteger="1" minValue="1" maxValue="20"/>
    </cacheField>
    <cacheField name="CC6: Comments" numFmtId="0">
      <sharedItems containsBlank="1"/>
    </cacheField>
    <cacheField name="1:CC7" numFmtId="0">
      <sharedItems containsString="0" containsBlank="1" containsNumber="1" containsInteger="1" minValue="1" maxValue="28"/>
    </cacheField>
    <cacheField name="2:CC7" numFmtId="0">
      <sharedItems containsString="0" containsBlank="1" containsNumber="1" containsInteger="1" minValue="1" maxValue="23"/>
    </cacheField>
    <cacheField name="3:CC7" numFmtId="0">
      <sharedItems containsString="0" containsBlank="1" containsNumber="1" containsInteger="1" minValue="1" maxValue="22"/>
    </cacheField>
    <cacheField name="4:CC7" numFmtId="0">
      <sharedItems containsString="0" containsBlank="1" containsNumber="1" containsInteger="1" minValue="1" maxValue="10"/>
    </cacheField>
    <cacheField name="5:CC7" numFmtId="0">
      <sharedItems containsString="0" containsBlank="1" containsNumber="1" containsInteger="1" minValue="1" maxValue="20"/>
    </cacheField>
    <cacheField name="CC7: Comments" numFmtId="0">
      <sharedItems containsBlank="1"/>
    </cacheField>
    <cacheField name="Factors preventing your inclusion:1:CC8" numFmtId="0">
      <sharedItems/>
    </cacheField>
    <cacheField name="Factors facilitating your inclusion:1:CC8" numFmtId="0">
      <sharedItems/>
    </cacheField>
    <cacheField name="Factors preventing your inclusion:2:CC8" numFmtId="0">
      <sharedItems/>
    </cacheField>
    <cacheField name="Factors facilitating your inclusion:2:CC8" numFmtId="0">
      <sharedItems/>
    </cacheField>
    <cacheField name="Factors preventing your inclusion:3:CC8" numFmtId="0">
      <sharedItems/>
    </cacheField>
    <cacheField name="Factors facilitating your inclusion:3:CC8" numFmtId="0">
      <sharedItems containsBlank="1"/>
    </cacheField>
    <cacheField name="1:CC9" numFmtId="0">
      <sharedItems containsString="0" containsBlank="1" containsNumber="1" containsInteger="1" minValue="1" maxValue="21"/>
    </cacheField>
    <cacheField name="2:CC9" numFmtId="0">
      <sharedItems containsString="0" containsBlank="1" containsNumber="1" containsInteger="1" minValue="2" maxValue="21"/>
    </cacheField>
    <cacheField name="3:CC9" numFmtId="0">
      <sharedItems containsString="0" containsBlank="1" containsNumber="1" containsInteger="1" minValue="1" maxValue="15"/>
    </cacheField>
    <cacheField name="4:CC9" numFmtId="0">
      <sharedItems containsString="0" containsBlank="1" containsNumber="1" containsInteger="1" minValue="1" maxValue="20"/>
    </cacheField>
    <cacheField name="5:CC9" numFmtId="0">
      <sharedItems containsString="0" containsBlank="1" containsNumber="1" containsInteger="1" minValue="1" maxValue="29"/>
    </cacheField>
    <cacheField name="CC9: Comments" numFmtId="0">
      <sharedItems containsNonDate="0" containsString="0" containsBlank="1"/>
    </cacheField>
    <cacheField name="1:CC10" numFmtId="0">
      <sharedItems containsString="0" containsBlank="1" containsNumber="1" containsInteger="1" minValue="1" maxValue="29"/>
    </cacheField>
    <cacheField name="2:CC10" numFmtId="0">
      <sharedItems containsString="0" containsBlank="1" containsNumber="1" containsInteger="1" minValue="2" maxValue="17"/>
    </cacheField>
    <cacheField name="3:CC10" numFmtId="0">
      <sharedItems containsString="0" containsBlank="1" containsNumber="1" containsInteger="1" minValue="1" maxValue="16"/>
    </cacheField>
    <cacheField name="4:CC10" numFmtId="0">
      <sharedItems containsString="0" containsBlank="1" containsNumber="1" containsInteger="1" minValue="1" maxValue="9"/>
    </cacheField>
    <cacheField name="5:CC10" numFmtId="0">
      <sharedItems containsString="0" containsBlank="1" containsNumber="1" containsInteger="1" minValue="2" maxValue="15"/>
    </cacheField>
    <cacheField name="CC10: Comments" numFmtId="0">
      <sharedItems containsNonDate="0" containsString="0" containsBlank="1"/>
    </cacheField>
    <cacheField name="1:CC11" numFmtId="0">
      <sharedItems containsString="0" containsBlank="1" containsNumber="1" containsInteger="1" minValue="1" maxValue="34"/>
    </cacheField>
    <cacheField name="2:CC11" numFmtId="0">
      <sharedItems containsString="0" containsBlank="1" containsNumber="1" containsInteger="1" minValue="1" maxValue="18"/>
    </cacheField>
    <cacheField name="3:CC11" numFmtId="0">
      <sharedItems containsString="0" containsBlank="1" containsNumber="1" containsInteger="1" minValue="1" maxValue="8"/>
    </cacheField>
    <cacheField name="4:CC11" numFmtId="0">
      <sharedItems containsString="0" containsBlank="1" containsNumber="1" containsInteger="1" minValue="1" maxValue="15"/>
    </cacheField>
    <cacheField name="5:CC11" numFmtId="0">
      <sharedItems containsString="0" containsBlank="1" containsNumber="1" containsInteger="1" minValue="1" maxValue="4"/>
    </cacheField>
    <cacheField name="CC11: Comments" numFmtId="0">
      <sharedItems containsNonDate="0" containsString="0" containsBlank="1"/>
    </cacheField>
    <cacheField name="1:CC12" numFmtId="0">
      <sharedItems containsString="0" containsBlank="1" containsNumber="1" containsInteger="1" minValue="1" maxValue="34"/>
    </cacheField>
    <cacheField name="2:CC12" numFmtId="0">
      <sharedItems containsString="0" containsBlank="1" containsNumber="1" containsInteger="1" minValue="1" maxValue="10"/>
    </cacheField>
    <cacheField name="3:CC12" numFmtId="0">
      <sharedItems containsString="0" containsBlank="1" containsNumber="1" containsInteger="1" minValue="1" maxValue="12"/>
    </cacheField>
    <cacheField name="4:CC12" numFmtId="0">
      <sharedItems containsString="0" containsBlank="1" containsNumber="1" containsInteger="1" minValue="2" maxValue="11"/>
    </cacheField>
    <cacheField name="5:CC12" numFmtId="0">
      <sharedItems containsString="0" containsBlank="1" containsNumber="1" containsInteger="1" minValue="1" maxValue="29"/>
    </cacheField>
    <cacheField name="CC12: Comments" numFmtId="0">
      <sharedItems containsNonDate="0" containsString="0" containsBlank="1"/>
    </cacheField>
    <cacheField name="1:CC13" numFmtId="0">
      <sharedItems containsString="0" containsBlank="1" containsNumber="1" containsInteger="1" minValue="1" maxValue="32"/>
    </cacheField>
    <cacheField name="2:CC13" numFmtId="0">
      <sharedItems containsString="0" containsBlank="1" containsNumber="1" containsInteger="1" minValue="2" maxValue="18"/>
    </cacheField>
    <cacheField name="3:CC13" numFmtId="0">
      <sharedItems containsString="0" containsBlank="1" containsNumber="1" containsInteger="1" minValue="1" maxValue="16"/>
    </cacheField>
    <cacheField name="4:CC13" numFmtId="0">
      <sharedItems containsString="0" containsBlank="1" containsNumber="1" containsInteger="1" minValue="1" maxValue="19"/>
    </cacheField>
    <cacheField name="5:CC13" numFmtId="0">
      <sharedItems containsString="0" containsBlank="1" containsNumber="1" containsInteger="1" minValue="1" maxValue="22"/>
    </cacheField>
    <cacheField name="CC13: Comments" numFmtId="0">
      <sharedItems containsNonDate="0" containsString="0" containsBlank="1"/>
    </cacheField>
    <cacheField name="ComboRef" numFmtId="0">
      <sharedItems/>
    </cacheField>
    <cacheField name="Deletions" numFmtId="0">
      <sharedItems containsNonDate="0" containsString="0" containsBlank="1"/>
    </cacheField>
    <cacheField name="Focus Grou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x v="0"/>
    <n v="2"/>
    <n v="4"/>
    <n v="0"/>
    <n v="5"/>
    <n v="0"/>
    <n v="11"/>
    <n v="0.11764705882352941"/>
    <n v="0.44444444444444442"/>
    <n v="0"/>
    <n v="0.23809523809523808"/>
    <n v="0"/>
    <n v="0.18333333333333332"/>
  </r>
  <r>
    <x v="1"/>
    <x v="0"/>
    <n v="0"/>
    <n v="0"/>
    <n v="0"/>
    <n v="1"/>
    <n v="0"/>
    <n v="1"/>
    <n v="0"/>
    <n v="0"/>
    <n v="0"/>
    <n v="4.7619047619047616E-2"/>
    <n v="0"/>
    <n v="1.6666666666666666E-2"/>
  </r>
  <r>
    <x v="2"/>
    <x v="1"/>
    <n v="1"/>
    <n v="0"/>
    <n v="0"/>
    <n v="0"/>
    <n v="0"/>
    <n v="1"/>
    <n v="5.8823529411764705E-2"/>
    <n v="0"/>
    <n v="0"/>
    <n v="0"/>
    <n v="0"/>
    <n v="1.6666666666666666E-2"/>
  </r>
  <r>
    <x v="3"/>
    <x v="0"/>
    <n v="0"/>
    <n v="0"/>
    <n v="0"/>
    <n v="0"/>
    <n v="1"/>
    <n v="1"/>
    <n v="0"/>
    <n v="0"/>
    <n v="0"/>
    <n v="0"/>
    <n v="0.14285714285714285"/>
    <n v="1.6666666666666666E-2"/>
  </r>
  <r>
    <x v="4"/>
    <x v="2"/>
    <n v="0"/>
    <n v="3"/>
    <n v="0"/>
    <n v="0"/>
    <n v="0"/>
    <n v="3"/>
    <n v="0"/>
    <n v="0.33333333333333331"/>
    <n v="0"/>
    <n v="0"/>
    <n v="0"/>
    <n v="0.05"/>
  </r>
  <r>
    <x v="5"/>
    <x v="2"/>
    <n v="2"/>
    <n v="1"/>
    <n v="0"/>
    <n v="0"/>
    <n v="0"/>
    <n v="3"/>
    <n v="0.11764705882352941"/>
    <n v="0.1111111111111111"/>
    <n v="0"/>
    <n v="0"/>
    <n v="0"/>
    <n v="0.05"/>
  </r>
  <r>
    <x v="6"/>
    <x v="2"/>
    <n v="7"/>
    <n v="0"/>
    <n v="2"/>
    <n v="3"/>
    <n v="3"/>
    <n v="15"/>
    <n v="0.41176470588235292"/>
    <n v="0"/>
    <n v="0.18181818181818182"/>
    <n v="0.14285714285714285"/>
    <n v="0.42857142857142855"/>
    <n v="0.25"/>
  </r>
  <r>
    <x v="7"/>
    <x v="2"/>
    <n v="3"/>
    <n v="4"/>
    <n v="2"/>
    <n v="4"/>
    <n v="0"/>
    <n v="13"/>
    <n v="0.17647058823529413"/>
    <n v="0.44444444444444442"/>
    <n v="0.18181818181818182"/>
    <n v="0.19047619047619047"/>
    <n v="0"/>
    <n v="0.21666666666666667"/>
  </r>
  <r>
    <x v="8"/>
    <x v="0"/>
    <n v="0"/>
    <n v="0"/>
    <n v="3"/>
    <n v="0"/>
    <n v="0"/>
    <n v="3"/>
    <n v="0"/>
    <n v="0"/>
    <n v="0.27272727272727271"/>
    <n v="0"/>
    <n v="0"/>
    <n v="0.05"/>
  </r>
  <r>
    <x v="9"/>
    <x v="0"/>
    <n v="1"/>
    <n v="0"/>
    <n v="0"/>
    <n v="0"/>
    <n v="0"/>
    <n v="1"/>
    <n v="5.8823529411764705E-2"/>
    <n v="0"/>
    <n v="0"/>
    <n v="0"/>
    <n v="0"/>
    <n v="1.6666666666666666E-2"/>
  </r>
  <r>
    <x v="10"/>
    <x v="3"/>
    <n v="2"/>
    <n v="7"/>
    <n v="7"/>
    <n v="10"/>
    <n v="2"/>
    <n v="28"/>
    <n v="0.11764705882352941"/>
    <n v="0.77777777777777779"/>
    <n v="0.63636363636363635"/>
    <n v="0.47619047619047616"/>
    <n v="0.2857142857142857"/>
    <n v="0.46666666666666667"/>
  </r>
  <r>
    <x v="11"/>
    <x v="2"/>
    <n v="0"/>
    <n v="0"/>
    <n v="0"/>
    <n v="0"/>
    <n v="0"/>
    <n v="0"/>
    <n v="0"/>
    <n v="0"/>
    <n v="0"/>
    <n v="0"/>
    <n v="0"/>
    <n v="0"/>
  </r>
  <r>
    <x v="12"/>
    <x v="3"/>
    <n v="4"/>
    <n v="5"/>
    <n v="5"/>
    <n v="10"/>
    <n v="0"/>
    <n v="24"/>
    <n v="0.23529411764705882"/>
    <n v="0.55555555555555558"/>
    <n v="0.45454545454545453"/>
    <n v="0.47619047619047616"/>
    <n v="0"/>
    <n v="0.4"/>
  </r>
  <r>
    <x v="13"/>
    <x v="3"/>
    <n v="14"/>
    <n v="9"/>
    <n v="11"/>
    <n v="21"/>
    <n v="5"/>
    <n v="60"/>
    <n v="0.82352941176470584"/>
    <n v="1"/>
    <n v="1"/>
    <n v="1"/>
    <n v="0.7142857142857143"/>
    <n v="1"/>
  </r>
  <r>
    <x v="14"/>
    <x v="0"/>
    <n v="2"/>
    <n v="0"/>
    <n v="0"/>
    <n v="0"/>
    <n v="0"/>
    <n v="2"/>
    <n v="0.11764705882352941"/>
    <n v="0"/>
    <n v="0"/>
    <n v="0"/>
    <n v="0"/>
    <n v="3.3333333333333333E-2"/>
  </r>
  <r>
    <x v="15"/>
    <x v="1"/>
    <n v="0"/>
    <n v="1"/>
    <n v="1"/>
    <n v="0"/>
    <n v="0"/>
    <n v="2"/>
    <n v="0"/>
    <n v="0.1111111111111111"/>
    <n v="9.0909090909090912E-2"/>
    <n v="0"/>
    <n v="0"/>
    <n v="3.3333333333333333E-2"/>
  </r>
  <r>
    <x v="16"/>
    <x v="3"/>
    <n v="0"/>
    <n v="0"/>
    <n v="0"/>
    <n v="1"/>
    <n v="0"/>
    <n v="1"/>
    <n v="0"/>
    <n v="0"/>
    <n v="0"/>
    <n v="4.7619047619047616E-2"/>
    <n v="0"/>
    <n v="1.6666666666666666E-2"/>
  </r>
  <r>
    <x v="17"/>
    <x v="0"/>
    <n v="0"/>
    <n v="0"/>
    <n v="2"/>
    <n v="3"/>
    <n v="0"/>
    <n v="5"/>
    <n v="0"/>
    <n v="0"/>
    <n v="0.18181818181818182"/>
    <n v="0.14285714285714285"/>
    <n v="0"/>
    <n v="8.3333333333333329E-2"/>
  </r>
  <r>
    <x v="18"/>
    <x v="1"/>
    <n v="0"/>
    <n v="3"/>
    <n v="0"/>
    <n v="0"/>
    <n v="0"/>
    <n v="3"/>
    <n v="0"/>
    <n v="0.33333333333333331"/>
    <n v="0"/>
    <n v="0"/>
    <n v="0"/>
    <n v="0.05"/>
  </r>
  <r>
    <x v="19"/>
    <x v="4"/>
    <n v="0"/>
    <n v="0"/>
    <n v="1"/>
    <n v="0"/>
    <n v="0"/>
    <n v="1"/>
    <n v="0"/>
    <n v="0"/>
    <n v="9.0909090909090912E-2"/>
    <n v="0"/>
    <n v="0"/>
    <n v="1.6666666666666666E-2"/>
  </r>
  <r>
    <x v="20"/>
    <x v="5"/>
    <n v="2"/>
    <n v="0"/>
    <n v="2"/>
    <n v="0"/>
    <n v="7"/>
    <n v="11"/>
    <n v="0.11764705882352941"/>
    <n v="0"/>
    <n v="0.18181818181818182"/>
    <n v="0"/>
    <n v="1"/>
    <n v="0.18333333333333332"/>
  </r>
  <r>
    <x v="21"/>
    <x v="5"/>
    <n v="17"/>
    <n v="5"/>
    <n v="4"/>
    <n v="5"/>
    <n v="4"/>
    <n v="35"/>
    <n v="1"/>
    <n v="0.55555555555555558"/>
    <n v="0.36363636363636365"/>
    <n v="0.23809523809523808"/>
    <n v="0.5714285714285714"/>
    <n v="0.58333333333333337"/>
  </r>
  <r>
    <x v="22"/>
    <x v="4"/>
    <n v="0"/>
    <n v="0"/>
    <n v="0"/>
    <n v="1"/>
    <n v="0"/>
    <n v="1"/>
    <n v="0"/>
    <n v="0"/>
    <n v="0"/>
    <n v="4.7619047619047616E-2"/>
    <n v="0"/>
    <n v="1.6666666666666666E-2"/>
  </r>
  <r>
    <x v="23"/>
    <x v="3"/>
    <n v="6"/>
    <n v="1"/>
    <n v="2"/>
    <n v="2"/>
    <n v="0"/>
    <n v="11"/>
    <n v="0.35294117647058826"/>
    <n v="0.1111111111111111"/>
    <n v="0.18181818181818182"/>
    <n v="9.5238095238095233E-2"/>
    <n v="0"/>
    <n v="0.18333333333333332"/>
  </r>
  <r>
    <x v="24"/>
    <x v="0"/>
    <n v="3"/>
    <n v="0"/>
    <n v="0"/>
    <n v="0"/>
    <n v="0"/>
    <n v="3"/>
    <n v="0.17647058823529413"/>
    <n v="0"/>
    <n v="0"/>
    <n v="0"/>
    <n v="0"/>
    <n v="0.05"/>
  </r>
  <r>
    <x v="25"/>
    <x v="2"/>
    <n v="1"/>
    <n v="0"/>
    <n v="0"/>
    <n v="0"/>
    <n v="0"/>
    <n v="1"/>
    <n v="5.8823529411764705E-2"/>
    <n v="0"/>
    <n v="0"/>
    <n v="0"/>
    <n v="0"/>
    <n v="1.6666666666666666E-2"/>
  </r>
  <r>
    <x v="26"/>
    <x v="0"/>
    <n v="0"/>
    <n v="0"/>
    <n v="6"/>
    <n v="3"/>
    <n v="0"/>
    <n v="9"/>
    <n v="0"/>
    <n v="0"/>
    <n v="0.54545454545454541"/>
    <n v="0.14285714285714285"/>
    <n v="0"/>
    <n v="0.15"/>
  </r>
  <r>
    <x v="27"/>
    <x v="5"/>
    <n v="0"/>
    <n v="0"/>
    <n v="0"/>
    <n v="0"/>
    <n v="2"/>
    <n v="2"/>
    <n v="0"/>
    <n v="0"/>
    <n v="0"/>
    <n v="0"/>
    <n v="0.2857142857142857"/>
    <n v="3.3333333333333333E-2"/>
  </r>
  <r>
    <x v="28"/>
    <x v="3"/>
    <n v="2"/>
    <n v="0"/>
    <n v="0"/>
    <n v="0"/>
    <n v="0"/>
    <n v="2"/>
    <n v="0.11764705882352941"/>
    <n v="0"/>
    <n v="0"/>
    <n v="0"/>
    <n v="0"/>
    <n v="3.3333333333333333E-2"/>
  </r>
  <r>
    <x v="29"/>
    <x v="4"/>
    <n v="5"/>
    <n v="2"/>
    <n v="2"/>
    <n v="6"/>
    <n v="1"/>
    <n v="16"/>
    <n v="0.29411764705882354"/>
    <n v="0.22222222222222221"/>
    <n v="0.18181818181818182"/>
    <n v="0.2857142857142857"/>
    <n v="0.14285714285714285"/>
    <n v="0.26666666666666666"/>
  </r>
  <r>
    <x v="30"/>
    <x v="1"/>
    <n v="6"/>
    <n v="4"/>
    <n v="0"/>
    <n v="6"/>
    <n v="0"/>
    <n v="16"/>
    <n v="0.35294117647058826"/>
    <n v="0.44444444444444442"/>
    <n v="0"/>
    <n v="0.2857142857142857"/>
    <n v="0"/>
    <n v="0.26666666666666666"/>
  </r>
  <r>
    <x v="31"/>
    <x v="4"/>
    <n v="1"/>
    <n v="0"/>
    <n v="0"/>
    <n v="0"/>
    <n v="0"/>
    <n v="1"/>
    <n v="5.8823529411764705E-2"/>
    <n v="0"/>
    <n v="0"/>
    <n v="0"/>
    <n v="0"/>
    <n v="1.6666666666666666E-2"/>
  </r>
  <r>
    <x v="32"/>
    <x v="1"/>
    <n v="0"/>
    <n v="0"/>
    <n v="0"/>
    <n v="0"/>
    <n v="1"/>
    <n v="1"/>
    <n v="0"/>
    <n v="0"/>
    <n v="0"/>
    <n v="0"/>
    <n v="0.14285714285714285"/>
    <n v="1.6666666666666666E-2"/>
  </r>
  <r>
    <x v="33"/>
    <x v="1"/>
    <n v="1"/>
    <n v="0"/>
    <n v="0"/>
    <n v="0"/>
    <n v="0"/>
    <n v="1"/>
    <n v="5.8823529411764705E-2"/>
    <n v="0"/>
    <n v="0"/>
    <n v="0"/>
    <n v="0"/>
    <n v="1.6666666666666666E-2"/>
  </r>
  <r>
    <x v="34"/>
    <x v="4"/>
    <n v="2"/>
    <n v="0"/>
    <n v="0"/>
    <n v="2"/>
    <n v="0"/>
    <n v="4"/>
    <n v="0.11764705882352941"/>
    <n v="0"/>
    <n v="0"/>
    <n v="9.5238095238095233E-2"/>
    <n v="0"/>
    <n v="6.6666666666666666E-2"/>
  </r>
  <r>
    <x v="35"/>
    <x v="0"/>
    <n v="1"/>
    <n v="1"/>
    <n v="3"/>
    <n v="3"/>
    <n v="3"/>
    <n v="11"/>
    <n v="5.8823529411764705E-2"/>
    <n v="0.1111111111111111"/>
    <n v="0.27272727272727271"/>
    <n v="0.14285714285714285"/>
    <n v="0.42857142857142855"/>
    <n v="0.18333333333333332"/>
  </r>
  <r>
    <x v="36"/>
    <x v="0"/>
    <n v="2"/>
    <n v="0"/>
    <n v="1"/>
    <n v="0"/>
    <n v="3"/>
    <n v="6"/>
    <n v="0.11764705882352941"/>
    <n v="0"/>
    <n v="9.0909090909090912E-2"/>
    <n v="0"/>
    <n v="0.42857142857142855"/>
    <n v="0.1"/>
  </r>
  <r>
    <x v="37"/>
    <x v="2"/>
    <n v="5"/>
    <n v="3"/>
    <n v="0"/>
    <n v="6"/>
    <n v="2"/>
    <n v="16"/>
    <n v="0.29411764705882354"/>
    <n v="0.33333333333333331"/>
    <n v="0"/>
    <n v="0.2857142857142857"/>
    <n v="0.2857142857142857"/>
    <n v="0.26666666666666666"/>
  </r>
</pivotCacheRecords>
</file>

<file path=xl/pivotCache/pivotCacheRecords2.xml><?xml version="1.0" encoding="utf-8"?>
<pivotCacheRecords xmlns="http://schemas.openxmlformats.org/spreadsheetml/2006/main" xmlns:r="http://schemas.openxmlformats.org/officeDocument/2006/relationships" count="51">
  <r>
    <n v="2109"/>
    <s v="http://www.surveygizmo.com/s3/survey/4563835/2VK5FPR097J3PKVT37FH6KSA5OTKEK?snc=1560140503_5cfddad7556590.13874389&amp;sg_navigate=start&amp;_iseditlink=true"/>
    <s v="EDIT"/>
    <s v="Amrit Bahadur Ghote"/>
    <s v="FIRDO"/>
    <s v="Nepal  - National Society for Earthquake Technology - Nepal (NSET)"/>
    <s v="Nepal"/>
    <s v="Vyas Municipality Ward 1"/>
    <s v="Urban"/>
    <s v="04/15/2019"/>
    <s v="Nepal-FIRDO-CC-Vyas Ward 1 -  1"/>
    <x v="0"/>
    <n v="21"/>
    <x v="0"/>
    <x v="0"/>
    <x v="0"/>
    <x v="0"/>
    <x v="0"/>
    <n v="7"/>
    <m/>
    <m/>
    <m/>
    <m/>
    <m/>
    <s v="Yes"/>
    <s v="Lack of Access to Water"/>
    <s v="Loss of Clean Water Sources"/>
    <s v="Displacement"/>
    <s v="Loss of Values"/>
    <s v="Stock Piling"/>
    <s v="Reconstruction"/>
    <s v="Dam/Dyke Building"/>
    <s v="Economic Policies"/>
    <s v="Lack Of Awareness And Education"/>
    <s v="Economic Policies"/>
    <s v="Traffic Congestion"/>
    <s v="Building Destruction"/>
    <s v="Environmental effects"/>
    <s v="Commercial Loss"/>
    <s v="Resilience Building"/>
    <s v="Awareness Raising  Education and Training"/>
    <s v="Reconstruction"/>
    <s v="Economic Policies"/>
    <s v="Lack Of Policies"/>
    <s v="Economic Policies"/>
    <s v="Violence"/>
    <s v="Loss of Values"/>
    <s v="Conflict"/>
    <s v="Economic and Livelihood Loss"/>
    <s v="Coordination and Inter Institutional Partnerships with NGOs and Other Actors"/>
    <s v="Awareness Raising  Education and Training"/>
    <s v="Shelter Construction"/>
    <s v="Lack Of Policies"/>
    <s v="Economic Policies"/>
    <s v="Conflict"/>
    <m/>
    <m/>
    <m/>
    <m/>
    <m/>
    <s v="Violence"/>
    <s v="Wildlife Attacks"/>
    <s v="Road Accidents"/>
    <m/>
    <m/>
    <m/>
    <n v="21"/>
    <m/>
    <m/>
    <n v="2"/>
    <n v="1"/>
    <n v="7"/>
    <n v="1"/>
    <m/>
    <m/>
    <m/>
    <n v="11"/>
    <n v="10"/>
    <m/>
    <m/>
    <m/>
    <n v="21"/>
    <m/>
    <m/>
    <m/>
    <m/>
    <m/>
    <n v="3"/>
    <n v="6"/>
    <n v="1"/>
    <m/>
    <n v="11"/>
    <m/>
    <m/>
    <m/>
    <n v="1"/>
    <m/>
    <n v="20"/>
    <m/>
    <n v="1"/>
    <m/>
    <m/>
    <m/>
    <n v="20"/>
    <m/>
    <s v="Alcoholism"/>
    <s v="Information"/>
    <s v="Uneducated "/>
    <s v="educated"/>
    <s v="Lack of notice"/>
    <s v="Notice for all"/>
    <m/>
    <n v="21"/>
    <m/>
    <m/>
    <m/>
    <m/>
    <m/>
    <n v="15"/>
    <n v="5"/>
    <n v="1"/>
    <m/>
    <m/>
    <n v="20"/>
    <n v="11"/>
    <m/>
    <m/>
    <m/>
    <m/>
    <m/>
    <n v="9"/>
    <n v="12"/>
    <m/>
    <m/>
    <m/>
    <m/>
    <m/>
    <n v="12"/>
    <n v="9"/>
    <m/>
    <m/>
    <s v="CC2109"/>
    <m/>
    <s v="Community Consultation"/>
  </r>
  <r>
    <n v="2538"/>
    <s v="http://www.surveygizmo.com/s3/survey/4563835/2VK5FPR097J3PKVT37FH6KSA5OTKEK?snc=1561619707_5d146cfb8ee510.48150907&amp;sg_navigate=start&amp;_iseditlink=true"/>
    <s v="EDIT"/>
    <s v="Bimala Maharjan"/>
    <s v="FSCN"/>
    <s v="Nepal  - National Society for Earthquake Technology - Nepal (NSET)"/>
    <s v="Nepal"/>
    <s v="Chandragiri Municipality Ward 3"/>
    <s v="Urban"/>
    <s v="05/29/2019"/>
    <s v="Nepal-FSCN-CC-Chandragiri-1"/>
    <x v="1"/>
    <n v="34"/>
    <x v="0"/>
    <x v="0"/>
    <x v="1"/>
    <x v="1"/>
    <x v="1"/>
    <n v="11"/>
    <s v="-"/>
    <m/>
    <m/>
    <m/>
    <m/>
    <s v="No"/>
    <s v="Fire"/>
    <s v="Economic and Livelihood Loss"/>
    <s v="Injury"/>
    <s v="Loss of Life"/>
    <s v="Awareness Raising  Education and Training"/>
    <s v="Do Not Live In Risky Places"/>
    <s v="Resilience Building"/>
    <s v="Lack Of Initiative"/>
    <s v="Lack Of Awareness And Education"/>
    <s v="Lack Of Government Action"/>
    <s v="Drought"/>
    <s v="Economic and Livelihood Loss"/>
    <s v="Increased Money Borrowing"/>
    <s v="Loss of Access to Basic Services"/>
    <s v="Actions For Poverty Reduction And Employment"/>
    <s v="Investment in Infrastructure Improvement and Mitigation Works"/>
    <s v="Livelihood Diversification"/>
    <s v="Lack Of Capacity"/>
    <s v="Lack Of Resources"/>
    <s v="Lack Of Productive Techniques"/>
    <s v="Road Accidents"/>
    <s v="Psychological Effects"/>
    <s v="Economic and Livelihood Loss"/>
    <s v="Loss of Life"/>
    <s v="Investment in Infrastructure Improvement and Mitigation Works"/>
    <s v="Disaster Preparedness"/>
    <s v="Monitoring of Regulation and Legislation"/>
    <s v="Lack Of Initiative"/>
    <m/>
    <s v="Lack Of Coordination Between Actors"/>
    <m/>
    <m/>
    <s v="-"/>
    <m/>
    <m/>
    <s v="Road Accidents"/>
    <s v="Reduction In Irrigation"/>
    <s v="Climate Change"/>
    <n v="34"/>
    <m/>
    <m/>
    <m/>
    <m/>
    <m/>
    <n v="34"/>
    <m/>
    <m/>
    <m/>
    <m/>
    <m/>
    <n v="34"/>
    <m/>
    <m/>
    <m/>
    <m/>
    <m/>
    <n v="34"/>
    <m/>
    <m/>
    <m/>
    <m/>
    <m/>
    <n v="30"/>
    <m/>
    <m/>
    <n v="4"/>
    <m/>
    <s v="Sometimes there is and sometimes there are not"/>
    <n v="30"/>
    <m/>
    <n v="1"/>
    <m/>
    <n v="4"/>
    <m/>
    <n v="28"/>
    <m/>
    <n v="1"/>
    <m/>
    <n v="5"/>
    <s v="If committee is formed, then we can get access to financial resources otherwise not."/>
    <s v="Lack of information"/>
    <s v="Pre information should be provided about DRR and its related program"/>
    <s v="Unaware about program"/>
    <s v="Pre information should be provided about DRR program  through messaging, email or letters"/>
    <s v="Lack of time"/>
    <s v="Appropriate time should be managed as per the preferences"/>
    <n v="3"/>
    <n v="2"/>
    <m/>
    <m/>
    <n v="29"/>
    <m/>
    <n v="29"/>
    <m/>
    <m/>
    <m/>
    <n v="5"/>
    <m/>
    <n v="34"/>
    <m/>
    <m/>
    <m/>
    <m/>
    <m/>
    <n v="34"/>
    <m/>
    <m/>
    <m/>
    <m/>
    <m/>
    <n v="32"/>
    <n v="2"/>
    <m/>
    <m/>
    <m/>
    <m/>
    <s v="CC2538"/>
    <m/>
    <s v="Community Consultation"/>
  </r>
  <r>
    <n v="2539"/>
    <s v="http://www.surveygizmo.com/s3/survey/4563835/2VK5FPR097J3PKVT37FH6KSA5OTKEK?snc=1561619709_5d146cfdc7f635.17502248&amp;sg_navigate=start&amp;_iseditlink=true"/>
    <s v="EDIT"/>
    <s v="Bimala Maharjan"/>
    <s v="FSCN"/>
    <s v="Nepal  - National Society for Earthquake Technology - Nepal (NSET)"/>
    <s v="Nepal"/>
    <s v="Chandragiri Municipality Ward 3"/>
    <s v="Urban"/>
    <s v="04/29/2019"/>
    <s v="Nepal-FSCN-CC-Chandragiri-2"/>
    <x v="0"/>
    <n v="26"/>
    <x v="0"/>
    <x v="0"/>
    <x v="2"/>
    <x v="2"/>
    <x v="2"/>
    <m/>
    <s v="-"/>
    <m/>
    <m/>
    <m/>
    <m/>
    <s v="No"/>
    <s v="Road Accidents"/>
    <s v="Disease/Health Effects"/>
    <s v="Injury"/>
    <s v="Psychological Effects"/>
    <s v="Awareness Raising  Education and Training"/>
    <s v="Insurance"/>
    <s v="Health Promotion"/>
    <s v="Attitudinal Issues"/>
    <s v="Lack Of Capacity"/>
    <s v="Lack Of Awareness And Education"/>
    <s v="Deforestation"/>
    <s v="Economic and Livelihood Loss"/>
    <s v="Environmental effects"/>
    <s v="Impact on Biodiversity"/>
    <s v="Investment in Infrastructure Improvement and Mitigation Works"/>
    <s v="Promote and Maintain Ancestral Knowledge and Practices"/>
    <s v="Local government action"/>
    <s v="Lack Of Awareness And Education"/>
    <s v="Lack Of Initiative"/>
    <s v="Lack Of Risk Awareness And Planning"/>
    <s v="Fire"/>
    <s v="Economic and Livelihood Loss"/>
    <s v="Environmental effects"/>
    <s v="Looting of Properties"/>
    <s v="Risk Assessment"/>
    <s v="Measures to Protect Vulnerable Groups"/>
    <s v="Resilience Building"/>
    <s v="Lack Of Manpower"/>
    <s v="Lack Of Initiative"/>
    <s v="Lack Of Resources"/>
    <m/>
    <m/>
    <s v="-"/>
    <m/>
    <m/>
    <s v="Climate Change"/>
    <s v="Pollution"/>
    <s v="Conflict/Insecurity"/>
    <n v="25"/>
    <m/>
    <n v="1"/>
    <m/>
    <m/>
    <m/>
    <n v="26"/>
    <m/>
    <m/>
    <m/>
    <m/>
    <m/>
    <n v="23"/>
    <m/>
    <n v="3"/>
    <m/>
    <m/>
    <m/>
    <n v="26"/>
    <m/>
    <m/>
    <m/>
    <m/>
    <m/>
    <n v="26"/>
    <m/>
    <m/>
    <m/>
    <m/>
    <m/>
    <n v="26"/>
    <m/>
    <m/>
    <m/>
    <m/>
    <m/>
    <n v="26"/>
    <m/>
    <m/>
    <m/>
    <m/>
    <m/>
    <s v="Lack of time"/>
    <s v="Appropriate time should be managed as per the preferences"/>
    <s v="No information"/>
    <s v="People should be informed about DRR, its impact and importance"/>
    <s v="Low participation"/>
    <s v="All local people should be provided with equal opportunities in  DRR  platform  based program"/>
    <n v="21"/>
    <m/>
    <m/>
    <m/>
    <n v="5"/>
    <m/>
    <n v="23"/>
    <m/>
    <n v="3"/>
    <m/>
    <m/>
    <m/>
    <n v="26"/>
    <m/>
    <m/>
    <m/>
    <m/>
    <m/>
    <n v="26"/>
    <m/>
    <m/>
    <m/>
    <m/>
    <m/>
    <n v="24"/>
    <n v="2"/>
    <m/>
    <m/>
    <m/>
    <m/>
    <s v="CC2539"/>
    <m/>
    <s v="Community Consultation"/>
  </r>
  <r>
    <n v="2540"/>
    <s v="http://www.surveygizmo.com/s3/survey/4563835/2VK5FPR097J3PKVT37FH6KSA5OTKEK?snc=1561619711_5d146cff9e7f25.79995719&amp;sg_navigate=start&amp;_iseditlink=true"/>
    <s v="EDIT"/>
    <s v="Bimala Maharjan"/>
    <s v="FSCN"/>
    <s v="Nepal  - National Society for Earthquake Technology - Nepal (NSET)"/>
    <s v="Nepal"/>
    <s v="Chandragiri Municipality Ward 3"/>
    <s v="Urban"/>
    <d v="2019-07-05T00:00:00"/>
    <s v="Nepal-FSCN-CC-Chandragiri-3"/>
    <x v="2"/>
    <n v="15"/>
    <x v="1"/>
    <x v="1"/>
    <x v="1"/>
    <x v="1"/>
    <x v="2"/>
    <m/>
    <m/>
    <m/>
    <m/>
    <s v="-"/>
    <m/>
    <s v="Yes"/>
    <s v="Poverty"/>
    <s v="Economic and Livelihood Loss"/>
    <s v="Food Insecurity"/>
    <s v="Hunger"/>
    <s v="Livelihood Diversification"/>
    <s v="Food Security Actions"/>
    <s v="Raising Homes"/>
    <s v="Conflict"/>
    <s v="Conflict In Schedule"/>
    <s v="Economic Policies"/>
    <s v="High Cost of Living"/>
    <s v="Hopelessness"/>
    <s v="Economic and Livelihood Loss"/>
    <s v="Livestock Loss"/>
    <s v="Individual/Personal Action"/>
    <s v="Livelihood Diversification"/>
    <s v="Local government action"/>
    <s v="Communication Issues"/>
    <s v="Economic Policies"/>
    <s v="Lack Of Coordination Between Actors"/>
    <s v="Disease/Epidemics"/>
    <s v="Disease/Health Effects"/>
    <s v="Loss of Life"/>
    <s v="Loss of Clean Water Sources"/>
    <s v="Health Promotion"/>
    <s v="Awareness Raising  Education and Training"/>
    <s v="Drainage Channels"/>
    <s v="Attitudinal Issues"/>
    <s v="Conflict In Schedule"/>
    <s v="Lack Of Community Commitment"/>
    <m/>
    <s v="-"/>
    <m/>
    <m/>
    <m/>
    <s v="Deforestation"/>
    <s v="Disease/Epidemics"/>
    <s v="Climate Change"/>
    <n v="15"/>
    <m/>
    <m/>
    <m/>
    <m/>
    <m/>
    <n v="15"/>
    <m/>
    <m/>
    <m/>
    <m/>
    <m/>
    <n v="15"/>
    <m/>
    <m/>
    <m/>
    <m/>
    <m/>
    <n v="15"/>
    <m/>
    <m/>
    <m/>
    <m/>
    <m/>
    <n v="15"/>
    <m/>
    <m/>
    <m/>
    <m/>
    <m/>
    <n v="15"/>
    <m/>
    <m/>
    <m/>
    <m/>
    <m/>
    <n v="15"/>
    <m/>
    <m/>
    <m/>
    <m/>
    <m/>
    <s v="No information"/>
    <s v="People should be informed about DRR, its impact and importance"/>
    <s v="Illiteracy"/>
    <s v="DRR based education should be promoted throughout the school level"/>
    <s v="Budget"/>
    <s v="Allocated budget should be effectively utilized in DRR decision making process"/>
    <n v="15"/>
    <m/>
    <m/>
    <m/>
    <m/>
    <m/>
    <m/>
    <m/>
    <n v="15"/>
    <m/>
    <m/>
    <m/>
    <n v="15"/>
    <m/>
    <m/>
    <m/>
    <m/>
    <m/>
    <n v="15"/>
    <m/>
    <m/>
    <m/>
    <m/>
    <m/>
    <n v="15"/>
    <m/>
    <m/>
    <m/>
    <m/>
    <m/>
    <s v="CC2540"/>
    <m/>
    <s v="Community Consultation"/>
  </r>
  <r>
    <n v="2541"/>
    <s v="http://www.surveygizmo.com/s3/survey/4563835/2VK5FPR097J3PKVT37FH6KSA5OTKEK?snc=1561619713_5d146d01b218e2.78540788&amp;sg_navigate=start&amp;_iseditlink=true"/>
    <s v="EDIT"/>
    <s v="Bimala Maharjan"/>
    <s v="FSCN"/>
    <s v="Nepal  - National Society for Earthquake Technology - Nepal (NSET)"/>
    <s v="Nepal"/>
    <s v="Chandragiri Municipality Ward 3"/>
    <s v="Urban"/>
    <d v="2019-07-05T00:00:00"/>
    <s v="Nepal-FSCN-CC-Chandragiri-4"/>
    <x v="3"/>
    <n v="20"/>
    <x v="0"/>
    <x v="2"/>
    <x v="3"/>
    <x v="3"/>
    <x v="3"/>
    <m/>
    <m/>
    <m/>
    <m/>
    <s v="-"/>
    <m/>
    <s v="Yes"/>
    <s v="Earthquakes"/>
    <s v="Loss of Assets"/>
    <s v="Psychological Effects"/>
    <s v="Loss of Values"/>
    <s v="Awareness Raising  Education and Training"/>
    <s v="Health Promotion"/>
    <s v="Risk Assessment"/>
    <s v="High Debt"/>
    <s v="Health Condition"/>
    <s v="Lack Of Awareness And Education"/>
    <s v="Road Accidents"/>
    <s v="Disability"/>
    <s v="Disease/Health Effects"/>
    <s v="Loss of Life"/>
    <s v="Health Promotion"/>
    <s v="First Aid Course"/>
    <s v="Insurance"/>
    <s v="Discrimination Against People With Disabilities"/>
    <s v="Health Condition"/>
    <s v="Lack Of Resources"/>
    <s v="Alcoholism"/>
    <s v="Disability"/>
    <s v="Loss of Values"/>
    <s v="Loss of Life"/>
    <s v="Health Promotion"/>
    <s v="Individual/Personal Action"/>
    <s v="Insurance"/>
    <s v="Discrimination Against People With Disabilities"/>
    <s v="Lack Of Initiative"/>
    <s v="Lack Of Resources"/>
    <m/>
    <s v="-"/>
    <m/>
    <m/>
    <m/>
    <s v="Noise Pollution"/>
    <s v="Climate Change"/>
    <s v="Improper waste disposal"/>
    <n v="20"/>
    <m/>
    <m/>
    <n v="20"/>
    <m/>
    <m/>
    <n v="20"/>
    <m/>
    <m/>
    <m/>
    <m/>
    <m/>
    <n v="18"/>
    <n v="2"/>
    <m/>
    <m/>
    <m/>
    <m/>
    <n v="20"/>
    <m/>
    <m/>
    <m/>
    <m/>
    <m/>
    <n v="18"/>
    <n v="2"/>
    <m/>
    <m/>
    <m/>
    <m/>
    <n v="20"/>
    <m/>
    <m/>
    <m/>
    <m/>
    <m/>
    <n v="20"/>
    <m/>
    <m/>
    <m/>
    <m/>
    <m/>
    <s v="Budget"/>
    <s v="Allocated budget should be effectively utilized in DRR decision making process"/>
    <s v="Unaware about program"/>
    <s v="Pre information should be provided about DRR and its related program"/>
    <s v="Poverty"/>
    <s v="Job opportunities should be provided"/>
    <n v="20"/>
    <m/>
    <m/>
    <m/>
    <m/>
    <m/>
    <n v="14"/>
    <n v="2"/>
    <m/>
    <m/>
    <n v="4"/>
    <m/>
    <n v="20"/>
    <m/>
    <m/>
    <m/>
    <m/>
    <m/>
    <n v="20"/>
    <m/>
    <m/>
    <m/>
    <m/>
    <m/>
    <n v="20"/>
    <m/>
    <m/>
    <m/>
    <m/>
    <m/>
    <s v="CC2541"/>
    <m/>
    <s v="Community Consultation"/>
  </r>
  <r>
    <n v="2542"/>
    <s v="http://www.surveygizmo.com/s3/survey/4563835/2VK5FPR097J3PKVT37FH6KSA5OTKEK?snc=1561619715_5d146d03a488d6.31801441&amp;sg_navigate=start&amp;_iseditlink=true"/>
    <s v="EDIT"/>
    <s v="Bimala Maharjan"/>
    <s v="FSCN"/>
    <s v="Nepal  - National Society for Earthquake Technology - Nepal (NSET)"/>
    <s v="Nepal"/>
    <s v="Chandragiri Municipality Ward 3"/>
    <s v="Urban"/>
    <d v="2019-07-05T00:00:00"/>
    <s v="Nepal-FSCN-CC-Chandragiri-5"/>
    <x v="1"/>
    <n v="10"/>
    <x v="0"/>
    <x v="0"/>
    <x v="1"/>
    <x v="1"/>
    <x v="4"/>
    <n v="3"/>
    <s v="-"/>
    <m/>
    <m/>
    <m/>
    <m/>
    <s v="No"/>
    <s v="Crop Damage"/>
    <s v="Economic and Livelihood Loss"/>
    <s v="Food Insecurity"/>
    <s v="Hunger"/>
    <s v="Actions For Poverty Reduction And Employment"/>
    <s v="Food Security Actions"/>
    <s v="Livelihood Diversification"/>
    <s v="Lack Of Coordination Between Actors"/>
    <s v="Lack Of Initiative"/>
    <s v="Lack Of Land Surveying And Planning"/>
    <s v="Alcoholism"/>
    <s v="Psychological Effects"/>
    <s v="Loss of Life"/>
    <s v="Disease/Health Effects"/>
    <s v="Health Promotion"/>
    <s v="Insurance"/>
    <s v="Psychological intervention"/>
    <s v="Lack Of Initiative"/>
    <s v="High Debt"/>
    <s v="Health Condition"/>
    <s v="Earthquakes"/>
    <s v="Crop Damage"/>
    <s v="Impact on Biodiversity"/>
    <s v="Economic and Livelihood Loss"/>
    <s v="Climate Change Adaptation"/>
    <s v="Climate Change Mitigation"/>
    <s v="Investment in Infrastructure Improvement and Mitigation Works"/>
    <s v="Lack Of Awareness And Education"/>
    <s v="Lack Of Community Commitment"/>
    <s v="Lack Of Coordination Between Actors"/>
    <s v="-"/>
    <m/>
    <m/>
    <m/>
    <m/>
    <s v="Corruption"/>
    <s v="Crop Damage"/>
    <s v="Earthquakes"/>
    <n v="5"/>
    <m/>
    <n v="5"/>
    <m/>
    <m/>
    <m/>
    <n v="7"/>
    <m/>
    <n v="3"/>
    <m/>
    <m/>
    <m/>
    <m/>
    <n v="8"/>
    <n v="2"/>
    <m/>
    <m/>
    <m/>
    <n v="7"/>
    <m/>
    <m/>
    <n v="3"/>
    <m/>
    <m/>
    <n v="8"/>
    <m/>
    <m/>
    <n v="2"/>
    <m/>
    <m/>
    <n v="9"/>
    <m/>
    <m/>
    <n v="1"/>
    <m/>
    <m/>
    <n v="4"/>
    <m/>
    <n v="3"/>
    <n v="2"/>
    <n v="1"/>
    <m/>
    <s v="No information"/>
    <s v="Pre information should be provided about DRR  and its related program"/>
    <s v="Illiteracy"/>
    <s v="DRR based education should be promoted throughout the school level"/>
    <s v="Lack of time"/>
    <s v="Appropriate time should be managed as per the preferences"/>
    <n v="5"/>
    <m/>
    <n v="4"/>
    <n v="1"/>
    <m/>
    <m/>
    <n v="10"/>
    <m/>
    <m/>
    <m/>
    <m/>
    <m/>
    <n v="10"/>
    <m/>
    <m/>
    <m/>
    <m/>
    <m/>
    <m/>
    <n v="8"/>
    <n v="2"/>
    <m/>
    <m/>
    <m/>
    <n v="5"/>
    <n v="5"/>
    <m/>
    <m/>
    <m/>
    <m/>
    <s v="CC2542"/>
    <m/>
    <s v="Community Consultation"/>
  </r>
  <r>
    <n v="2558"/>
    <s v="http://www.surveygizmo.com/s3/survey/4563835/2VK5FPR097J3PKVT37FH6KSA5OTKEK?snc=1561703110_5d15b2c6bc9315.72413147&amp;sg_navigate=start&amp;_iseditlink=true"/>
    <s v="EDIT"/>
    <s v="Hari Prasad Adhikari"/>
    <s v="FAYA"/>
    <s v="Nepal  - National Society for Earthquake Technology - Nepal (NSET)"/>
    <s v="Nepal"/>
    <s v="Birendranagar Municipality Ward 10"/>
    <s v="Urban"/>
    <d v="2019-05-04T00:00:00"/>
    <s v="Nepal-FAYA-CC-Birendranagar Ward 10 - 1"/>
    <x v="3"/>
    <n v="29"/>
    <x v="0"/>
    <x v="3"/>
    <x v="4"/>
    <x v="4"/>
    <x v="5"/>
    <n v="7"/>
    <m/>
    <m/>
    <m/>
    <m/>
    <m/>
    <s v="Yes"/>
    <s v="Floods"/>
    <s v="Food Insecurity"/>
    <s v="Crop Damage"/>
    <m/>
    <s v="Dam/Dyke Building"/>
    <s v="Reforestation"/>
    <m/>
    <s v="Lack Of Policies"/>
    <s v="Poverty"/>
    <m/>
    <m/>
    <m/>
    <m/>
    <m/>
    <m/>
    <m/>
    <m/>
    <m/>
    <m/>
    <m/>
    <m/>
    <s v="Looting of Properties"/>
    <m/>
    <m/>
    <m/>
    <m/>
    <m/>
    <m/>
    <m/>
    <m/>
    <m/>
    <m/>
    <m/>
    <m/>
    <n v="5"/>
    <s v="Floods"/>
    <s v="Climate Change"/>
    <s v="Lack of Access to Water"/>
    <m/>
    <m/>
    <n v="3"/>
    <m/>
    <m/>
    <m/>
    <n v="1"/>
    <m/>
    <m/>
    <m/>
    <m/>
    <m/>
    <m/>
    <m/>
    <m/>
    <n v="4"/>
    <m/>
    <m/>
    <m/>
    <m/>
    <m/>
    <n v="4"/>
    <m/>
    <m/>
    <m/>
    <n v="2"/>
    <m/>
    <m/>
    <m/>
    <m/>
    <m/>
    <m/>
    <m/>
    <n v="4"/>
    <m/>
    <m/>
    <m/>
    <m/>
    <n v="3"/>
    <m/>
    <m/>
    <m/>
    <s v="Enployment Oppertunities"/>
    <s v="Dam/Dykes Construction"/>
    <s v="Transport "/>
    <s v="Transport facilities"/>
    <s v="Flood"/>
    <s v="Managed settelment"/>
    <n v="1"/>
    <m/>
    <m/>
    <m/>
    <m/>
    <m/>
    <n v="1"/>
    <m/>
    <m/>
    <m/>
    <m/>
    <m/>
    <m/>
    <m/>
    <n v="3"/>
    <m/>
    <m/>
    <m/>
    <m/>
    <m/>
    <m/>
    <m/>
    <n v="5"/>
    <m/>
    <m/>
    <n v="2"/>
    <m/>
    <m/>
    <m/>
    <m/>
    <s v="CC2558"/>
    <m/>
    <s v="Community Consultation"/>
  </r>
  <r>
    <n v="2559"/>
    <s v="http://www.surveygizmo.com/s3/survey/4563835/2VK5FPR097J3PKVT37FH6KSA5OTKEK?snc=1561703113_5d15b2c96ffdd9.93081602&amp;sg_navigate=start&amp;_iseditlink=true"/>
    <s v="EDIT"/>
    <s v="Hari Prasad Adhikari"/>
    <s v="FAYA"/>
    <s v="Nepal  - National Society for Earthquake Technology - Nepal (NSET)"/>
    <s v="Nepal"/>
    <s v="Birendranagar Municipality Ward 10"/>
    <s v="Urban"/>
    <d v="2019-05-08T00:00:00"/>
    <s v="Nepal-FAYA-CC-Birendranagar Ward 10 - 2"/>
    <x v="1"/>
    <n v="30"/>
    <x v="0"/>
    <x v="0"/>
    <x v="1"/>
    <x v="1"/>
    <x v="5"/>
    <n v="24"/>
    <m/>
    <m/>
    <m/>
    <m/>
    <m/>
    <s v="No"/>
    <s v="Floods"/>
    <s v="Infrastructure Damage"/>
    <s v="Reduction In Irrigation"/>
    <m/>
    <s v="Awareness Raising  Education and Training"/>
    <m/>
    <m/>
    <m/>
    <s v="Lack Of Awareness And Education"/>
    <m/>
    <s v="Drought"/>
    <s v="Reduction In Irrigation"/>
    <s v="Loss of Clean Water Sources"/>
    <m/>
    <s v="Reforestation"/>
    <s v="Awareness Raising  Education and Training"/>
    <m/>
    <s v="Water Pollution"/>
    <s v="Unplanned Urbanisation"/>
    <m/>
    <m/>
    <m/>
    <m/>
    <m/>
    <m/>
    <m/>
    <m/>
    <m/>
    <m/>
    <m/>
    <m/>
    <m/>
    <m/>
    <m/>
    <m/>
    <s v="Crop Damage"/>
    <s v="Lack of Access to Water"/>
    <s v="Hail"/>
    <n v="1"/>
    <m/>
    <m/>
    <m/>
    <m/>
    <m/>
    <n v="1"/>
    <m/>
    <m/>
    <m/>
    <m/>
    <m/>
    <n v="1"/>
    <m/>
    <m/>
    <m/>
    <m/>
    <m/>
    <m/>
    <m/>
    <m/>
    <n v="4"/>
    <m/>
    <m/>
    <m/>
    <m/>
    <n v="3"/>
    <m/>
    <m/>
    <m/>
    <m/>
    <m/>
    <m/>
    <n v="4"/>
    <n v="5"/>
    <m/>
    <m/>
    <n v="2"/>
    <m/>
    <m/>
    <m/>
    <m/>
    <s v="Lack of information"/>
    <s v="Providing information in time "/>
    <s v="Budget "/>
    <s v="Budget Management"/>
    <s v="Civil settelment "/>
    <s v="Managed settelment"/>
    <m/>
    <m/>
    <n v="3"/>
    <m/>
    <m/>
    <m/>
    <n v="1"/>
    <m/>
    <m/>
    <m/>
    <m/>
    <m/>
    <m/>
    <m/>
    <n v="3"/>
    <m/>
    <m/>
    <m/>
    <m/>
    <m/>
    <m/>
    <m/>
    <n v="5"/>
    <m/>
    <m/>
    <m/>
    <m/>
    <n v="4"/>
    <m/>
    <m/>
    <s v="CC2559"/>
    <m/>
    <s v="Community Consultation"/>
  </r>
  <r>
    <n v="2560"/>
    <s v="http://www.surveygizmo.com/s3/survey/4563835/2VK5FPR097J3PKVT37FH6KSA5OTKEK?snc=1561703115_5d15b2cbd80869.96258231&amp;sg_navigate=start&amp;_iseditlink=true"/>
    <s v="EDIT"/>
    <s v="Hari Prasad Adhikari"/>
    <s v="FAYA"/>
    <s v="Nepal  - National Society for Earthquake Technology - Nepal (NSET)"/>
    <s v="Nepal"/>
    <s v="Birendranagar Municipality Ward 10"/>
    <s v="Urban"/>
    <d v="2019-05-04T00:00:00"/>
    <s v="Nepal-FAYA-CC-Birendranagar Ward 10 - 3"/>
    <x v="0"/>
    <n v="25"/>
    <x v="0"/>
    <x v="4"/>
    <x v="5"/>
    <x v="3"/>
    <x v="0"/>
    <n v="2"/>
    <m/>
    <m/>
    <m/>
    <m/>
    <m/>
    <s v="No"/>
    <s v="Floods"/>
    <s v="Building Destruction"/>
    <s v="Livestock Loss"/>
    <s v="Economic and Livelihood Loss"/>
    <s v="Dam/Dyke Building"/>
    <s v="Reconstruction"/>
    <s v="Reforestation"/>
    <s v="Lack Of Awareness And Education"/>
    <m/>
    <m/>
    <s v="Drought"/>
    <s v="Loss of Values"/>
    <s v="Loss of Clean Water Sources"/>
    <m/>
    <s v="Awareness Raising  Education and Training"/>
    <m/>
    <m/>
    <s v="Lack Of Awareness And Education"/>
    <s v="Landlessness"/>
    <m/>
    <m/>
    <m/>
    <m/>
    <s v="Environmental effects"/>
    <m/>
    <m/>
    <m/>
    <m/>
    <m/>
    <m/>
    <m/>
    <m/>
    <m/>
    <m/>
    <m/>
    <s v="Disease/Epidemics"/>
    <s v="Unemployment"/>
    <m/>
    <m/>
    <m/>
    <m/>
    <n v="4"/>
    <m/>
    <m/>
    <m/>
    <m/>
    <m/>
    <m/>
    <n v="5"/>
    <m/>
    <m/>
    <n v="2"/>
    <m/>
    <m/>
    <m/>
    <m/>
    <m/>
    <m/>
    <m/>
    <n v="4"/>
    <m/>
    <m/>
    <m/>
    <m/>
    <n v="3"/>
    <m/>
    <m/>
    <m/>
    <n v="1"/>
    <m/>
    <m/>
    <m/>
    <m/>
    <m/>
    <m/>
    <m/>
    <m/>
    <m/>
    <n v="5"/>
    <m/>
    <s v="Household Task"/>
    <s v="task Management"/>
    <s v="Lack of interest"/>
    <s v="developing interst"/>
    <s v="lack of capital management "/>
    <s v="capital management"/>
    <n v="1"/>
    <m/>
    <m/>
    <m/>
    <m/>
    <m/>
    <m/>
    <m/>
    <m/>
    <m/>
    <n v="5"/>
    <m/>
    <n v="1"/>
    <m/>
    <m/>
    <m/>
    <m/>
    <m/>
    <m/>
    <m/>
    <m/>
    <m/>
    <n v="5"/>
    <m/>
    <n v="1"/>
    <m/>
    <m/>
    <m/>
    <m/>
    <m/>
    <s v="CC2560"/>
    <m/>
    <s v="Community Consultation"/>
  </r>
  <r>
    <n v="2561"/>
    <s v="http://www.surveygizmo.com/s3/survey/4563835/2VK5FPR097J3PKVT37FH6KSA5OTKEK?snc=1561703118_5d15b2ceb2e932.94271860&amp;sg_navigate=start&amp;_iseditlink=true"/>
    <s v="EDIT"/>
    <s v="Hari Prasad Adhikari "/>
    <s v="FAYA"/>
    <s v="Nepal  - National Society for Earthquake Technology - Nepal (NSET)"/>
    <s v="Nepal"/>
    <s v="Birendranagar Municipality Ward 10"/>
    <s v="Urban"/>
    <d v="2019-05-07T00:00:00"/>
    <s v="Nepal-FAYA-CC-Birendranagar Ward 10 -  4"/>
    <x v="3"/>
    <n v="23"/>
    <x v="0"/>
    <x v="5"/>
    <x v="1"/>
    <x v="1"/>
    <x v="2"/>
    <m/>
    <m/>
    <m/>
    <m/>
    <m/>
    <m/>
    <s v="No"/>
    <s v="Earthquakes"/>
    <s v="Building Destruction"/>
    <s v="Infrastructure Damage"/>
    <m/>
    <s v="Awareness Raising  Education and Training"/>
    <s v="Reconstruction"/>
    <m/>
    <s v="Climate Change"/>
    <s v="Lack Of Manpower"/>
    <s v="Geographical Situation"/>
    <s v="Fire"/>
    <s v="Environmental effects"/>
    <s v="Economic and Livelihood Loss"/>
    <m/>
    <s v="Awareness Raising  Education and Training"/>
    <s v="Contingency Planning"/>
    <s v="Disaster Preparedness"/>
    <s v="Lack Of Risk Awareness And Planning"/>
    <s v="Lack Of Productive Techniques"/>
    <m/>
    <s v="Floods"/>
    <s v="Environmental effects"/>
    <s v="Infrastructure Damage"/>
    <s v="Impact on Biodiversity"/>
    <s v="Dam/Dyke Building"/>
    <s v="Reforestation"/>
    <s v="Awareness Raising  Education and Training"/>
    <s v="Economic Policies"/>
    <s v="Lack Of Awareness And Education"/>
    <s v="Lack Of Land Surveying And Planning"/>
    <m/>
    <m/>
    <m/>
    <m/>
    <n v="5"/>
    <s v="Floods"/>
    <s v="Drought"/>
    <s v="Disease/Epidemics"/>
    <m/>
    <m/>
    <n v="3"/>
    <m/>
    <m/>
    <m/>
    <m/>
    <m/>
    <m/>
    <n v="4"/>
    <m/>
    <m/>
    <m/>
    <n v="2"/>
    <m/>
    <m/>
    <m/>
    <m/>
    <m/>
    <m/>
    <m/>
    <n v="4"/>
    <m/>
    <m/>
    <m/>
    <m/>
    <m/>
    <n v="4"/>
    <m/>
    <m/>
    <n v="1"/>
    <m/>
    <m/>
    <m/>
    <m/>
    <m/>
    <n v="1"/>
    <m/>
    <m/>
    <m/>
    <m/>
    <m/>
    <s v="Lack of information"/>
    <s v="Allowance Management "/>
    <s v="lack of awareness "/>
    <s v="awareness management "/>
    <s v="lack of budget "/>
    <s v="budget management "/>
    <m/>
    <m/>
    <n v="3"/>
    <m/>
    <m/>
    <m/>
    <n v="1"/>
    <m/>
    <m/>
    <m/>
    <m/>
    <m/>
    <m/>
    <n v="2"/>
    <m/>
    <m/>
    <m/>
    <m/>
    <m/>
    <m/>
    <m/>
    <m/>
    <n v="5"/>
    <m/>
    <m/>
    <m/>
    <m/>
    <n v="4"/>
    <m/>
    <m/>
    <s v="CC2561"/>
    <m/>
    <s v="Community Consultation"/>
  </r>
  <r>
    <n v="2562"/>
    <s v="http://www.surveygizmo.com/s3/survey/4563835/2VK5FPR097J3PKVT37FH6KSA5OTKEK?snc=1561703121_5d15b2d10fcac3.91094350&amp;sg_navigate=start&amp;_iseditlink=true"/>
    <s v="EDIT"/>
    <s v="Hari Prasad Adhikari"/>
    <s v="FAYA"/>
    <s v="Nepal  - National Society for Earthquake Technology - Nepal (NSET)"/>
    <s v="Nepal"/>
    <s v="Birendranagar Municipality Ward 10"/>
    <s v="Urban"/>
    <s v=" 07/05/2019"/>
    <s v="Nepal-FAYA-CC-Birendranagar Ward 10 -  5"/>
    <x v="2"/>
    <n v="16"/>
    <x v="0"/>
    <x v="4"/>
    <x v="6"/>
    <x v="5"/>
    <x v="5"/>
    <n v="2"/>
    <m/>
    <m/>
    <m/>
    <m/>
    <m/>
    <s v="Yes"/>
    <s v="Floods"/>
    <s v="Crop Damage"/>
    <s v="Flooding"/>
    <m/>
    <s v="Dam/Dyke Building"/>
    <s v="Disaster Preparedness"/>
    <s v="Reforestation"/>
    <s v="Economic Policies"/>
    <s v="Lack Of Government Commitment"/>
    <s v="Lack Of Preparedness"/>
    <s v="Drought"/>
    <s v="Loss of Clean Water Sources"/>
    <s v="Disease/Health Effects"/>
    <s v="Environmental effects"/>
    <s v="Climate Change Mitigation"/>
    <s v="Reforestation"/>
    <m/>
    <s v="Lack Of Policies"/>
    <s v="Deforestation"/>
    <m/>
    <s v="Earthquakes"/>
    <s v="Building Destruction"/>
    <s v="Loss of Clean Water Sources"/>
    <s v="Economic and Livelihood Loss"/>
    <s v="Reconstruction"/>
    <s v="Resilience Building"/>
    <s v="Contingency Planning"/>
    <s v="Lack Of Policies"/>
    <s v="Lack Of Awareness And Education"/>
    <m/>
    <m/>
    <m/>
    <m/>
    <m/>
    <n v="5"/>
    <s v="Disease/Epidemics"/>
    <s v="Lack of Access to Water"/>
    <s v="Climate Change"/>
    <m/>
    <n v="2"/>
    <m/>
    <m/>
    <m/>
    <m/>
    <m/>
    <m/>
    <m/>
    <n v="4"/>
    <m/>
    <m/>
    <m/>
    <n v="2"/>
    <m/>
    <m/>
    <m/>
    <m/>
    <n v="1"/>
    <m/>
    <m/>
    <m/>
    <m/>
    <m/>
    <n v="1"/>
    <m/>
    <m/>
    <m/>
    <m/>
    <m/>
    <m/>
    <m/>
    <n v="3"/>
    <m/>
    <m/>
    <m/>
    <n v="1"/>
    <m/>
    <m/>
    <m/>
    <m/>
    <m/>
    <s v="Lack of information"/>
    <s v="Information in time "/>
    <s v="Geographical Difficulties "/>
    <s v="Unified Settelments"/>
    <s v="lack of unity"/>
    <s v="Unity"/>
    <n v="1"/>
    <m/>
    <m/>
    <m/>
    <m/>
    <m/>
    <m/>
    <n v="2"/>
    <m/>
    <m/>
    <m/>
    <m/>
    <m/>
    <m/>
    <n v="3"/>
    <m/>
    <m/>
    <m/>
    <m/>
    <n v="2"/>
    <m/>
    <m/>
    <m/>
    <m/>
    <n v="1"/>
    <m/>
    <m/>
    <m/>
    <m/>
    <m/>
    <s v="CC2562"/>
    <m/>
    <s v="Community Consultation"/>
  </r>
  <r>
    <n v="2563"/>
    <s v="http://www.surveygizmo.com/s3/survey/4563835/2VK5FPR097J3PKVT37FH6KSA5OTKEK?snc=1561705221_5d15bb0598d373.49824313&amp;sg_navigate=start&amp;_iseditlink=true"/>
    <s v="EDIT"/>
    <s v="Hari Prasad Adhikari"/>
    <s v="FAYA"/>
    <s v="Nepal  - National Society for Earthquake Technology - Nepal (NSET)"/>
    <s v="Nepal"/>
    <s v="Chaukune Rural Municipality Ward 10"/>
    <s v="Rural"/>
    <d v="2019-05-05T00:00:00"/>
    <s v="Nepal-FAYA-CC-Chaukune- Ward 10 - 1"/>
    <x v="1"/>
    <n v="29"/>
    <x v="0"/>
    <x v="0"/>
    <x v="1"/>
    <x v="1"/>
    <x v="6"/>
    <n v="18"/>
    <s v="No"/>
    <m/>
    <m/>
    <m/>
    <m/>
    <s v="No"/>
    <s v="Floods"/>
    <s v="Infrastructure Damage"/>
    <s v="Crop Damage"/>
    <s v="Economic and Livelihood Loss"/>
    <s v="Reconstruction"/>
    <s v="Livelihood Diversification"/>
    <s v="Reforestation"/>
    <s v="Economic Policies"/>
    <s v="Lack Of Access To Technology"/>
    <s v="Family Problem/ Issues"/>
    <s v="Storms"/>
    <s v="Building Destruction"/>
    <s v="Environmental effects"/>
    <s v="Crop Damage"/>
    <s v="Resilience Building"/>
    <s v="Reforestation"/>
    <s v="Promote and Maintain Ancestral Knowledge and Practices"/>
    <s v="Lack Of Policies"/>
    <s v="Economic Policies"/>
    <s v="Climate Change"/>
    <s v="Lack of Access to Water"/>
    <s v="Food Insecurity"/>
    <s v="Disease/Health Effects"/>
    <s v="Loss of Clean Water Sources"/>
    <s v="Dam/Dyke Building"/>
    <s v="Protect Water Tanks"/>
    <s v="Water and Sanitation Programme"/>
    <s v="Economic Policies"/>
    <s v="Lack Of Public Transparency And Accountability"/>
    <s v="Lack Of Policies"/>
    <m/>
    <m/>
    <m/>
    <m/>
    <n v="5"/>
    <s v="Displacement"/>
    <s v="Road Accidents"/>
    <s v="Lack of Access to Water"/>
    <n v="1"/>
    <m/>
    <m/>
    <m/>
    <m/>
    <m/>
    <n v="1"/>
    <m/>
    <m/>
    <m/>
    <m/>
    <m/>
    <m/>
    <m/>
    <n v="3"/>
    <m/>
    <m/>
    <m/>
    <m/>
    <n v="2"/>
    <m/>
    <m/>
    <m/>
    <m/>
    <m/>
    <m/>
    <m/>
    <m/>
    <m/>
    <m/>
    <n v="1"/>
    <m/>
    <m/>
    <m/>
    <m/>
    <m/>
    <n v="1"/>
    <m/>
    <m/>
    <m/>
    <m/>
    <m/>
    <s v="Lack of information"/>
    <s v="Information on time"/>
    <s v="Busy on work"/>
    <s v="Managing time for notice"/>
    <s v="Budget"/>
    <s v="Managed budget"/>
    <m/>
    <n v="2"/>
    <m/>
    <m/>
    <m/>
    <m/>
    <m/>
    <m/>
    <n v="3"/>
    <m/>
    <m/>
    <m/>
    <n v="1"/>
    <m/>
    <m/>
    <m/>
    <m/>
    <m/>
    <m/>
    <m/>
    <m/>
    <m/>
    <n v="5"/>
    <m/>
    <m/>
    <n v="2"/>
    <m/>
    <m/>
    <m/>
    <m/>
    <s v="CC2563"/>
    <m/>
    <s v="Community Consultation"/>
  </r>
  <r>
    <n v="2564"/>
    <s v="http://www.surveygizmo.com/s3/survey/4563835/2VK5FPR097J3PKVT37FH6KSA5OTKEK?snc=1561705223_5d15bb07e7c543.87213580&amp;sg_navigate=start&amp;_iseditlink=true"/>
    <s v="EDIT"/>
    <s v="Hari Prasad Adhikari"/>
    <s v="FAYA"/>
    <s v="Nepal  - National Society for Earthquake Technology - Nepal (NSET)"/>
    <s v="Nepal"/>
    <s v="Chaukune Rural Municipality Ward 10"/>
    <s v="Rural"/>
    <d v="2019-05-05T00:00:00"/>
    <s v="Nepal-FAYA-CC-Chaukune- Ward 10 - 2"/>
    <x v="4"/>
    <n v="14"/>
    <x v="0"/>
    <x v="6"/>
    <x v="7"/>
    <x v="6"/>
    <x v="3"/>
    <n v="1"/>
    <s v="No"/>
    <m/>
    <m/>
    <m/>
    <m/>
    <s v="No"/>
    <s v="Lack of Access to Water"/>
    <s v="Disease/Health Effects"/>
    <s v="Environmental effects"/>
    <s v="Disease/Health Effects"/>
    <s v="Protect Water Tanks"/>
    <s v="Water and Sanitation Programme"/>
    <s v="Dam/Dyke Building"/>
    <s v="Lack Of Access To Technology"/>
    <s v="Lack Of Land Surveying And Planning"/>
    <s v="Economic Policies"/>
    <s v="Floods"/>
    <s v="Infrastructure Damage"/>
    <s v="Crop Damage"/>
    <s v="Loss of Clean Water Sources"/>
    <s v="Dam/Dyke Building"/>
    <s v="Reforestation"/>
    <s v="Disaster Preparedness"/>
    <s v="Economic Policies"/>
    <s v="Lack Of Awareness And Education"/>
    <s v="Communication Issues"/>
    <s v="Temperature Rise"/>
    <s v="Crop Damage"/>
    <s v="Erosion"/>
    <s v="Crop Damage"/>
    <s v="Dam/Dyke Building"/>
    <s v="Reforestation"/>
    <s v="Investment in Infrastructure Improvement and Mitigation Works"/>
    <s v="Government Instability"/>
    <s v="Landlessness"/>
    <s v="Marginalisation/Exclusion"/>
    <m/>
    <m/>
    <m/>
    <n v="4"/>
    <m/>
    <s v="Temperature Rise"/>
    <s v="Floods"/>
    <s v="Earthquakes"/>
    <n v="1"/>
    <m/>
    <m/>
    <m/>
    <m/>
    <s v="Discussion"/>
    <n v="1"/>
    <m/>
    <m/>
    <m/>
    <m/>
    <s v="Budget for disability"/>
    <m/>
    <n v="2"/>
    <m/>
    <m/>
    <m/>
    <m/>
    <n v="1"/>
    <m/>
    <m/>
    <m/>
    <m/>
    <s v="Managed society"/>
    <m/>
    <m/>
    <n v="3"/>
    <m/>
    <m/>
    <s v="Managed information"/>
    <n v="1"/>
    <m/>
    <m/>
    <m/>
    <m/>
    <s v="Giving notice"/>
    <m/>
    <m/>
    <n v="3"/>
    <m/>
    <m/>
    <s v="Skilled manpower"/>
    <s v="Lack of information"/>
    <s v="Giving notice"/>
    <s v="Lack of participation"/>
    <s v="Participation of the people"/>
    <s v="Budget"/>
    <s v="Managed budget"/>
    <m/>
    <m/>
    <m/>
    <n v="4"/>
    <m/>
    <m/>
    <n v="1"/>
    <m/>
    <m/>
    <m/>
    <m/>
    <m/>
    <m/>
    <m/>
    <n v="3"/>
    <m/>
    <m/>
    <m/>
    <m/>
    <m/>
    <n v="3"/>
    <m/>
    <m/>
    <m/>
    <n v="1"/>
    <m/>
    <m/>
    <m/>
    <m/>
    <m/>
    <s v="CC2564"/>
    <m/>
    <s v="Community Consultation"/>
  </r>
  <r>
    <n v="2565"/>
    <s v="http://www.surveygizmo.com/s3/survey/4563835/2VK5FPR097J3PKVT37FH6KSA5OTKEK?snc=1561705229_5d15bb0d00be55.13203224&amp;sg_navigate=start&amp;_iseditlink=true"/>
    <s v="EDIT"/>
    <s v="Hari Prasad Adhikari"/>
    <s v="FAYA"/>
    <s v="Nepal  - National Society for Earthquake Technology - Nepal (NSET)"/>
    <s v="Nepal"/>
    <s v="Chaukune Rural Municipality Ward 10"/>
    <s v="Rural"/>
    <d v="2019-04-28T00:00:00"/>
    <s v="Nepal-FAYA-CC-Chaukune- Ward 10 - 3"/>
    <x v="3"/>
    <n v="16"/>
    <x v="0"/>
    <x v="3"/>
    <x v="5"/>
    <x v="7"/>
    <x v="2"/>
    <m/>
    <s v="No"/>
    <m/>
    <m/>
    <m/>
    <m/>
    <s v="Yes"/>
    <s v="Floods"/>
    <s v="Environmental effects"/>
    <s v="Building Destruction"/>
    <s v="Crop Damage"/>
    <s v="Dam/Dyke Building"/>
    <s v="Early Warning Systems (EWS)"/>
    <s v="Disaster Preparedness"/>
    <s v="Economic Policies"/>
    <s v="Lack Of Risk Awareness And Planning"/>
    <s v="Lack Of Access To Technology"/>
    <s v="Storms"/>
    <s v="Building Destruction"/>
    <s v="Injury"/>
    <s v="Traffic Congestion"/>
    <s v="Reconstruction"/>
    <s v="Distribution of Emergency Equipment/Survival Kits"/>
    <s v="Disaster Preparedness"/>
    <s v="Economic Policies"/>
    <s v="Lack Of Risk Awareness And Planning"/>
    <s v="Lack Of Access To Technology"/>
    <s v="Earthquakes"/>
    <s v="Building Destruction"/>
    <s v="Loss of Life"/>
    <s v="Crop Damage"/>
    <s v="Resilience Building"/>
    <s v="First Aid Course"/>
    <s v="Distribution of Emergency Equipment/Survival Kits"/>
    <s v="Economic Policies"/>
    <s v="Lack Of Awareness And Education"/>
    <s v="Government Instability"/>
    <m/>
    <m/>
    <m/>
    <m/>
    <m/>
    <s v="Fire"/>
    <s v="Lack of Access to Water"/>
    <s v="Drought"/>
    <n v="1"/>
    <m/>
    <m/>
    <m/>
    <m/>
    <m/>
    <n v="1"/>
    <m/>
    <m/>
    <m/>
    <m/>
    <m/>
    <n v="1"/>
    <m/>
    <m/>
    <m/>
    <m/>
    <m/>
    <n v="1"/>
    <m/>
    <m/>
    <m/>
    <m/>
    <m/>
    <n v="1"/>
    <m/>
    <m/>
    <m/>
    <m/>
    <m/>
    <n v="1"/>
    <m/>
    <m/>
    <m/>
    <m/>
    <m/>
    <n v="1"/>
    <m/>
    <m/>
    <m/>
    <m/>
    <m/>
    <s v="Lack of information"/>
    <s v="Information "/>
    <s v="Busy on work"/>
    <s v="Managing time"/>
    <s v="Budget"/>
    <s v="Managed budget"/>
    <n v="1"/>
    <m/>
    <m/>
    <m/>
    <m/>
    <m/>
    <n v="1"/>
    <m/>
    <m/>
    <m/>
    <m/>
    <m/>
    <n v="1"/>
    <m/>
    <m/>
    <m/>
    <m/>
    <m/>
    <n v="1"/>
    <m/>
    <m/>
    <m/>
    <m/>
    <m/>
    <n v="1"/>
    <m/>
    <m/>
    <m/>
    <m/>
    <m/>
    <s v="CC2565"/>
    <m/>
    <s v="Community Consultation"/>
  </r>
  <r>
    <n v="2566"/>
    <s v="http://www.surveygizmo.com/s3/survey/4563835/2VK5FPR097J3PKVT37FH6KSA5OTKEK?snc=1561705231_5d15bb0f260dd0.15661084&amp;sg_navigate=start&amp;_iseditlink=true"/>
    <s v="EDIT"/>
    <s v="Hari Prasad Adhikari"/>
    <s v="FAYA"/>
    <s v="Nepal  - National Society for Earthquake Technology - Nepal (NSET)"/>
    <s v="Nepal"/>
    <s v="Chaukune Rural Municipality Ward 10"/>
    <s v="Rural"/>
    <d v="2019-05-05T00:00:00"/>
    <s v="Nepal-FAYA-CC-Chaukune- Ward 10 - 4"/>
    <x v="2"/>
    <n v="22"/>
    <x v="0"/>
    <x v="0"/>
    <x v="1"/>
    <x v="1"/>
    <x v="2"/>
    <m/>
    <s v="No"/>
    <m/>
    <m/>
    <m/>
    <m/>
    <s v="No"/>
    <s v="Floods"/>
    <s v="Crop Damage"/>
    <s v="Environmental effects"/>
    <s v="Commercial Loss"/>
    <s v="Dam/Dyke Building"/>
    <s v="Reforestation"/>
    <s v="Implementation of policies"/>
    <s v="Lack Of Employment"/>
    <s v="Economic Policies"/>
    <s v="Lack Of Awareness And Education"/>
    <s v="Fire"/>
    <s v="Displacement"/>
    <s v="Economic and Livelihood Loss"/>
    <s v="Drought"/>
    <s v="Awareness Raising  Education and Training"/>
    <s v="Community/Social Empowerment"/>
    <s v="Implementation of policies"/>
    <s v="Lack Of Land Surveying And Planning"/>
    <s v="Lack Of Policies"/>
    <s v="Economic Policies"/>
    <s v="Hail"/>
    <s v="Crop Damage"/>
    <s v="Building Destruction"/>
    <s v="Loss of Life"/>
    <s v="Reconstruction"/>
    <s v="Dam/Dyke Building"/>
    <s v="Reforestation"/>
    <s v="Lack Of Awareness And Education"/>
    <s v="Lack Of Coordination Between Actors"/>
    <s v="Economic Policies"/>
    <m/>
    <m/>
    <m/>
    <n v="4"/>
    <m/>
    <s v="Earthquakes"/>
    <s v="Floods"/>
    <s v="Climate Change"/>
    <n v="1"/>
    <m/>
    <m/>
    <m/>
    <m/>
    <m/>
    <m/>
    <n v="2"/>
    <m/>
    <m/>
    <m/>
    <m/>
    <m/>
    <m/>
    <m/>
    <m/>
    <n v="5"/>
    <m/>
    <m/>
    <m/>
    <m/>
    <m/>
    <n v="5"/>
    <m/>
    <m/>
    <m/>
    <m/>
    <n v="4"/>
    <m/>
    <m/>
    <m/>
    <m/>
    <m/>
    <n v="4"/>
    <m/>
    <m/>
    <m/>
    <m/>
    <m/>
    <n v="4"/>
    <m/>
    <m/>
    <s v="Lack of awareness"/>
    <s v="Information on time"/>
    <s v="Busy on work"/>
    <s v="Awareness"/>
    <s v="Lack of information"/>
    <m/>
    <m/>
    <m/>
    <m/>
    <m/>
    <n v="5"/>
    <m/>
    <m/>
    <m/>
    <m/>
    <m/>
    <n v="5"/>
    <m/>
    <m/>
    <m/>
    <m/>
    <n v="4"/>
    <m/>
    <m/>
    <m/>
    <m/>
    <m/>
    <m/>
    <n v="5"/>
    <m/>
    <m/>
    <m/>
    <n v="3"/>
    <m/>
    <m/>
    <m/>
    <s v="CC2566"/>
    <m/>
    <s v="Community Consultation"/>
  </r>
  <r>
    <n v="2567"/>
    <s v="http://www.surveygizmo.com/s3/survey/4563835/2VK5FPR097J3PKVT37FH6KSA5OTKEK?snc=1561705233_5d15bb11afa101.67689097&amp;sg_navigate=start&amp;_iseditlink=true"/>
    <s v="EDIT"/>
    <s v="Hari Prafaysad Adhikari"/>
    <s v="FAYA"/>
    <s v="Nepal  - National Society for Earthquake Technology - Nepal (NSET)"/>
    <s v="Nepal"/>
    <s v="Chaukune Rural Municipality Ward 10"/>
    <s v="Rural"/>
    <d v="2019-04-25T00:00:00"/>
    <s v="Nepal-FAYA-CC-Chaukune- Ward 10 - 5"/>
    <x v="0"/>
    <n v="15"/>
    <x v="2"/>
    <x v="3"/>
    <x v="5"/>
    <x v="8"/>
    <x v="7"/>
    <n v="1"/>
    <s v="No"/>
    <m/>
    <m/>
    <m/>
    <m/>
    <s v="No"/>
    <s v="Floods"/>
    <s v="Crop Damage"/>
    <s v="Commercial Loss"/>
    <s v="Infrastructure Damage"/>
    <s v="Dam/Dyke Building"/>
    <s v="Water and Sanitation Programme"/>
    <s v="Awareness Raising  Education and Training"/>
    <s v="Economic Policies"/>
    <s v="Economic Policies"/>
    <s v="Lack Of Awareness And Education"/>
    <s v="River swelling"/>
    <s v="Commercial Loss"/>
    <s v="Crop Damage"/>
    <s v="Building Destruction"/>
    <s v="Reforestation"/>
    <s v="Dam/Dyke Building"/>
    <s v="Awareness Raising  Education and Training"/>
    <s v="Economic Policies"/>
    <s v="Lack Of Access To Technology"/>
    <s v="Government Inefficiency"/>
    <s v="Drought"/>
    <s v="Crop Damage"/>
    <s v="Loss of Life"/>
    <s v="Loss of Values"/>
    <s v="Reforestation"/>
    <s v="Water and Sanitation Programme"/>
    <m/>
    <s v="Economic Policies"/>
    <s v="Lack Of Risk Awareness And Planning"/>
    <m/>
    <m/>
    <n v="2"/>
    <m/>
    <m/>
    <m/>
    <s v="Drought"/>
    <s v="Lack of Access to Water"/>
    <s v="Crop Damage"/>
    <n v="1"/>
    <m/>
    <m/>
    <m/>
    <m/>
    <m/>
    <n v="1"/>
    <m/>
    <m/>
    <m/>
    <m/>
    <m/>
    <n v="1"/>
    <m/>
    <m/>
    <m/>
    <m/>
    <m/>
    <n v="1"/>
    <m/>
    <m/>
    <m/>
    <m/>
    <m/>
    <n v="1"/>
    <m/>
    <m/>
    <m/>
    <m/>
    <m/>
    <n v="11"/>
    <m/>
    <m/>
    <m/>
    <m/>
    <m/>
    <n v="1"/>
    <m/>
    <m/>
    <m/>
    <m/>
    <m/>
    <s v="Uneducated"/>
    <s v="Awareness"/>
    <s v="Lack of information"/>
    <s v="Giving notice"/>
    <s v="Lack of awareness"/>
    <s v="Knowledge about disasters"/>
    <n v="1"/>
    <m/>
    <m/>
    <m/>
    <m/>
    <m/>
    <n v="1"/>
    <m/>
    <m/>
    <m/>
    <m/>
    <m/>
    <n v="1"/>
    <m/>
    <m/>
    <m/>
    <m/>
    <m/>
    <m/>
    <m/>
    <m/>
    <m/>
    <n v="5"/>
    <m/>
    <m/>
    <m/>
    <m/>
    <n v="4"/>
    <m/>
    <m/>
    <s v="CC2567"/>
    <m/>
    <s v="Community Consultation"/>
  </r>
  <r>
    <n v="2568"/>
    <s v="http://www.surveygizmo.com/s3/survey/4563835/2VK5FPR097J3PKVT37FH6KSA5OTKEK?snc=1561705598_5d15bc7e369144.23154546&amp;sg_navigate=start&amp;_iseditlink=true"/>
    <s v="EDIT"/>
    <s v="Sarasoti Timsina"/>
    <s v="NP"/>
    <s v="Nepal  - National Society for Earthquake Technology - Nepal (NSET)"/>
    <s v="Nepal"/>
    <s v="Udayapurgadhi Rural Municipality  Ward 5"/>
    <s v="Rural"/>
    <d v="2019-04-19T00:00:00"/>
    <s v="Nepal-NP-CC-Udhyapurgadhi- Ward 5 - 389"/>
    <x v="0"/>
    <n v="21"/>
    <x v="2"/>
    <x v="7"/>
    <x v="3"/>
    <x v="9"/>
    <x v="8"/>
    <m/>
    <m/>
    <m/>
    <m/>
    <m/>
    <m/>
    <s v="Yes"/>
    <s v="Lack of Access to Water"/>
    <s v="Disease/Health Effects"/>
    <s v="Environmental effects"/>
    <m/>
    <s v="Awareness Raising  Education and Training"/>
    <s v="Protect Water Tanks"/>
    <s v="Reforestation"/>
    <s v="Lack Of Awareness And Education"/>
    <s v="Economic Policies"/>
    <s v="Government Inefficiency"/>
    <s v="Disease/Epidemics"/>
    <s v="Disease/Health Effects"/>
    <s v="Economic and Livelihood Loss"/>
    <s v="Crop Damage"/>
    <s v="Awareness Raising  Education and Training"/>
    <s v="Water and Sanitation Programme"/>
    <s v="Committee Establishment"/>
    <s v="Lack Of Awareness And Education"/>
    <s v="Economic Policies"/>
    <s v="Lack Of Opportunity/Time"/>
    <s v="Fire"/>
    <s v="Loss of Life"/>
    <s v="Environmental effects"/>
    <s v="Crop Damage"/>
    <s v="Do Not Live In Risky Places"/>
    <s v="Reforestation"/>
    <s v="Awareness Raising  Education and Training"/>
    <s v="Lack Of Awareness And Education"/>
    <s v="Lack Of Community Commitment"/>
    <s v="Exclusion Based On Party Politics"/>
    <m/>
    <m/>
    <m/>
    <m/>
    <m/>
    <s v="Lack of Access to Water"/>
    <s v="Unemployment"/>
    <s v="Loss of Biodiversity"/>
    <n v="1"/>
    <m/>
    <m/>
    <m/>
    <m/>
    <m/>
    <n v="1"/>
    <m/>
    <m/>
    <m/>
    <m/>
    <m/>
    <m/>
    <n v="2"/>
    <m/>
    <m/>
    <m/>
    <m/>
    <n v="1"/>
    <m/>
    <m/>
    <m/>
    <m/>
    <m/>
    <n v="1"/>
    <m/>
    <m/>
    <m/>
    <m/>
    <m/>
    <n v="1"/>
    <m/>
    <m/>
    <m/>
    <m/>
    <m/>
    <n v="1"/>
    <m/>
    <m/>
    <m/>
    <m/>
    <m/>
    <s v="Stroms"/>
    <s v="Discussion"/>
    <s v="Lack of research"/>
    <s v="Making groups"/>
    <s v="Unmanaged society"/>
    <s v="Managed society"/>
    <m/>
    <n v="2"/>
    <m/>
    <m/>
    <m/>
    <m/>
    <n v="1"/>
    <m/>
    <m/>
    <m/>
    <m/>
    <m/>
    <n v="1"/>
    <m/>
    <m/>
    <m/>
    <m/>
    <m/>
    <m/>
    <n v="2"/>
    <m/>
    <m/>
    <m/>
    <m/>
    <n v="1"/>
    <m/>
    <m/>
    <m/>
    <m/>
    <m/>
    <s v="CC2568"/>
    <m/>
    <s v="Community Consultation"/>
  </r>
  <r>
    <n v="2569"/>
    <s v="http://www.surveygizmo.com/s3/survey/4563835/2VK5FPR097J3PKVT37FH6KSA5OTKEK?snc=1561705600_5d15bc800e40f1.65360647&amp;sg_navigate=start&amp;_iseditlink=true"/>
    <s v="EDIT"/>
    <s v="Sarasoti Timsina"/>
    <s v="NP"/>
    <s v="Nepal  - National Society for Earthquake Technology - Nepal (NSET)"/>
    <s v="Nepal"/>
    <s v="Udayapurgadhi Rural Municipality  Ward 5"/>
    <s v="Rural"/>
    <d v="2019-04-25T00:00:00"/>
    <s v="Nepal-NP-CC-Udhyapurgadhi- Ward 5 - 390"/>
    <x v="0"/>
    <n v="24"/>
    <x v="3"/>
    <x v="7"/>
    <x v="6"/>
    <x v="3"/>
    <x v="3"/>
    <m/>
    <s v="No"/>
    <m/>
    <m/>
    <m/>
    <m/>
    <s v="No"/>
    <s v="Storms"/>
    <m/>
    <s v="Building Destruction"/>
    <s v="Crop Damage"/>
    <s v="Resilience Building"/>
    <s v="Livelihood Diversification"/>
    <s v="Evacuation/Drills/Simulations"/>
    <s v="Lack Of Access To Technology"/>
    <s v="Economic Policies"/>
    <s v="Government Inefficiency"/>
    <s v="Food Insecurity"/>
    <s v="Disease/Health Effects"/>
    <s v="Psychological Effects"/>
    <s v="Crop Damage"/>
    <s v="Coastal Zone Development"/>
    <s v="Awareness Raising  Education and Training"/>
    <s v="Water and Sanitation Programme"/>
    <s v="Lack Of Access To Technology"/>
    <s v="Lack Of Land Surveying And Planning"/>
    <s v="Lack Of Awareness And Education"/>
    <s v="Storms"/>
    <s v="Economic and Livelihood Loss"/>
    <s v="Sanitation problems"/>
    <s v="Loss of Life"/>
    <s v="Awareness Raising  Education and Training"/>
    <s v="Distribution of Emergency Equipment/Survival Kits"/>
    <s v="Individual/Personal Action"/>
    <s v="Economic Policies"/>
    <s v="Lack Of Awareness And Education"/>
    <s v="Lack Of Transport"/>
    <m/>
    <m/>
    <m/>
    <m/>
    <m/>
    <s v="Food Insecurity"/>
    <s v="Lack of Access to Water"/>
    <s v="Unemployment"/>
    <n v="1"/>
    <m/>
    <m/>
    <m/>
    <m/>
    <m/>
    <m/>
    <n v="2"/>
    <m/>
    <m/>
    <m/>
    <m/>
    <m/>
    <n v="2"/>
    <m/>
    <m/>
    <m/>
    <m/>
    <m/>
    <n v="2"/>
    <m/>
    <m/>
    <m/>
    <m/>
    <m/>
    <m/>
    <m/>
    <m/>
    <n v="5"/>
    <m/>
    <m/>
    <m/>
    <n v="3"/>
    <m/>
    <m/>
    <m/>
    <m/>
    <m/>
    <m/>
    <n v="4"/>
    <m/>
    <m/>
    <s v="Unmanaged society"/>
    <s v="Friendly with others"/>
    <s v="No moving forward for any work"/>
    <s v="Skilled manpower"/>
    <s v="Budget"/>
    <s v="Managed budget"/>
    <m/>
    <n v="2"/>
    <m/>
    <m/>
    <m/>
    <m/>
    <n v="1"/>
    <m/>
    <m/>
    <m/>
    <m/>
    <m/>
    <n v="1"/>
    <m/>
    <m/>
    <m/>
    <m/>
    <m/>
    <n v="1"/>
    <m/>
    <m/>
    <m/>
    <m/>
    <m/>
    <n v="1"/>
    <m/>
    <m/>
    <m/>
    <m/>
    <m/>
    <s v="CC2569"/>
    <m/>
    <s v="Community Consultation"/>
  </r>
  <r>
    <n v="2570"/>
    <s v="http://www.surveygizmo.com/s3/survey/4563835/2VK5FPR097J3PKVT37FH6KSA5OTKEK?snc=1561705602_5d15bc823975f4.59072898&amp;sg_navigate=start&amp;_iseditlink=true"/>
    <s v="EDIT"/>
    <s v="Sarasoti Timsina"/>
    <s v="NP"/>
    <s v="Nepal  - National Society for Earthquake Technology - Nepal (NSET)"/>
    <s v="Nepal"/>
    <s v="Udayapurgadhi Rural Municipality  Ward 5"/>
    <s v="Rural"/>
    <d v="2019-04-27T00:00:00"/>
    <s v="Nepal-NP-CC-Udhyapurgadhi- Ward 5 - 391"/>
    <x v="0"/>
    <n v="9"/>
    <x v="2"/>
    <x v="3"/>
    <x v="4"/>
    <x v="0"/>
    <x v="2"/>
    <m/>
    <s v="No"/>
    <m/>
    <m/>
    <m/>
    <m/>
    <s v="Yes"/>
    <s v="Landslides"/>
    <s v="Crop Damage"/>
    <s v="Infrastructure Damage"/>
    <s v="Building Destruction"/>
    <s v="Investment in Infrastructure Improvement and Mitigation Works"/>
    <s v="Local Financial Resources for DRR/Response"/>
    <s v="Reforestation"/>
    <s v="Economic Policies"/>
    <s v="Lack Of Awareness And Education"/>
    <s v="Lack Of Risk Awareness And Planning"/>
    <s v="Storms"/>
    <s v="Injury"/>
    <s v="Economic and Livelihood Loss"/>
    <s v="Impact on Biodiversity"/>
    <s v="Maintain Basic Services (Medical and Other)"/>
    <s v="Local Financial Resources for DRR/Response"/>
    <s v="Do Not Live In Risky Places"/>
    <s v="Economic Policies"/>
    <s v="Lack Of Awareness And Education"/>
    <s v="Lack Of Land Surveying And Planning"/>
    <s v="Tornado"/>
    <s v="Building Destruction"/>
    <s v="Crop Damage"/>
    <s v="Infrastructure Damage"/>
    <s v="Resilience Building"/>
    <s v="Shelter Construction"/>
    <s v="Awareness Raising  Education and Training"/>
    <s v="Lack Of Access To Technology"/>
    <s v="Economic Policies"/>
    <s v="Lack Of Accessibility"/>
    <m/>
    <m/>
    <m/>
    <m/>
    <m/>
    <s v="Landslides"/>
    <s v="River swelling"/>
    <s v="Fire"/>
    <n v="1"/>
    <m/>
    <m/>
    <m/>
    <m/>
    <m/>
    <n v="1"/>
    <m/>
    <m/>
    <m/>
    <m/>
    <m/>
    <m/>
    <n v="2"/>
    <m/>
    <m/>
    <m/>
    <m/>
    <m/>
    <m/>
    <m/>
    <n v="4"/>
    <m/>
    <m/>
    <m/>
    <m/>
    <m/>
    <m/>
    <n v="5"/>
    <m/>
    <m/>
    <m/>
    <m/>
    <n v="4"/>
    <m/>
    <m/>
    <m/>
    <m/>
    <n v="3"/>
    <m/>
    <m/>
    <m/>
    <s v="Unmanaged society"/>
    <s v="Friendly with others"/>
    <s v="Budget"/>
    <s v="Managed budget"/>
    <s v="Unmanaged groups"/>
    <s v="Managed groups"/>
    <n v="1"/>
    <m/>
    <m/>
    <m/>
    <m/>
    <m/>
    <m/>
    <n v="2"/>
    <m/>
    <m/>
    <m/>
    <m/>
    <n v="1"/>
    <m/>
    <m/>
    <m/>
    <m/>
    <m/>
    <n v="1"/>
    <m/>
    <m/>
    <m/>
    <m/>
    <m/>
    <n v="1"/>
    <m/>
    <m/>
    <m/>
    <m/>
    <m/>
    <s v="CC2570"/>
    <m/>
    <s v="Community Consultation"/>
  </r>
  <r>
    <n v="2571"/>
    <s v="http://www.surveygizmo.com/s3/survey/4563835/2VK5FPR097J3PKVT37FH6KSA5OTKEK?snc=1561705604_5d15bc842f8e46.52960648&amp;sg_navigate=start&amp;_iseditlink=true"/>
    <s v="EDIT"/>
    <s v="Sarasoti Timsina"/>
    <s v="NP"/>
    <s v="Nepal  - National Society for Earthquake Technology - Nepal (NSET)"/>
    <s v="Nepal"/>
    <s v="Udayapurgadhi Rural Municipality  Ward 5"/>
    <s v="Rural"/>
    <d v="2019-04-26T00:00:00"/>
    <s v="Nepal-NP-CC-Udhyapurgadhi- Ward 5 - 392"/>
    <x v="0"/>
    <n v="16"/>
    <x v="0"/>
    <x v="2"/>
    <x v="6"/>
    <x v="3"/>
    <x v="8"/>
    <m/>
    <s v="No"/>
    <m/>
    <m/>
    <m/>
    <m/>
    <s v="No"/>
    <s v="Lack of Access to Water"/>
    <s v="Infrastructure Damage"/>
    <s v="Disease/Health Effects"/>
    <s v="Injury"/>
    <s v="Water and Sanitation Programme"/>
    <s v="Reforestation"/>
    <s v="Protect Water Tanks"/>
    <s v="Lack Of Awareness And Education"/>
    <s v="Lack Of Government Commitment"/>
    <s v="Economic Policies"/>
    <s v="Disease/Epidemics"/>
    <s v="Disease/Health Effects"/>
    <s v="Economic and Livelihood Loss"/>
    <s v="Injury"/>
    <s v="Awareness Raising  Education and Training"/>
    <s v="Counselling"/>
    <s v="Water and Sanitation Programme"/>
    <s v="Lack Of Awareness And Education"/>
    <s v="Lack Of Facilities"/>
    <s v="Lack Of Land Surveying And Planning"/>
    <s v="Fire"/>
    <s v="Economic and Livelihood Loss"/>
    <s v="Crop Damage"/>
    <s v="Sanitation problems"/>
    <s v="Community Self-Management"/>
    <s v="Coordination with government and authorities"/>
    <s v="Reforestation"/>
    <s v="Government Inefficiency"/>
    <s v="Economic Policies"/>
    <s v="Lack Of Coordination Between Actors"/>
    <m/>
    <m/>
    <m/>
    <m/>
    <m/>
    <m/>
    <s v="Deforestation"/>
    <s v="Food Insecurity"/>
    <n v="1"/>
    <m/>
    <m/>
    <m/>
    <m/>
    <m/>
    <n v="1"/>
    <m/>
    <m/>
    <m/>
    <m/>
    <m/>
    <m/>
    <m/>
    <n v="3"/>
    <m/>
    <m/>
    <m/>
    <m/>
    <n v="2"/>
    <m/>
    <m/>
    <m/>
    <m/>
    <m/>
    <m/>
    <m/>
    <m/>
    <n v="5"/>
    <m/>
    <m/>
    <m/>
    <n v="3"/>
    <m/>
    <m/>
    <m/>
    <m/>
    <m/>
    <m/>
    <n v="4"/>
    <m/>
    <m/>
    <s v="Unsuccess"/>
    <s v="Successfull"/>
    <s v="Busy on work"/>
    <s v="Managing  time"/>
    <s v="Unmanaged society"/>
    <s v="Skilled manpower"/>
    <n v="1"/>
    <m/>
    <m/>
    <m/>
    <m/>
    <m/>
    <n v="1"/>
    <m/>
    <m/>
    <m/>
    <m/>
    <m/>
    <n v="1"/>
    <m/>
    <m/>
    <m/>
    <m/>
    <m/>
    <n v="1"/>
    <m/>
    <m/>
    <m/>
    <m/>
    <m/>
    <n v="1"/>
    <n v="2"/>
    <m/>
    <m/>
    <m/>
    <m/>
    <s v="CC2571"/>
    <m/>
    <s v="Community Consultation"/>
  </r>
  <r>
    <n v="2572"/>
    <s v="http://www.surveygizmo.com/s3/survey/4563835/2VK5FPR097J3PKVT37FH6KSA5OTKEK?snc=1561705606_5d15bc86b073e3.09768050&amp;sg_navigate=start&amp;_iseditlink=true"/>
    <s v="EDIT"/>
    <s v="Sarasoti Timsina"/>
    <s v="NP"/>
    <s v="Nepal  - National Society for Earthquake Technology - Nepal (NSET)"/>
    <s v="Nepal"/>
    <s v="Udayapurgadhi Rural Municipality  Ward 5"/>
    <s v="Rural"/>
    <d v="2019-04-22T00:00:00"/>
    <s v="Nepal-NP-CC-Udhyapurgadhi- Ward 5 - 393"/>
    <x v="0"/>
    <n v="13"/>
    <x v="2"/>
    <x v="4"/>
    <x v="4"/>
    <x v="6"/>
    <x v="9"/>
    <m/>
    <s v="No"/>
    <m/>
    <m/>
    <m/>
    <m/>
    <s v="Yes"/>
    <s v="Floods"/>
    <s v="Infrastructure Damage"/>
    <s v="Crop Damage"/>
    <s v="Commercial Loss"/>
    <s v="Dam/Dyke Building"/>
    <s v="Investment in Infrastructure Improvement and Mitigation Works"/>
    <s v="Reforestation"/>
    <s v="Lack Of Opportunity/Time"/>
    <s v="Economic Policies"/>
    <s v="Lack Of Initiative"/>
    <s v="Lack of Access to Water"/>
    <s v="Loss of Clean Water Sources"/>
    <s v="Economic and Livelihood Loss"/>
    <s v="Disease/Health Effects"/>
    <s v="Dam/Dyke Building"/>
    <s v="Water and Sanitation Programme"/>
    <s v="Protect Water Tanks"/>
    <s v="Economic Policies"/>
    <s v="Lack Of Access To Technology"/>
    <s v="Geographical Situation"/>
    <s v="Landslides"/>
    <s v="Infrastructure Damage"/>
    <s v="Commercial Loss"/>
    <s v="Crop Damage"/>
    <s v="Awareness Raising  Education and Training"/>
    <s v="Improved Waste Management"/>
    <m/>
    <s v="Lack Of Access To Technology"/>
    <m/>
    <s v="Government Inefficiency"/>
    <m/>
    <m/>
    <m/>
    <m/>
    <m/>
    <s v="Floods"/>
    <s v="Climate Change"/>
    <s v="Geographical Landscape Inbalance"/>
    <n v="1"/>
    <m/>
    <m/>
    <m/>
    <m/>
    <m/>
    <n v="1"/>
    <m/>
    <m/>
    <m/>
    <m/>
    <m/>
    <m/>
    <n v="2"/>
    <m/>
    <m/>
    <m/>
    <m/>
    <m/>
    <n v="2"/>
    <m/>
    <m/>
    <m/>
    <m/>
    <m/>
    <m/>
    <m/>
    <n v="4"/>
    <m/>
    <m/>
    <m/>
    <m/>
    <n v="3"/>
    <m/>
    <m/>
    <m/>
    <m/>
    <m/>
    <n v="3"/>
    <m/>
    <m/>
    <m/>
    <s v="Lack of information"/>
    <s v="Managed time for discussion"/>
    <s v="Budget"/>
    <s v="Managed budget"/>
    <s v="Poverty"/>
    <s v="Skilled manpower"/>
    <n v="1"/>
    <m/>
    <m/>
    <m/>
    <m/>
    <m/>
    <n v="1"/>
    <m/>
    <m/>
    <m/>
    <m/>
    <m/>
    <n v="1"/>
    <m/>
    <m/>
    <m/>
    <m/>
    <m/>
    <n v="1"/>
    <m/>
    <m/>
    <m/>
    <m/>
    <m/>
    <m/>
    <n v="2"/>
    <m/>
    <m/>
    <m/>
    <m/>
    <s v="CC2572"/>
    <m/>
    <s v="Community Consultation"/>
  </r>
  <r>
    <n v="2580"/>
    <s v="http://www.surveygizmo.com/s3/survey/4563835/2VK5FPR097J3PKVT37FH6KSA5OTKEK?snc=1561711610_5d15d3fa703002.58257653&amp;sg_navigate=start&amp;_iseditlink=true"/>
    <s v="EDIT"/>
    <s v="Amrit Bahadur Ghote"/>
    <s v="FIRDO"/>
    <s v="Nepal  - National Society for Earthquake Technology - Nepal (NSET)"/>
    <s v="Nepal"/>
    <s v="Vyas Municipality Ward 1"/>
    <s v="Rural"/>
    <d v="2019-04-16T00:00:00"/>
    <s v="Nepal-FIRDO-CC-Vyas Ward 1 - 1"/>
    <x v="0"/>
    <n v="21"/>
    <x v="0"/>
    <x v="0"/>
    <x v="0"/>
    <x v="0"/>
    <x v="0"/>
    <n v="7"/>
    <s v="-"/>
    <m/>
    <m/>
    <m/>
    <m/>
    <s v="Yes"/>
    <s v="Lack of Access to Water"/>
    <s v="Loss of Clean Water Sources"/>
    <s v="Reduction In Irrigation"/>
    <s v="Drought"/>
    <s v="Protect Water Tanks"/>
    <s v="Water and Sanitation Programme"/>
    <s v="Climate Change Adaptation"/>
    <s v="Economic Policies"/>
    <s v="Lack Of Government Action"/>
    <s v="Water Pollution"/>
    <s v="Road Accidents"/>
    <s v="Disability"/>
    <s v="Economic and Livelihood Loss"/>
    <s v="Loss of Life"/>
    <s v="Awareness Raising  Education and Training"/>
    <s v="First Aid Course"/>
    <s v="Strengthen Security Institutions"/>
    <s v="Lack Of Access To Technology"/>
    <s v="Weak Governance"/>
    <s v="Lack Of Government Commitment"/>
    <s v="Violence"/>
    <s v="Conflict"/>
    <s v="Unemployment"/>
    <s v="Psychosocial Violence"/>
    <s v="Actions For Poverty Reduction And Employment"/>
    <s v="Implementation of policies"/>
    <s v="Community/Social Empowerment"/>
    <s v="Lack Of Awareness And Education"/>
    <s v="Government Inefficiency"/>
    <s v="Lack Of Employment"/>
    <n v="1"/>
    <m/>
    <m/>
    <m/>
    <m/>
    <s v="Violence"/>
    <s v="Wildlife Attacks"/>
    <s v="Road Accidents"/>
    <m/>
    <m/>
    <m/>
    <n v="21"/>
    <m/>
    <m/>
    <n v="2"/>
    <n v="1"/>
    <n v="7"/>
    <n v="11"/>
    <m/>
    <m/>
    <m/>
    <m/>
    <n v="11"/>
    <n v="10"/>
    <m/>
    <m/>
    <n v="21"/>
    <m/>
    <m/>
    <m/>
    <m/>
    <m/>
    <n v="3"/>
    <n v="6"/>
    <n v="1"/>
    <m/>
    <n v="11"/>
    <m/>
    <m/>
    <m/>
    <n v="1"/>
    <m/>
    <n v="20"/>
    <m/>
    <n v="1"/>
    <m/>
    <m/>
    <m/>
    <n v="20"/>
    <m/>
    <s v="Alcohol Consumption"/>
    <s v="Lack of information"/>
    <s v="Illitracy"/>
    <s v="Literacy"/>
    <s v="Lack of information"/>
    <s v="Prior Information"/>
    <m/>
    <n v="21"/>
    <m/>
    <m/>
    <m/>
    <m/>
    <m/>
    <n v="15"/>
    <n v="5"/>
    <n v="1"/>
    <m/>
    <m/>
    <n v="10"/>
    <n v="11"/>
    <m/>
    <m/>
    <m/>
    <m/>
    <m/>
    <n v="9"/>
    <n v="12"/>
    <m/>
    <m/>
    <m/>
    <m/>
    <m/>
    <n v="12"/>
    <n v="9"/>
    <m/>
    <m/>
    <s v="CC2580"/>
    <m/>
    <s v="Community Consultation"/>
  </r>
  <r>
    <n v="2581"/>
    <s v="http://www.surveygizmo.com/s3/survey/4563835/2VK5FPR097J3PKVT37FH6KSA5OTKEK?snc=1561711614_5d15d3fe86da86.71506921&amp;sg_navigate=start&amp;_iseditlink=true"/>
    <s v="EDIT"/>
    <s v="Amrit Bahadur Ghote"/>
    <s v="FIRDO"/>
    <s v="Nepal  - National Society for Earthquake Technology - Nepal (NSET)"/>
    <s v="Nepal"/>
    <s v="Vyas Municipality Ward 1"/>
    <s v="Rural"/>
    <d v="2019-01-26T00:00:00"/>
    <s v="Nepal-FIRDO-CC-Vyas Ward 1 - 2"/>
    <x v="2"/>
    <n v="11"/>
    <x v="4"/>
    <x v="8"/>
    <x v="1"/>
    <x v="1"/>
    <x v="2"/>
    <m/>
    <s v="-"/>
    <m/>
    <m/>
    <m/>
    <m/>
    <s v="No"/>
    <s v="Drug Addiction"/>
    <s v="Unemployment"/>
    <s v="Violence"/>
    <s v="Economic and Livelihood Loss"/>
    <s v="Awareness Raising  Education and Training"/>
    <s v="Risk Assessment"/>
    <s v="Strengthen Security Institutions"/>
    <s v="Economic Policies"/>
    <s v="Lack Of Risk Awareness And Planning"/>
    <s v="Lack Of Government Action"/>
    <s v="Lack of Access to Water"/>
    <s v="Water Pollution"/>
    <s v="Environmental effects"/>
    <s v="Drought"/>
    <s v="Disaster Response"/>
    <s v="Dam/Dyke Building"/>
    <s v="Protect Water Tanks"/>
    <s v="Deforestation"/>
    <s v="Lack Of Awareness And Education"/>
    <s v="Dependency"/>
    <s v="Violence"/>
    <s v="Violence"/>
    <s v="Unemployment"/>
    <s v="Economic and Livelihood Loss"/>
    <s v="Individual/Personal Action"/>
    <s v="Monitoring of Regulation and Legislation"/>
    <s v="Awareness Raising  Education and Training"/>
    <s v="Disparities In Wealth And Income"/>
    <s v="Conflict"/>
    <s v="Lack Of Government Commitment"/>
    <m/>
    <n v="2"/>
    <m/>
    <m/>
    <m/>
    <s v="Drug Addiction"/>
    <s v="Violence"/>
    <s v="Road Accidents"/>
    <m/>
    <n v="6"/>
    <n v="5"/>
    <m/>
    <m/>
    <m/>
    <n v="5"/>
    <n v="3"/>
    <n v="3"/>
    <m/>
    <m/>
    <m/>
    <n v="6"/>
    <n v="5"/>
    <m/>
    <m/>
    <m/>
    <m/>
    <n v="9"/>
    <n v="2"/>
    <m/>
    <m/>
    <m/>
    <m/>
    <n v="10"/>
    <n v="1"/>
    <m/>
    <m/>
    <m/>
    <m/>
    <n v="8"/>
    <n v="2"/>
    <n v="1"/>
    <m/>
    <m/>
    <m/>
    <n v="4"/>
    <n v="4"/>
    <n v="3"/>
    <m/>
    <m/>
    <m/>
    <s v="Information"/>
    <s v="Lack of information"/>
    <s v="Illitracy"/>
    <s v="Literacy"/>
    <s v="LAck of good relation "/>
    <s v="Good relation in community"/>
    <n v="1"/>
    <n v="3"/>
    <n v="3"/>
    <n v="4"/>
    <m/>
    <m/>
    <m/>
    <n v="3"/>
    <n v="8"/>
    <m/>
    <m/>
    <m/>
    <n v="4"/>
    <m/>
    <n v="3"/>
    <n v="4"/>
    <m/>
    <m/>
    <m/>
    <m/>
    <n v="3"/>
    <n v="8"/>
    <m/>
    <m/>
    <m/>
    <n v="4"/>
    <n v="7"/>
    <m/>
    <m/>
    <m/>
    <s v="CC2581"/>
    <m/>
    <s v="Community Consultation"/>
  </r>
  <r>
    <n v="2582"/>
    <s v="http://www.surveygizmo.com/s3/survey/4563835/2VK5FPR097J3PKVT37FH6KSA5OTKEK?snc=1561711617_5d15d401b4d448.14715253&amp;sg_navigate=start&amp;_iseditlink=true"/>
    <s v="EDIT"/>
    <s v="Hari Basnet"/>
    <s v="FIRDO"/>
    <s v="Nepal  - National Society for Earthquake Technology - Nepal (NSET)"/>
    <s v="Nepal"/>
    <s v="Vyas Municipality Ward 1"/>
    <s v="Rural"/>
    <d v="2019-04-28T00:00:00"/>
    <s v="Nepal-FIRDO-CC-Vyas Ward 1 - 3"/>
    <x v="1"/>
    <n v="10"/>
    <x v="0"/>
    <x v="0"/>
    <x v="1"/>
    <x v="1"/>
    <x v="2"/>
    <n v="10"/>
    <s v="-"/>
    <m/>
    <m/>
    <m/>
    <m/>
    <s v="Yes"/>
    <s v="Wildlife Attacks"/>
    <s v="Water Pollution"/>
    <s v="Famine"/>
    <s v="Environmental effects"/>
    <s v="Disaster Response"/>
    <s v="Reforestation"/>
    <s v="Disaster Preparedness"/>
    <s v="Exclusion Of Ethnic Minorities Or Indigenous People"/>
    <s v="Economic Policies"/>
    <s v="Disparities In Wealth And Income"/>
    <s v="Alcoholism"/>
    <s v="Commercial Loss"/>
    <s v="Economic and Livelihood Loss"/>
    <s v="Violence"/>
    <s v="Actions For Poverty Reduction And Employment"/>
    <s v="Monitoring of Regulation and Legislation"/>
    <s v="Strengthen Security Institutions"/>
    <s v="Lack Of Preparedness"/>
    <s v="Lack Of Productive Techniques"/>
    <s v="Corruption"/>
    <s v="Unemployment"/>
    <s v="Impoverishment"/>
    <s v="School/Education Drop Out"/>
    <s v="Lack of Peace and order"/>
    <s v="Awareness Raising  Education and Training"/>
    <s v="Business Development"/>
    <s v="Coordination and Inter Institutional Partnerships with NGOs and Other Actors"/>
    <s v="Exclusion Of Youth"/>
    <s v="Lack Of Resources"/>
    <s v="Government Inefficiency"/>
    <m/>
    <m/>
    <n v="3"/>
    <m/>
    <m/>
    <s v="Drug Addiction"/>
    <s v="Road Accidents"/>
    <m/>
    <n v="2"/>
    <m/>
    <m/>
    <m/>
    <m/>
    <m/>
    <m/>
    <n v="2"/>
    <m/>
    <m/>
    <m/>
    <m/>
    <m/>
    <n v="1"/>
    <m/>
    <m/>
    <m/>
    <m/>
    <n v="1"/>
    <m/>
    <m/>
    <m/>
    <m/>
    <m/>
    <m/>
    <m/>
    <n v="3"/>
    <n v="2"/>
    <m/>
    <m/>
    <m/>
    <n v="2"/>
    <n v="5"/>
    <m/>
    <m/>
    <m/>
    <m/>
    <m/>
    <n v="3"/>
    <m/>
    <m/>
    <m/>
    <s v="Lack of information"/>
    <s v="prior information"/>
    <s v="lack of economy"/>
    <s v="Economy management "/>
    <s v="lack of meeting hall "/>
    <s v="Economy management "/>
    <m/>
    <n v="2"/>
    <n v="4"/>
    <n v="4"/>
    <m/>
    <m/>
    <m/>
    <n v="2"/>
    <n v="4"/>
    <m/>
    <m/>
    <m/>
    <m/>
    <n v="3"/>
    <n v="2"/>
    <m/>
    <m/>
    <m/>
    <m/>
    <n v="4"/>
    <n v="4"/>
    <n v="2"/>
    <m/>
    <m/>
    <m/>
    <n v="2"/>
    <n v="2"/>
    <m/>
    <m/>
    <m/>
    <s v="CC2582"/>
    <m/>
    <s v="Community Consultation"/>
  </r>
  <r>
    <n v="2583"/>
    <s v="http://www.surveygizmo.com/s3/survey/4563835/2VK5FPR097J3PKVT37FH6KSA5OTKEK?snc=1561711620_5d15d4044f6025.38278919&amp;sg_navigate=start&amp;_iseditlink=true"/>
    <s v="EDIT"/>
    <s v="Amrit Bahadur Ghote"/>
    <s v="FIRDO"/>
    <s v="Nepal  - National Society for Earthquake Technology - Nepal (NSET)"/>
    <s v="Nepal"/>
    <s v="Vyas Municipality Ward 1"/>
    <s v="Rural"/>
    <d v="2019-04-19T00:00:00"/>
    <s v="Nepal-FIRDO-CC-Vyas Ward 1 - 4"/>
    <x v="3"/>
    <n v="14"/>
    <x v="0"/>
    <x v="0"/>
    <x v="7"/>
    <x v="3"/>
    <x v="3"/>
    <m/>
    <s v="-"/>
    <m/>
    <m/>
    <m/>
    <m/>
    <s v="No"/>
    <s v="Wildlife Attacks"/>
    <s v="Crop Damage"/>
    <s v="Reduced Yields"/>
    <s v="Commercial Loss"/>
    <s v="Community/Social Empowerment"/>
    <s v="Counselling"/>
    <s v="Awareness Raising  Education and Training"/>
    <s v="Deforestation"/>
    <s v="Lack Of Community Commitment"/>
    <s v="Lack Of Preparedness"/>
    <s v="Alcoholism"/>
    <s v="Hopelessness"/>
    <s v="Commercial Loss"/>
    <s v="Disease/Health Effects"/>
    <s v="Counselling"/>
    <s v="Coordination with government and authorities"/>
    <s v="Actions For Poverty Reduction And Employment"/>
    <s v="Communication Issues"/>
    <s v="Alcoholism"/>
    <s v="Poverty"/>
    <s v="Road Accidents"/>
    <s v="Loss of Life"/>
    <s v="Commercial Loss"/>
    <s v="Hopelessness"/>
    <s v="Counselling"/>
    <s v="Awareness Raising  Education and Training"/>
    <s v="Coordination and Inter Institutional Partnerships with NGOs and Other Actors"/>
    <s v="Conflict"/>
    <s v="Lack Of Transport"/>
    <s v="Loss Of Hope And Credibility In Authorities"/>
    <m/>
    <s v="-"/>
    <m/>
    <m/>
    <m/>
    <s v="Alcoholism"/>
    <s v="Crop Damage"/>
    <s v="Discrimination"/>
    <m/>
    <m/>
    <n v="9"/>
    <n v="5"/>
    <m/>
    <m/>
    <m/>
    <n v="5"/>
    <n v="3"/>
    <n v="6"/>
    <m/>
    <m/>
    <n v="11"/>
    <n v="3"/>
    <m/>
    <m/>
    <m/>
    <m/>
    <n v="3"/>
    <n v="7"/>
    <n v="4"/>
    <m/>
    <m/>
    <m/>
    <n v="10"/>
    <n v="4"/>
    <m/>
    <m/>
    <m/>
    <m/>
    <m/>
    <n v="6"/>
    <n v="5"/>
    <n v="3"/>
    <m/>
    <m/>
    <m/>
    <n v="4"/>
    <n v="10"/>
    <m/>
    <m/>
    <m/>
    <s v="Violance "/>
    <s v="Omitting alcohol "/>
    <s v="Female Violance "/>
    <s v="Awareness and education"/>
    <s v="Illitracy"/>
    <s v="Awareness and education"/>
    <n v="9"/>
    <n v="5"/>
    <m/>
    <m/>
    <m/>
    <m/>
    <m/>
    <n v="2"/>
    <n v="4"/>
    <n v="8"/>
    <m/>
    <m/>
    <m/>
    <n v="4"/>
    <n v="3"/>
    <n v="7"/>
    <m/>
    <m/>
    <m/>
    <m/>
    <n v="9"/>
    <n v="5"/>
    <m/>
    <m/>
    <m/>
    <n v="8"/>
    <n v="3"/>
    <n v="3"/>
    <m/>
    <m/>
    <s v="CC2583"/>
    <m/>
    <s v="Community Consultation"/>
  </r>
  <r>
    <n v="2584"/>
    <s v="http://www.surveygizmo.com/s3/survey/4563835/2VK5FPR097J3PKVT37FH6KSA5OTKEK?snc=1561711623_5d15d4072b53b9.47315984&amp;sg_navigate=start&amp;_iseditlink=true"/>
    <s v="EDIT"/>
    <s v="Amrit Bahadur Ghote"/>
    <s v="FIRDO"/>
    <s v="Nepal  - National Society for Earthquake Technology - Nepal (NSET)"/>
    <s v="Nepal"/>
    <s v="Vyas Municipality Ward 1"/>
    <s v="Rural"/>
    <d v="2019-04-19T00:00:00"/>
    <s v="Nepal-FIRDO-CC-Vyas Ward 1 - 5"/>
    <x v="4"/>
    <n v="6"/>
    <x v="0"/>
    <x v="0"/>
    <x v="6"/>
    <x v="10"/>
    <x v="10"/>
    <m/>
    <s v="-"/>
    <m/>
    <m/>
    <m/>
    <m/>
    <s v="No"/>
    <s v="Violence"/>
    <s v="Unemployment"/>
    <s v="Disability"/>
    <s v="Conflict"/>
    <s v="Awareness Raising  Education and Training"/>
    <s v="Local government action"/>
    <s v="Monitoring of Regulation and Legislation"/>
    <s v="Lack Of Accessibility"/>
    <s v="Lack Of Government Commitment"/>
    <s v="Lack Of Awareness And Education"/>
    <s v="Unemployment"/>
    <s v="Disease/Health Effects"/>
    <s v="Economic and Livelihood Loss"/>
    <s v="Conflict"/>
    <s v="Contingency Planning"/>
    <s v="Community/Social Empowerment"/>
    <s v="Committee Establishment"/>
    <s v="Communication Issues"/>
    <s v="Exclusion Based On Party Politics"/>
    <s v="Economic Policies"/>
    <s v="Road Accidents"/>
    <s v="Commercial Loss"/>
    <s v="Disease/Health Effects"/>
    <s v="Disability"/>
    <s v="Counselling"/>
    <s v="Awareness Raising  Education and Training"/>
    <s v="First Aid Course"/>
    <s v="Economic Policies"/>
    <s v="Lack Of Transport"/>
    <s v="Lack Of Awareness And Education"/>
    <m/>
    <s v="-"/>
    <m/>
    <m/>
    <m/>
    <s v="Road Accidents"/>
    <s v="Wildlife Attacks"/>
    <s v="Lack of Access to Water"/>
    <m/>
    <n v="3"/>
    <n v="3"/>
    <m/>
    <m/>
    <m/>
    <m/>
    <n v="2"/>
    <m/>
    <n v="2"/>
    <n v="2"/>
    <m/>
    <n v="3"/>
    <n v="1"/>
    <n v="2"/>
    <m/>
    <m/>
    <m/>
    <m/>
    <m/>
    <n v="3"/>
    <n v="3"/>
    <m/>
    <m/>
    <m/>
    <n v="4"/>
    <m/>
    <n v="2"/>
    <m/>
    <m/>
    <m/>
    <m/>
    <m/>
    <n v="6"/>
    <m/>
    <m/>
    <m/>
    <n v="3"/>
    <n v="3"/>
    <m/>
    <m/>
    <m/>
    <s v="Information"/>
    <s v="prior information"/>
    <s v="LAck of good relation"/>
    <s v="good relation in family"/>
    <s v="Illitracy"/>
    <s v="Literacy"/>
    <n v="3"/>
    <n v="2"/>
    <n v="1"/>
    <m/>
    <m/>
    <m/>
    <m/>
    <n v="2"/>
    <m/>
    <n v="3"/>
    <m/>
    <m/>
    <m/>
    <n v="2"/>
    <n v="1"/>
    <n v="3"/>
    <m/>
    <m/>
    <m/>
    <n v="2"/>
    <m/>
    <n v="4"/>
    <m/>
    <m/>
    <m/>
    <n v="2"/>
    <n v="3"/>
    <n v="1"/>
    <m/>
    <m/>
    <s v="CC2584"/>
    <m/>
    <s v="Community Consultation"/>
  </r>
  <r>
    <n v="2588"/>
    <s v="http://www.surveygizmo.com/s3/survey/4563835/2VK5FPR097J3PKVT37FH6KSA5OTKEK?snc=1561721593_5d15faf951cb10.77866650&amp;sg_navigate=start&amp;_iseditlink=true"/>
    <s v="EDIT"/>
    <s v="Amrit Bahadur Ghote"/>
    <s v="FIRDO"/>
    <s v="Nepal  - National Society for Earthquake Technology - Nepal (NSET)"/>
    <s v="Nepal"/>
    <s v="Gandaki Rural Municipality Ward 2"/>
    <s v="Rural"/>
    <d v="2019-05-28T00:00:00"/>
    <s v="Nepal-FIRDO-CC-Gandaki Ward 2 - 1"/>
    <x v="3"/>
    <n v="35"/>
    <x v="0"/>
    <x v="7"/>
    <x v="8"/>
    <x v="5"/>
    <x v="9"/>
    <n v="5"/>
    <s v="No"/>
    <m/>
    <m/>
    <m/>
    <m/>
    <s v="Yes"/>
    <s v="Lack of Access to Water"/>
    <s v="Economic and Livelihood Loss"/>
    <s v="Traffic Congestion"/>
    <s v="Crop Damage"/>
    <s v="Dam/Dyke Building"/>
    <s v="Protect Water Tanks"/>
    <s v="Awareness Raising  Education and Training"/>
    <s v="Lack Of Accessibility"/>
    <s v="Lack Of Policies"/>
    <s v="Lack Of Accessibility"/>
    <s v="Unemployment"/>
    <s v="Economic and Livelihood Loss"/>
    <s v="Food Insecurity"/>
    <s v="Traffic Congestion"/>
    <s v="Awareness Raising  Education and Training"/>
    <s v="Recovery of Native Seeds"/>
    <s v="Promote and Maintain Ancestral Knowledge and Practices"/>
    <s v="Lack Of Accessibility"/>
    <s v="Lack Of Accessibility"/>
    <s v="Lack Of Awareness And Education"/>
    <s v="Lack of Access to Water"/>
    <s v="Displacement"/>
    <s v="Loss of Clean Water Sources"/>
    <s v="Infrastructure Damage"/>
    <s v="Stock Piling"/>
    <s v="Protect Water Tanks"/>
    <s v="Dam/Dyke Building"/>
    <s v="Lack Of Awareness And Education"/>
    <s v="Lack Of Accessibility"/>
    <s v="Lack Of Policies"/>
    <m/>
    <n v="2"/>
    <m/>
    <m/>
    <m/>
    <s v="Unemployment"/>
    <s v="Road Accidents"/>
    <s v="Lack of Access to Water"/>
    <n v="15"/>
    <n v="14"/>
    <n v="6"/>
    <m/>
    <m/>
    <m/>
    <n v="20"/>
    <n v="8"/>
    <n v="7"/>
    <m/>
    <m/>
    <m/>
    <n v="25"/>
    <n v="10"/>
    <m/>
    <m/>
    <m/>
    <m/>
    <n v="28"/>
    <n v="2"/>
    <n v="5"/>
    <m/>
    <m/>
    <m/>
    <n v="29"/>
    <n v="2"/>
    <n v="4"/>
    <m/>
    <m/>
    <m/>
    <n v="19"/>
    <n v="2"/>
    <n v="10"/>
    <m/>
    <m/>
    <m/>
    <n v="5"/>
    <n v="20"/>
    <n v="10"/>
    <m/>
    <m/>
    <m/>
    <s v="Information"/>
    <s v="Giving notice"/>
    <s v="Busy on work"/>
    <s v="Managing time"/>
    <s v="Time"/>
    <s v="Work on time"/>
    <m/>
    <n v="5"/>
    <n v="10"/>
    <n v="20"/>
    <m/>
    <m/>
    <m/>
    <n v="14"/>
    <n v="16"/>
    <n v="5"/>
    <m/>
    <m/>
    <n v="28"/>
    <n v="2"/>
    <n v="5"/>
    <m/>
    <m/>
    <m/>
    <m/>
    <n v="1"/>
    <n v="5"/>
    <m/>
    <n v="29"/>
    <m/>
    <n v="3"/>
    <n v="2"/>
    <n v="16"/>
    <n v="14"/>
    <m/>
    <m/>
    <s v="CC2588"/>
    <m/>
    <s v="Community Consultation"/>
  </r>
  <r>
    <n v="2589"/>
    <s v="http://www.surveygizmo.com/s3/survey/4563835/2VK5FPR097J3PKVT37FH6KSA5OTKEK?snc=1561721596_5d15fafc1c23d4.48116382&amp;sg_navigate=start&amp;_iseditlink=true"/>
    <s v="EDIT"/>
    <s v="Amrit Bahadur Ghote"/>
    <s v="FIRDO"/>
    <s v="Nepal  - National Society for Earthquake Technology - Nepal (NSET)"/>
    <s v="Nepal"/>
    <s v="Gandaki Rural Municipality Ward 2"/>
    <s v="Rural"/>
    <d v="2019-05-16T00:00:00"/>
    <s v="Nepal-FIRDO-CC-Gandaki Ward 2 - 2"/>
    <x v="2"/>
    <n v="16"/>
    <x v="5"/>
    <x v="7"/>
    <x v="9"/>
    <x v="1"/>
    <x v="2"/>
    <m/>
    <s v="No"/>
    <m/>
    <m/>
    <m/>
    <m/>
    <s v="Yes"/>
    <s v="Unemployment"/>
    <s v="Economic and Livelihood Loss"/>
    <s v="Disease/Health Effects"/>
    <s v="Traffic Congestion"/>
    <s v="Awareness Raising  Education and Training"/>
    <s v="Investment in Infrastructure Improvement and Mitigation Works"/>
    <s v="Distribution of Emergency Equipment/Survival Kits"/>
    <s v="Lack Of Accessibility"/>
    <s v="Lack Of Capacity"/>
    <s v="Lack Of Awareness And Education"/>
    <s v="Lack of Access to Water"/>
    <s v="Loss of Clean Water Sources"/>
    <s v="Economic and Livelihood Loss"/>
    <s v="Conflict"/>
    <s v="Dam/Dyke Building"/>
    <s v="Protect Water Tanks"/>
    <s v="Implementation of policies"/>
    <s v="Lack Of Access To Technology"/>
    <s v="Lack Of Awareness And Education"/>
    <s v="Lack Of Land Surveying And Planning"/>
    <s v="Road Accidents"/>
    <s v="Displacement"/>
    <s v="Crop Damage"/>
    <s v="Conflict"/>
    <s v="Reconstruction"/>
    <s v="Disaster Preparedness"/>
    <s v="Dam/Dyke Building"/>
    <s v="Lack Of Accessibility"/>
    <s v="Lack Of Awareness And Education"/>
    <s v="Lack Of Accessibility"/>
    <m/>
    <n v="2"/>
    <m/>
    <m/>
    <m/>
    <s v="Alcoholism"/>
    <s v="Unemployment"/>
    <s v="Drug Addiction"/>
    <n v="3"/>
    <n v="4"/>
    <n v="3"/>
    <n v="5"/>
    <n v="1"/>
    <m/>
    <n v="3"/>
    <n v="1"/>
    <n v="9"/>
    <n v="3"/>
    <m/>
    <m/>
    <n v="11"/>
    <n v="3"/>
    <n v="2"/>
    <m/>
    <m/>
    <m/>
    <n v="11"/>
    <n v="2"/>
    <n v="3"/>
    <m/>
    <m/>
    <m/>
    <n v="9"/>
    <n v="2"/>
    <n v="3"/>
    <n v="2"/>
    <m/>
    <m/>
    <n v="4"/>
    <n v="4"/>
    <n v="2"/>
    <n v="3"/>
    <n v="3"/>
    <m/>
    <m/>
    <n v="2"/>
    <n v="9"/>
    <n v="5"/>
    <m/>
    <m/>
    <s v="Uneducated"/>
    <s v="Educated"/>
    <s v="Alcoholism"/>
    <s v="Controlling alcohol"/>
    <s v="Information"/>
    <s v="Giving notice"/>
    <n v="2"/>
    <n v="5"/>
    <n v="7"/>
    <n v="2"/>
    <m/>
    <m/>
    <n v="4"/>
    <n v="3"/>
    <n v="9"/>
    <m/>
    <m/>
    <m/>
    <n v="8"/>
    <n v="5"/>
    <n v="3"/>
    <m/>
    <m/>
    <m/>
    <m/>
    <n v="5"/>
    <n v="9"/>
    <n v="2"/>
    <m/>
    <m/>
    <n v="6"/>
    <n v="5"/>
    <n v="5"/>
    <m/>
    <m/>
    <m/>
    <s v="CC2589"/>
    <m/>
    <s v="Community Consultation"/>
  </r>
  <r>
    <n v="2590"/>
    <s v="http://www.surveygizmo.com/s3/survey/4563835/2VK5FPR097J3PKVT37FH6KSA5OTKEK?snc=1561721598_5d15fafe7a1b74.73800199&amp;sg_navigate=start&amp;_iseditlink=true"/>
    <s v="EDIT"/>
    <s v="Amrit Bahadur Ghote"/>
    <s v="FIRDO"/>
    <s v="Nepal  - National Society for Earthquake Technology - Nepal (NSET)"/>
    <s v="Nepal"/>
    <s v="Gandaki Rural Municipality Ward 2"/>
    <s v="Rural"/>
    <d v="2019-05-16T00:00:00"/>
    <s v="Nepal-FIRDO-CC-Gandaki Ward 2 - 3"/>
    <x v="1"/>
    <n v="15"/>
    <x v="0"/>
    <x v="0"/>
    <x v="1"/>
    <x v="1"/>
    <x v="0"/>
    <n v="6"/>
    <s v="No"/>
    <m/>
    <m/>
    <m/>
    <m/>
    <s v="Yes"/>
    <s v="Earthquakes"/>
    <s v="Building Destruction"/>
    <s v="Loss of Life"/>
    <s v="Economic and Livelihood Loss"/>
    <s v="Resilience Building"/>
    <s v="Awareness Raising  Education and Training"/>
    <s v="Awareness Raising  Education and Training"/>
    <s v="Lack Of Accessibility"/>
    <s v="Lack Of Awareness And Education"/>
    <s v="Lack Of Accessibility"/>
    <s v="Lack of Access to Water"/>
    <s v="Commercial Loss"/>
    <s v="Conflict"/>
    <s v="Loss of Clean Water Sources"/>
    <s v="Water and Sanitation Programme"/>
    <s v="Dam/Dyke Building"/>
    <s v="Protect Water Tanks"/>
    <s v="Lack Of Accessibility"/>
    <s v="Lack Of Policies"/>
    <s v="Lack Of Accessibility"/>
    <s v="Landslides"/>
    <s v="Building Destruction"/>
    <s v="Economic and Livelihood Loss"/>
    <s v="Crop Damage"/>
    <s v="Do Not Live In Risky Places"/>
    <s v="Recovery of Native Seeds"/>
    <s v="Dam/Dyke Building"/>
    <s v="Lack Of Awareness And Education"/>
    <s v="Lack Of Awareness And Education"/>
    <s v="Lack Of Accessibility"/>
    <m/>
    <n v="2"/>
    <m/>
    <m/>
    <m/>
    <s v="Lack of Access to Water"/>
    <s v="Earthquakes"/>
    <s v="Unemployment"/>
    <m/>
    <n v="9"/>
    <n v="6"/>
    <m/>
    <m/>
    <m/>
    <n v="2"/>
    <n v="5"/>
    <n v="5"/>
    <n v="3"/>
    <m/>
    <m/>
    <n v="11"/>
    <n v="4"/>
    <m/>
    <m/>
    <m/>
    <m/>
    <n v="3"/>
    <n v="9"/>
    <n v="3"/>
    <m/>
    <m/>
    <m/>
    <n v="2"/>
    <n v="5"/>
    <n v="5"/>
    <n v="3"/>
    <m/>
    <m/>
    <m/>
    <n v="11"/>
    <n v="4"/>
    <m/>
    <m/>
    <m/>
    <m/>
    <n v="10"/>
    <n v="3"/>
    <n v="2"/>
    <m/>
    <m/>
    <s v="Not listening to big"/>
    <s v="Awareness"/>
    <s v="Information"/>
    <s v="Giving notice"/>
    <s v="Uneducated"/>
    <s v="educated"/>
    <m/>
    <n v="4"/>
    <n v="4"/>
    <n v="6"/>
    <n v="1"/>
    <m/>
    <n v="1"/>
    <n v="3"/>
    <n v="2"/>
    <n v="9"/>
    <m/>
    <m/>
    <m/>
    <m/>
    <n v="4"/>
    <n v="11"/>
    <m/>
    <m/>
    <m/>
    <n v="5"/>
    <n v="3"/>
    <n v="7"/>
    <m/>
    <m/>
    <m/>
    <n v="11"/>
    <n v="4"/>
    <m/>
    <m/>
    <m/>
    <s v="CC2590"/>
    <m/>
    <s v="Community Consultation"/>
  </r>
  <r>
    <n v="2591"/>
    <s v="http://www.surveygizmo.com/s3/survey/4563835/2VK5FPR097J3PKVT37FH6KSA5OTKEK?snc=1561721600_5d15fb006e2667.83813121&amp;sg_navigate=start&amp;_iseditlink=true"/>
    <s v="EDIT"/>
    <s v="Amrit Bahadur Ghote"/>
    <s v="FIRDO"/>
    <s v="Nepal  - National Society for Earthquake Technology - Nepal (NSET)"/>
    <s v="Nepal"/>
    <s v="Gandaki Rural Municipality Ward 2"/>
    <s v="Rural"/>
    <d v="2019-05-26T00:00:00"/>
    <s v="Nepal-FIRDO-CC-Gandaki Ward 2 - 4"/>
    <x v="0"/>
    <n v="35"/>
    <x v="0"/>
    <x v="9"/>
    <x v="8"/>
    <x v="9"/>
    <x v="2"/>
    <m/>
    <s v="No"/>
    <m/>
    <m/>
    <m/>
    <m/>
    <s v="Yes"/>
    <s v="Lack of Access to Water"/>
    <s v="Commercial Loss"/>
    <s v="Crop Damage"/>
    <s v="Environmental effects"/>
    <s v="Dam/Dyke Building"/>
    <s v="Protect Water Tanks"/>
    <s v="Water and Sanitation Programme"/>
    <s v="Lack Of Awareness And Education"/>
    <m/>
    <m/>
    <s v="Lack of Access to Basic Services"/>
    <s v="Commercial Loss"/>
    <s v="Impoverishment"/>
    <s v="Price Rises"/>
    <s v="Reconstruction"/>
    <m/>
    <m/>
    <s v="Lack Of Awareness And Education"/>
    <s v="Lack Of Access To Technology"/>
    <s v="Landlessness"/>
    <s v="Early marriage"/>
    <s v="Loss of Access to Basic Services"/>
    <s v="Disease/Health Effects"/>
    <s v="Disease/Health Effects"/>
    <s v="Awareness Raising  Education and Training"/>
    <s v="Implementation of policies"/>
    <s v="Child Protection"/>
    <s v="Geographical Situation"/>
    <s v="Lack Of Accessibility"/>
    <s v="Lack Of Land Surveying And Planning"/>
    <m/>
    <n v="2"/>
    <m/>
    <m/>
    <m/>
    <s v="Crop Damage"/>
    <s v="Lack of Access to Water"/>
    <s v="Wildlife Attacks"/>
    <n v="9"/>
    <n v="22"/>
    <n v="4"/>
    <m/>
    <m/>
    <m/>
    <n v="15"/>
    <n v="11"/>
    <n v="3"/>
    <n v="6"/>
    <m/>
    <m/>
    <n v="6"/>
    <n v="15"/>
    <n v="11"/>
    <n v="3"/>
    <m/>
    <m/>
    <n v="19"/>
    <n v="6"/>
    <n v="7"/>
    <n v="3"/>
    <m/>
    <m/>
    <n v="22"/>
    <n v="7"/>
    <n v="3"/>
    <n v="3"/>
    <m/>
    <m/>
    <n v="11"/>
    <m/>
    <n v="23"/>
    <n v="1"/>
    <m/>
    <m/>
    <n v="5"/>
    <n v="23"/>
    <n v="7"/>
    <m/>
    <m/>
    <m/>
    <s v="Lack of participation"/>
    <s v="Listening to others"/>
    <s v="Lack of information"/>
    <s v="Giving notice"/>
    <s v="Programme running far"/>
    <s v="Managing time"/>
    <n v="11"/>
    <n v="9"/>
    <n v="15"/>
    <m/>
    <m/>
    <m/>
    <n v="26"/>
    <n v="4"/>
    <n v="5"/>
    <m/>
    <m/>
    <m/>
    <n v="30"/>
    <n v="5"/>
    <m/>
    <m/>
    <m/>
    <m/>
    <n v="32"/>
    <n v="3"/>
    <m/>
    <m/>
    <m/>
    <m/>
    <n v="11"/>
    <n v="18"/>
    <n v="6"/>
    <m/>
    <m/>
    <m/>
    <s v="CC2591"/>
    <m/>
    <s v="Community Consultation"/>
  </r>
  <r>
    <n v="2599"/>
    <s v="http://www.surveygizmo.com/s3/survey/4563835/2VK5FPR097J3PKVT37FH6KSA5OTKEK?snc=1561745562_5d16589a93c6c4.54408109&amp;sg_navigate=start&amp;_iseditlink=true"/>
    <s v="EDIT"/>
    <s v="Amrit Bahadur Ghote"/>
    <s v="FAYA"/>
    <s v="Nepal  - National Society for Earthquake Technology - Nepal (NSET)"/>
    <s v="Nepal"/>
    <s v="Galyang Municipality Ward 5"/>
    <s v="Rural"/>
    <d v="2019-04-16T00:00:00"/>
    <s v="Nepal-FAYA-CC-Galyang Ward 5 - 1"/>
    <x v="3"/>
    <n v="31"/>
    <x v="2"/>
    <x v="6"/>
    <x v="10"/>
    <x v="9"/>
    <x v="4"/>
    <n v="9"/>
    <s v="No"/>
    <m/>
    <m/>
    <m/>
    <m/>
    <s v="Yes"/>
    <s v="Wildlife Attacks"/>
    <s v="Crop Damage"/>
    <s v="Economic and Livelihood Loss"/>
    <s v="Commercial Loss"/>
    <s v="Implementation of policies"/>
    <s v="Local government action"/>
    <s v="Individual/Personal Action"/>
    <s v="Lack Of Resources"/>
    <s v="Lack Of Transport"/>
    <s v="Lack Of Awareness And Education"/>
    <s v="Traffic Congestion"/>
    <s v="Environmental effects"/>
    <s v="Sanitation problems"/>
    <s v="Erosion"/>
    <s v="Climate Change Adaptation"/>
    <s v="Climate Change Mitigation"/>
    <s v="Awareness Raising  Education and Training"/>
    <s v="Geographical Situation"/>
    <s v="Lack Of Government Action"/>
    <s v="Lack Of Accessibility"/>
    <s v="Lack of Access to Water"/>
    <s v="Disease/Health Effects"/>
    <s v="Loss of Values"/>
    <s v="Impact on Biodiversity"/>
    <s v="Investment in Infrastructure Improvement and Mitigation Works"/>
    <s v="Reconstruction"/>
    <s v="Protect Water Tanks"/>
    <m/>
    <m/>
    <m/>
    <m/>
    <m/>
    <m/>
    <m/>
    <m/>
    <s v="Wildlife Attacks"/>
    <s v="Drought"/>
    <s v="Lack of Access to Water"/>
    <n v="2"/>
    <m/>
    <n v="8"/>
    <n v="15"/>
    <n v="5"/>
    <m/>
    <n v="3"/>
    <n v="13"/>
    <n v="9"/>
    <n v="5"/>
    <n v="1"/>
    <m/>
    <n v="3"/>
    <n v="15"/>
    <n v="11"/>
    <n v="2"/>
    <m/>
    <m/>
    <n v="2"/>
    <n v="4"/>
    <n v="6"/>
    <n v="2"/>
    <n v="15"/>
    <m/>
    <n v="11"/>
    <n v="15"/>
    <m/>
    <n v="5"/>
    <m/>
    <m/>
    <n v="15"/>
    <n v="3"/>
    <m/>
    <n v="10"/>
    <n v="4"/>
    <m/>
    <n v="15"/>
    <n v="2"/>
    <n v="14"/>
    <m/>
    <n v="1"/>
    <m/>
    <s v="Lack of transportation"/>
    <s v="Development"/>
    <s v="Geographical problems"/>
    <s v="Skilled manpower"/>
    <s v="Lack of information"/>
    <s v="Giving notice"/>
    <m/>
    <n v="11"/>
    <n v="5"/>
    <m/>
    <n v="15"/>
    <m/>
    <n v="3"/>
    <n v="9"/>
    <n v="2"/>
    <n v="2"/>
    <n v="15"/>
    <m/>
    <m/>
    <n v="15"/>
    <m/>
    <n v="15"/>
    <n v="1"/>
    <m/>
    <n v="15"/>
    <n v="3"/>
    <n v="7"/>
    <m/>
    <n v="6"/>
    <m/>
    <m/>
    <n v="15"/>
    <n v="1"/>
    <n v="14"/>
    <n v="1"/>
    <m/>
    <s v="CC2599"/>
    <m/>
    <s v="Community Consultation"/>
  </r>
  <r>
    <n v="2600"/>
    <s v="http://www.surveygizmo.com/s3/survey/4563835/2VK5FPR097J3PKVT37FH6KSA5OTKEK?snc=1561745564_5d16589cd59e36.16770823&amp;sg_navigate=start&amp;_iseditlink=true"/>
    <s v="EDIT"/>
    <s v="Amrit Bahadur Ghote"/>
    <s v="FAYA"/>
    <s v="Nepal  - National Society for Earthquake Technology - Nepal (NSET)"/>
    <s v="Nepal"/>
    <s v="Galyang Municipality Ward 5"/>
    <s v="Rural"/>
    <d v="2019-04-22T00:00:00"/>
    <s v="Nepal-FAYA-CC-Galyang Ward 5 - 2"/>
    <x v="0"/>
    <n v="24"/>
    <x v="5"/>
    <x v="10"/>
    <x v="7"/>
    <x v="9"/>
    <x v="3"/>
    <m/>
    <s v="No"/>
    <m/>
    <m/>
    <m/>
    <m/>
    <s v="No"/>
    <s v="Wildlife Attacks"/>
    <s v="Crop Damage"/>
    <s v="Environmental effects"/>
    <m/>
    <s v="Implementation of policies"/>
    <s v="Individual/Personal Action"/>
    <m/>
    <s v="Lack Of Transport"/>
    <s v="Lack Of Awareness And Education"/>
    <m/>
    <s v="Wildlife Attacks"/>
    <s v="Crop Damage"/>
    <s v="Crop Damage"/>
    <s v="Economic and Livelihood Loss"/>
    <s v="Implementation of policies"/>
    <s v="Improved Waste Management"/>
    <s v="Individual/Personal Action"/>
    <s v="Lack Of Transport"/>
    <s v="Geographical Situation"/>
    <s v="Lack Of Awareness And Education"/>
    <s v="Stray Animals"/>
    <s v="Crop Damage"/>
    <s v="Crop Damage"/>
    <m/>
    <s v="Resilient Agricultural Techniques"/>
    <s v="Food Security Actions"/>
    <m/>
    <s v="Lack Of Access To Technology"/>
    <s v="Geographical Situation"/>
    <m/>
    <m/>
    <m/>
    <m/>
    <m/>
    <m/>
    <m/>
    <m/>
    <m/>
    <n v="2"/>
    <n v="4"/>
    <n v="9"/>
    <n v="5"/>
    <n v="2"/>
    <m/>
    <n v="5"/>
    <n v="4"/>
    <n v="8"/>
    <n v="3"/>
    <n v="3"/>
    <m/>
    <n v="4"/>
    <n v="8"/>
    <n v="4"/>
    <n v="5"/>
    <n v="2"/>
    <m/>
    <n v="4"/>
    <n v="7"/>
    <n v="5"/>
    <n v="4"/>
    <n v="3"/>
    <m/>
    <n v="3"/>
    <n v="8"/>
    <n v="4"/>
    <n v="8"/>
    <m/>
    <m/>
    <n v="2"/>
    <n v="5"/>
    <n v="4"/>
    <n v="10"/>
    <n v="2"/>
    <m/>
    <n v="2"/>
    <n v="5"/>
    <n v="4"/>
    <n v="10"/>
    <n v="2"/>
    <m/>
    <s v="Lack of information"/>
    <s v="Information "/>
    <s v="Lack of transportation"/>
    <s v="Development"/>
    <s v="Family problem"/>
    <s v="Managing time"/>
    <n v="3"/>
    <n v="5"/>
    <n v="8"/>
    <n v="4"/>
    <n v="3"/>
    <m/>
    <n v="4"/>
    <n v="5"/>
    <n v="8"/>
    <n v="3"/>
    <n v="3"/>
    <m/>
    <n v="15"/>
    <n v="1"/>
    <n v="4"/>
    <n v="1"/>
    <n v="2"/>
    <m/>
    <n v="15"/>
    <n v="4"/>
    <m/>
    <n v="4"/>
    <m/>
    <m/>
    <n v="2"/>
    <n v="2"/>
    <m/>
    <n v="19"/>
    <m/>
    <m/>
    <s v="CC2600"/>
    <m/>
    <s v="Community Consultation"/>
  </r>
  <r>
    <n v="2601"/>
    <s v="http://www.surveygizmo.com/s3/survey/4563835/2VK5FPR097J3PKVT37FH6KSA5OTKEK?snc=1561745567_5d16589f684863.67513710&amp;sg_navigate=start&amp;_iseditlink=true"/>
    <s v="EDIT"/>
    <s v="Amrit Bahadur Ghote"/>
    <s v="FAYA"/>
    <s v="Nepal  - National Society for Earthquake Technology - Nepal (NSET)"/>
    <s v="Nepal"/>
    <s v="Galyang Municipality Ward 5"/>
    <s v="Rural"/>
    <d v="2019-04-19T00:00:00"/>
    <s v="Nepal-FAYA-CC-Galyang Ward 5 -  3"/>
    <x v="4"/>
    <n v="24"/>
    <x v="6"/>
    <x v="4"/>
    <x v="2"/>
    <x v="5"/>
    <x v="8"/>
    <m/>
    <s v="No"/>
    <m/>
    <m/>
    <m/>
    <m/>
    <s v="No"/>
    <s v="Disease/Epidemics"/>
    <s v="Psychological Effects"/>
    <s v="Economic and Livelihood Loss"/>
    <s v="Commercial Loss"/>
    <s v="Awareness Raising  Education and Training"/>
    <s v="Health Promotion"/>
    <s v="Maintain Basic Services (Medical and Other)"/>
    <s v="Lack Of Awareness And Education"/>
    <s v="Lack Of Manpower"/>
    <s v="Lack Of Accessibility"/>
    <s v="Wildlife Attacks"/>
    <s v="Crop Damage"/>
    <s v="Commercial Loss"/>
    <s v="Economic and Livelihood Loss"/>
    <s v="Community Self-Management"/>
    <s v="Coordination with government and authorities"/>
    <s v="Implementation of policies"/>
    <s v="Poor Natural Resource Management"/>
    <s v="Lack Of Accessibility"/>
    <s v="Lack Of Awareness And Education"/>
    <s v="Lack of Access to Water"/>
    <s v="Disease/Health Effects"/>
    <s v="Loss of Clean Water Sources"/>
    <s v="Economic and Livelihood Loss"/>
    <s v="Protect Water Tanks"/>
    <s v="Dam/Dyke Building"/>
    <s v="Committee Establishment"/>
    <s v="Lack Of Community Commitment"/>
    <s v="Lack Of Accessibility"/>
    <s v="Lack Of Awareness And Education"/>
    <m/>
    <m/>
    <m/>
    <m/>
    <m/>
    <s v="Lack of Access to Water"/>
    <s v="Drought"/>
    <s v="Traffic Congestion"/>
    <n v="2"/>
    <m/>
    <n v="17"/>
    <n v="5"/>
    <m/>
    <m/>
    <n v="11"/>
    <n v="9"/>
    <n v="3"/>
    <n v="1"/>
    <m/>
    <m/>
    <n v="18"/>
    <n v="4"/>
    <m/>
    <n v="2"/>
    <m/>
    <m/>
    <n v="14"/>
    <n v="6"/>
    <m/>
    <n v="4"/>
    <m/>
    <m/>
    <n v="19"/>
    <n v="5"/>
    <m/>
    <m/>
    <m/>
    <m/>
    <n v="3"/>
    <n v="12"/>
    <n v="2"/>
    <m/>
    <n v="7"/>
    <m/>
    <n v="21"/>
    <n v="1"/>
    <m/>
    <n v="1"/>
    <n v="1"/>
    <m/>
    <s v="Geographical Problems"/>
    <s v="Managed "/>
    <s v="Lack of transportation"/>
    <s v="Developmental work"/>
    <s v="Lack of awareness"/>
    <s v="Awareness"/>
    <n v="5"/>
    <n v="8"/>
    <m/>
    <m/>
    <n v="11"/>
    <m/>
    <n v="2"/>
    <n v="3"/>
    <m/>
    <n v="5"/>
    <n v="14"/>
    <m/>
    <n v="17"/>
    <n v="3"/>
    <m/>
    <m/>
    <n v="4"/>
    <m/>
    <n v="16"/>
    <n v="2"/>
    <m/>
    <n v="4"/>
    <n v="2"/>
    <m/>
    <n v="16"/>
    <n v="2"/>
    <m/>
    <n v="4"/>
    <n v="2"/>
    <m/>
    <s v="CC2601"/>
    <m/>
    <s v="Community Consultation"/>
  </r>
  <r>
    <n v="2602"/>
    <s v="http://www.surveygizmo.com/s3/survey/4563835/2VK5FPR097J3PKVT37FH6KSA5OTKEK?snc=1561745603_5d1658c3ba2729.83489105&amp;sg_navigate=start&amp;_iseditlink=true"/>
    <s v="EDIT"/>
    <s v="Amrit Bahadur Ghote"/>
    <s v="FAYA"/>
    <s v="Nepal  - National Society for Earthquake Technology - Nepal (NSET)"/>
    <s v="Nepal"/>
    <s v="Galyang Municipality Ward 5"/>
    <s v="Rural"/>
    <d v="2019-04-20T00:00:00"/>
    <s v="Nepal-FAYA-CC-Galyang Ward 5 -  4"/>
    <x v="2"/>
    <n v="24"/>
    <x v="0"/>
    <x v="2"/>
    <x v="11"/>
    <x v="3"/>
    <x v="7"/>
    <n v="2"/>
    <s v="No"/>
    <m/>
    <m/>
    <m/>
    <m/>
    <s v="No"/>
    <s v="Earthquakes"/>
    <s v="Commercial Loss"/>
    <s v="Building Destruction"/>
    <s v="Loss of Life"/>
    <s v="Community/Social Empowerment"/>
    <s v="Community Self-Management"/>
    <s v="Resilience Building"/>
    <s v="Lack Of Accessibility"/>
    <s v="Loss Of Hope And Credibility In Authorities"/>
    <s v="Lack Of Awareness And Education"/>
    <s v="Lack of Access to Basic Services"/>
    <s v="Impoverishment"/>
    <s v="Increased Money Borrowing"/>
    <s v="Disease/Health Effects"/>
    <s v="Community Self-Management"/>
    <s v="Actions For Poverty Reduction And Employment"/>
    <s v="Awareness Raising  Education and Training"/>
    <s v="Lack Of Awareness And Education"/>
    <s v="Lack Of Accessibility"/>
    <s v="Geographical Situation"/>
    <s v="Disease/Epidemics"/>
    <s v="Commercial Loss"/>
    <s v="Loss of Life"/>
    <s v="Traffic Congestion"/>
    <s v="Health Promotion"/>
    <s v="Actions For Poverty Reduction And Employment"/>
    <s v="Awareness Raising  Education and Training"/>
    <s v="Lack Of Awareness And Education"/>
    <s v="Lack Of Accessibility"/>
    <s v="Lack Of Community Commitment"/>
    <m/>
    <m/>
    <m/>
    <m/>
    <m/>
    <s v="Earthquakes"/>
    <s v="Lack of Access to Basic Services"/>
    <s v="Disease/Epidemics"/>
    <n v="4"/>
    <n v="9"/>
    <n v="8"/>
    <n v="2"/>
    <n v="1"/>
    <m/>
    <n v="1"/>
    <n v="10"/>
    <n v="9"/>
    <n v="2"/>
    <n v="2"/>
    <m/>
    <n v="4"/>
    <n v="7"/>
    <n v="9"/>
    <n v="3"/>
    <n v="1"/>
    <m/>
    <n v="1"/>
    <n v="6"/>
    <n v="11"/>
    <n v="5"/>
    <n v="1"/>
    <m/>
    <n v="5"/>
    <n v="7"/>
    <n v="8"/>
    <n v="3"/>
    <n v="1"/>
    <m/>
    <n v="3"/>
    <n v="5"/>
    <n v="8"/>
    <n v="3"/>
    <n v="1"/>
    <m/>
    <n v="5"/>
    <n v="11"/>
    <n v="6"/>
    <n v="1"/>
    <n v="1"/>
    <m/>
    <s v="Lack of time"/>
    <s v="Managing time"/>
    <s v="Lack of awareness"/>
    <s v="Awareness"/>
    <s v="Lack of information"/>
    <s v="Giving notice"/>
    <n v="4"/>
    <n v="9"/>
    <n v="8"/>
    <n v="2"/>
    <n v="1"/>
    <m/>
    <n v="1"/>
    <n v="10"/>
    <n v="9"/>
    <n v="2"/>
    <n v="2"/>
    <m/>
    <n v="4"/>
    <n v="9"/>
    <n v="8"/>
    <n v="2"/>
    <n v="1"/>
    <m/>
    <n v="2"/>
    <n v="10"/>
    <n v="8"/>
    <n v="2"/>
    <n v="2"/>
    <m/>
    <n v="2"/>
    <n v="10"/>
    <n v="8"/>
    <n v="2"/>
    <n v="2"/>
    <m/>
    <s v="CC2602"/>
    <m/>
    <s v="Community Consultation"/>
  </r>
  <r>
    <n v="2603"/>
    <s v="http://www.surveygizmo.com/s3/survey/4563835/2VK5FPR097J3PKVT37FH6KSA5OTKEK?snc=1561745605_5d1658c5e43e94.75882627&amp;sg_navigate=start&amp;_iseditlink=true"/>
    <s v="EDIT"/>
    <s v="Amrit Bahadur Ghote"/>
    <s v="FAYA"/>
    <s v="Nepal  - National Society for Earthquake Technology - Nepal (NSET)"/>
    <s v="Nepal"/>
    <s v="Galyang Municipality Ward 5"/>
    <s v="Rural"/>
    <d v="2019-04-21T00:00:00"/>
    <s v="Nepal-FAYA-CC-Galyang Ward 5 - 5"/>
    <x v="3"/>
    <n v="26"/>
    <x v="0"/>
    <x v="0"/>
    <x v="1"/>
    <x v="1"/>
    <x v="11"/>
    <n v="18"/>
    <s v="No"/>
    <m/>
    <m/>
    <m/>
    <m/>
    <s v="Yes"/>
    <s v="Disease/Epidemics"/>
    <s v="Commercial Loss"/>
    <s v="Loss of Life"/>
    <s v="Traffic Congestion"/>
    <s v="Health Promotion"/>
    <s v="Resilience Building"/>
    <s v="Community Self-Management"/>
    <s v="Government Instability"/>
    <s v="Lack Of Government Commitment"/>
    <s v="Lack Of Accessibility"/>
    <s v="Earthquakes"/>
    <s v="Economic and Livelihood Loss"/>
    <s v="Building Destruction"/>
    <s v="Loss of Life"/>
    <s v="Ecosystem Management and Restoration"/>
    <s v="Resilience Building"/>
    <s v="Do Not Live In Risky Places"/>
    <s v="Lack Of Accessibility"/>
    <s v="Exclusion Of Youth"/>
    <s v="Lack Of Risk Awareness And Planning"/>
    <s v="Lack of Preparedness"/>
    <s v="Conflict"/>
    <s v="Unemployment"/>
    <s v="Disease/Health Effects"/>
    <s v="Community Self-Management"/>
    <s v="Actions For Poverty Reduction And Employment"/>
    <s v="Awareness Raising  Education and Training"/>
    <s v="Lack Of Awareness And Education"/>
    <s v="Lack Of Accessibility"/>
    <s v="Lack Of Opportunity/Time"/>
    <m/>
    <m/>
    <m/>
    <m/>
    <m/>
    <s v="Disease/Epidemics"/>
    <s v="Earthquakes"/>
    <s v="Lack of Preparedness"/>
    <n v="2"/>
    <n v="10"/>
    <n v="7"/>
    <n v="5"/>
    <n v="2"/>
    <m/>
    <n v="2"/>
    <n v="10"/>
    <n v="7"/>
    <n v="5"/>
    <n v="2"/>
    <m/>
    <n v="2"/>
    <n v="5"/>
    <n v="10"/>
    <n v="7"/>
    <n v="2"/>
    <m/>
    <n v="2"/>
    <n v="10"/>
    <n v="7"/>
    <n v="5"/>
    <n v="2"/>
    <m/>
    <n v="2"/>
    <n v="5"/>
    <n v="10"/>
    <n v="7"/>
    <n v="2"/>
    <m/>
    <n v="1"/>
    <n v="11"/>
    <n v="7"/>
    <n v="2"/>
    <n v="5"/>
    <m/>
    <n v="5"/>
    <n v="11"/>
    <n v="7"/>
    <n v="2"/>
    <n v="1"/>
    <m/>
    <s v="Geographical Problems"/>
    <s v="Managed society"/>
    <s v="Lack of time"/>
    <s v="Management"/>
    <s v="Lack of awareness"/>
    <s v="Awareness"/>
    <n v="2"/>
    <n v="10"/>
    <n v="7"/>
    <n v="5"/>
    <n v="2"/>
    <m/>
    <n v="5"/>
    <n v="7"/>
    <n v="10"/>
    <n v="2"/>
    <n v="2"/>
    <m/>
    <n v="2"/>
    <n v="10"/>
    <n v="7"/>
    <n v="5"/>
    <n v="2"/>
    <m/>
    <n v="4"/>
    <n v="10"/>
    <n v="7"/>
    <n v="5"/>
    <m/>
    <m/>
    <n v="4"/>
    <n v="10"/>
    <n v="7"/>
    <n v="5"/>
    <m/>
    <m/>
    <s v="CC2603"/>
    <m/>
    <s v="Community Consultation"/>
  </r>
  <r>
    <n v="2682"/>
    <s v="http://www.surveygizmo.com/s3/survey/4563835/2VK5FPR097J3PKVT37FH6KSA5OTKEK?snc=1562050730_5d1b00aa1c4112.27212493&amp;sg_navigate=start&amp;_iseditlink=true"/>
    <s v="EDIT"/>
    <s v="Nikita Maharjan"/>
    <s v="FSCN"/>
    <s v="Nepal  - National Society for Earthquake Technology - Nepal (NSET)"/>
    <s v="Nepal"/>
    <s v="Lalitpur Metropolitan city Ward 12"/>
    <s v="Urban"/>
    <s v="06/30/2019"/>
    <s v="Nepal-FSCN-CC-Hakha-"/>
    <x v="3"/>
    <n v="12"/>
    <x v="0"/>
    <x v="0"/>
    <x v="1"/>
    <x v="11"/>
    <x v="2"/>
    <s v="-"/>
    <s v="-"/>
    <m/>
    <m/>
    <m/>
    <m/>
    <s v="Yes"/>
    <s v="Drought"/>
    <s v="Crop Damage"/>
    <s v="Disease/Health Effects"/>
    <s v="Economic and Livelihood Loss"/>
    <s v="Committee Establishment"/>
    <s v="Actions For Poverty Reduction And Employment"/>
    <s v="Drainage Channels"/>
    <s v="Conflict"/>
    <s v="Economic Policies"/>
    <s v="Government Instability"/>
    <s v="Fire"/>
    <s v="Disease/Health Effects"/>
    <s v="Injury"/>
    <s v="Loss of Assets"/>
    <s v="Insurance"/>
    <s v="Health Promotion"/>
    <s v="Individual/Personal Action"/>
    <s v="Debt"/>
    <s v="Lack Of Initiative"/>
    <s v="Lack Of Preparedness"/>
    <s v="Earthquakes"/>
    <s v="Economic and Livelihood Loss"/>
    <s v="Environmental effects"/>
    <s v="Loss of Life"/>
    <s v="Awareness Raising  Education and Training"/>
    <s v="Committee Establishment"/>
    <s v="Insurance"/>
    <s v="Communication Issues"/>
    <s v="Conflict In Schedule"/>
    <s v="Lack Of Resources"/>
    <m/>
    <s v="-"/>
    <m/>
    <m/>
    <m/>
    <s v="Alcoholism"/>
    <s v="Child Abuse and Exploitation"/>
    <s v="Climate Change"/>
    <n v="12"/>
    <m/>
    <m/>
    <m/>
    <m/>
    <m/>
    <n v="12"/>
    <m/>
    <m/>
    <m/>
    <m/>
    <m/>
    <m/>
    <n v="9"/>
    <n v="3"/>
    <m/>
    <m/>
    <m/>
    <n v="12"/>
    <m/>
    <m/>
    <m/>
    <m/>
    <m/>
    <m/>
    <n v="10"/>
    <n v="2"/>
    <m/>
    <m/>
    <m/>
    <m/>
    <m/>
    <n v="8"/>
    <n v="4"/>
    <m/>
    <m/>
    <n v="12"/>
    <m/>
    <m/>
    <m/>
    <m/>
    <m/>
    <s v="Timing problem"/>
    <s v="Appropriate time should be managed as per the preferences"/>
    <s v="Lack of DRR policies_x0009__x0009_"/>
    <s v="Effective DRR based policies should be implemented"/>
    <s v=" Unaware about policies _x0009_"/>
    <s v="Local people should be pre-informed about DRR acts and policies"/>
    <m/>
    <m/>
    <m/>
    <m/>
    <n v="12"/>
    <m/>
    <m/>
    <m/>
    <m/>
    <m/>
    <n v="12"/>
    <m/>
    <n v="11"/>
    <n v="1"/>
    <m/>
    <m/>
    <m/>
    <m/>
    <n v="12"/>
    <m/>
    <m/>
    <m/>
    <m/>
    <m/>
    <n v="12"/>
    <m/>
    <m/>
    <m/>
    <m/>
    <m/>
    <s v="CC2682"/>
    <m/>
    <s v="Community Consultation"/>
  </r>
  <r>
    <n v="2683"/>
    <s v="http://www.surveygizmo.com/s3/survey/4563835/2VK5FPR097J3PKVT37FH6KSA5OTKEK?snc=1562050732_5d1b00ac319209.06183627&amp;sg_navigate=start&amp;_iseditlink=true"/>
    <s v="EDIT"/>
    <s v="Nikita Maharjan"/>
    <s v="FSCN"/>
    <s v="Nepal  - National Society for Earthquake Technology - Nepal (NSET)"/>
    <s v="Nepal"/>
    <s v="Lalitpur Metropolitan city Ward 12"/>
    <s v="Urban"/>
    <s v="06/30/2019"/>
    <s v="Nepal-FSCN-CC-Chakrabahil-2"/>
    <x v="0"/>
    <n v="15"/>
    <x v="0"/>
    <x v="0"/>
    <x v="1"/>
    <x v="11"/>
    <x v="12"/>
    <m/>
    <s v="-"/>
    <m/>
    <m/>
    <m/>
    <m/>
    <s v="Yes"/>
    <s v="Disease/Epidemics"/>
    <s v="Disease/Health Effects"/>
    <s v="Loss of Life"/>
    <s v="Injury"/>
    <s v="Counselling"/>
    <s v="Insurance"/>
    <s v="Health Promotion"/>
    <s v="Attitudinal Issues"/>
    <s v="Debt"/>
    <s v="Lack Of Resources"/>
    <s v="Alcoholism"/>
    <s v="Disease/Health Effects"/>
    <s v="Loss of Values"/>
    <s v="Loss of Life"/>
    <s v="Insurance"/>
    <s v="Individual/Personal Action"/>
    <s v="Health Promotion"/>
    <s v="Dependency"/>
    <s v="Attitudinal Issues"/>
    <s v="Lack Of Awareness And Education"/>
    <s v="Climate Change"/>
    <s v="Economic and Livelihood Loss"/>
    <s v="Environmental effects"/>
    <s v="Impact on Biodiversity"/>
    <s v="Actions For Poverty Reduction And Employment"/>
    <s v="Coordination and Inter Institutional Partnerships with NGOs and Other Actors"/>
    <s v="Coordination with government and authorities"/>
    <s v="Disparities In Wealth And Income"/>
    <s v="Economic Policies"/>
    <s v="Exclusion Based On Party Politics"/>
    <m/>
    <m/>
    <m/>
    <s v="-"/>
    <m/>
    <s v="Unemployment"/>
    <s v="Disease/Epidemics"/>
    <s v="Corruption"/>
    <n v="15"/>
    <m/>
    <m/>
    <m/>
    <m/>
    <m/>
    <n v="15"/>
    <m/>
    <m/>
    <m/>
    <m/>
    <m/>
    <m/>
    <n v="9"/>
    <n v="3"/>
    <n v="3"/>
    <m/>
    <m/>
    <n v="10"/>
    <m/>
    <n v="5"/>
    <m/>
    <m/>
    <m/>
    <m/>
    <n v="15"/>
    <m/>
    <m/>
    <m/>
    <m/>
    <m/>
    <m/>
    <m/>
    <m/>
    <m/>
    <m/>
    <m/>
    <m/>
    <n v="11"/>
    <n v="4"/>
    <m/>
    <m/>
    <s v="Timing problem"/>
    <s v="DRR related program should be conducted during holiday time"/>
    <s v="Budget crisis"/>
    <s v="Adequate budget should be properly allocated"/>
    <s v="Lack of participation"/>
    <s v="All local people should be provided with equal opportunities in  DRR    platform  based program"/>
    <m/>
    <m/>
    <m/>
    <m/>
    <n v="15"/>
    <m/>
    <m/>
    <m/>
    <m/>
    <n v="5"/>
    <n v="10"/>
    <m/>
    <n v="15"/>
    <m/>
    <m/>
    <m/>
    <m/>
    <m/>
    <n v="15"/>
    <m/>
    <m/>
    <m/>
    <m/>
    <m/>
    <n v="15"/>
    <m/>
    <m/>
    <m/>
    <m/>
    <m/>
    <s v="CC2683"/>
    <m/>
    <s v="Community Consultation"/>
  </r>
  <r>
    <n v="2684"/>
    <s v="http://www.surveygizmo.com/s3/survey/4563835/2VK5FPR097J3PKVT37FH6KSA5OTKEK?snc=1562050733_5d1b00ade2f0a5.42816321&amp;sg_navigate=start&amp;_iseditlink=true"/>
    <s v="EDIT"/>
    <s v="Nikita Maharjan"/>
    <s v="FSCN"/>
    <s v="Nepal  - National Society for Earthquake Technology - Nepal (NSET)"/>
    <s v="Nepal"/>
    <s v="Lalitpur Metropolitan city Ward 12"/>
    <s v="Urban"/>
    <s v="06/30/2019"/>
    <s v="Nepal-FSCN-CC-Tangal-3"/>
    <x v="2"/>
    <n v="22"/>
    <x v="0"/>
    <x v="0"/>
    <x v="1"/>
    <x v="1"/>
    <x v="2"/>
    <m/>
    <s v="-"/>
    <m/>
    <m/>
    <m/>
    <m/>
    <s v="Yes"/>
    <s v="Earthquakes"/>
    <s v="Looting of Properties"/>
    <s v="Loss of Life"/>
    <s v="Injury"/>
    <s v="Awareness Raising  Education and Training"/>
    <s v="Dam/Dyke Building"/>
    <s v="Disaster Preparedness"/>
    <s v="Government Inefficiency"/>
    <s v="Lack Of Capacity"/>
    <s v="Lack Of Rehabilitation Plan From The Government"/>
    <s v="Fire"/>
    <s v="Looting of Properties"/>
    <s v="Loss of Life"/>
    <s v="Environmental effects"/>
    <s v="Awareness Raising  Education and Training"/>
    <s v="Insurance"/>
    <s v="Community Self-Management"/>
    <s v="Attitudinal Issues"/>
    <s v="Health Condition"/>
    <s v="Lack Of Accessibility"/>
    <s v="Road Accidents"/>
    <s v="Loss of Life"/>
    <s v="Psychological Effects"/>
    <s v="Injury"/>
    <s v="Insurance"/>
    <s v="Health Promotion"/>
    <s v="Individual/Personal Action"/>
    <s v="Lack Of Accessibility"/>
    <s v="Lack Of Policies"/>
    <s v="Lack Of Initiative"/>
    <m/>
    <m/>
    <m/>
    <s v="-"/>
    <m/>
    <s v="Disease/Epidemics"/>
    <s v="Unemployment"/>
    <s v="Sexual Violence"/>
    <m/>
    <m/>
    <m/>
    <m/>
    <n v="22"/>
    <m/>
    <m/>
    <n v="18"/>
    <n v="4"/>
    <m/>
    <m/>
    <m/>
    <n v="15"/>
    <n v="5"/>
    <n v="2"/>
    <m/>
    <m/>
    <m/>
    <m/>
    <n v="18"/>
    <n v="2"/>
    <n v="2"/>
    <m/>
    <m/>
    <n v="22"/>
    <m/>
    <m/>
    <m/>
    <m/>
    <m/>
    <m/>
    <m/>
    <n v="22"/>
    <m/>
    <m/>
    <m/>
    <m/>
    <m/>
    <n v="22"/>
    <m/>
    <m/>
    <m/>
    <s v="Budget crisis"/>
    <s v="Adequate budget should be properly allocated"/>
    <s v="Local participation"/>
    <s v="All local people should be provided with equal opportunities in  DRR    platform  based program"/>
    <s v="Timing problem"/>
    <s v="Appropriate time should be selected"/>
    <m/>
    <m/>
    <m/>
    <n v="3"/>
    <n v="19"/>
    <m/>
    <m/>
    <n v="17"/>
    <n v="2"/>
    <n v="1"/>
    <n v="2"/>
    <m/>
    <n v="20"/>
    <m/>
    <m/>
    <m/>
    <n v="2"/>
    <m/>
    <n v="15"/>
    <m/>
    <n v="5"/>
    <n v="2"/>
    <m/>
    <m/>
    <m/>
    <m/>
    <m/>
    <m/>
    <n v="22"/>
    <m/>
    <s v="CC2684"/>
    <m/>
    <s v="Community Consultation"/>
  </r>
  <r>
    <n v="2685"/>
    <s v="http://www.surveygizmo.com/s3/survey/4563835/2VK5FPR097J3PKVT37FH6KSA5OTKEK?snc=1562050735_5d1b00af9e4315.67680691&amp;sg_navigate=start&amp;_iseditlink=true"/>
    <s v="EDIT"/>
    <s v="Nikita Maharjan"/>
    <s v="FSCN"/>
    <s v="Nepal  - National Society for Earthquake Technology - Nepal (NSET)"/>
    <s v="Nepal"/>
    <s v="Lalitpur Metropolitan city Ward 12"/>
    <s v="Urban"/>
    <s v="06/30/2019"/>
    <s v="Nepal-FSCN-CC-Hakha-4"/>
    <x v="1"/>
    <n v="10"/>
    <x v="0"/>
    <x v="0"/>
    <x v="1"/>
    <x v="1"/>
    <x v="12"/>
    <s v="-"/>
    <s v="-"/>
    <m/>
    <m/>
    <m/>
    <m/>
    <s v="Yes"/>
    <s v="Earthquakes"/>
    <s v="Economic and Livelihood Loss"/>
    <s v="Looting of Properties"/>
    <s v="Loss of Access to Basic Services"/>
    <s v="Actions For Poverty Reduction And Employment"/>
    <s v="Individual/Personal Action"/>
    <s v="Investment in Infrastructure Improvement and Mitigation Works"/>
    <s v="Conflict"/>
    <s v="Attitudinal Issues"/>
    <s v="Lack Of Awareness And Education"/>
    <s v="Fire"/>
    <s v="Economic and Livelihood Loss"/>
    <s v="Environmental effects"/>
    <s v="Looting of Properties"/>
    <s v="Awareness Raising  Education and Training"/>
    <s v="Committee Establishment"/>
    <s v="Insurance"/>
    <s v="Conflict In Schedule"/>
    <s v="Conflict"/>
    <s v="Lack Of Capacity"/>
    <s v="Road Accidents"/>
    <s v="Injury"/>
    <s v="Loss of Life"/>
    <s v="Disease/Health Effects"/>
    <s v="Insurance"/>
    <s v="Health Promotion"/>
    <s v="Psychological intervention"/>
    <s v="Attitudinal Issues"/>
    <s v="Disparities In Wealth And Income"/>
    <s v="Dependency"/>
    <m/>
    <m/>
    <m/>
    <m/>
    <s v="-"/>
    <s v="Earthquakes"/>
    <s v="Unemployment"/>
    <s v="Fire"/>
    <n v="10"/>
    <m/>
    <m/>
    <m/>
    <m/>
    <m/>
    <m/>
    <n v="8"/>
    <n v="2"/>
    <m/>
    <m/>
    <m/>
    <n v="10"/>
    <m/>
    <n v="9"/>
    <n v="1"/>
    <m/>
    <m/>
    <n v="10"/>
    <m/>
    <m/>
    <m/>
    <m/>
    <m/>
    <m/>
    <n v="5"/>
    <n v="5"/>
    <m/>
    <m/>
    <m/>
    <m/>
    <n v="5"/>
    <n v="5"/>
    <m/>
    <m/>
    <m/>
    <n v="7"/>
    <m/>
    <n v="3"/>
    <m/>
    <m/>
    <m/>
    <s v="Unaware about program"/>
    <s v="Local people should be pre-informed about DRR acts and policies"/>
    <s v="Lack of information"/>
    <s v="_x0009_Pre information should be provided about DRR and its related program"/>
    <s v="Budget crisis"/>
    <s v="Adequate budget should be properly allocated"/>
    <m/>
    <m/>
    <n v="1"/>
    <n v="9"/>
    <m/>
    <m/>
    <m/>
    <n v="5"/>
    <n v="5"/>
    <m/>
    <m/>
    <m/>
    <n v="10"/>
    <m/>
    <m/>
    <m/>
    <m/>
    <m/>
    <n v="10"/>
    <n v="2"/>
    <n v="8"/>
    <m/>
    <m/>
    <m/>
    <n v="4"/>
    <n v="6"/>
    <m/>
    <m/>
    <m/>
    <m/>
    <s v="CC2685"/>
    <m/>
    <s v="Community Consultation"/>
  </r>
  <r>
    <n v="2686"/>
    <s v="http://www.surveygizmo.com/s3/survey/4563835/2VK5FPR097J3PKVT37FH6KSA5OTKEK?snc=1562050737_5d1b00b152cc58.60113218&amp;sg_navigate=start&amp;_iseditlink=true"/>
    <s v="EDIT"/>
    <s v="Nikita Maharjan"/>
    <s v="FSCN"/>
    <s v="Nepal  - National Society for Earthquake Technology - Nepal (NSET)"/>
    <s v="Nepal"/>
    <s v="Lalitpur Metropolitan city Ward 12"/>
    <s v="Urban"/>
    <s v="06/30/2019"/>
    <s v="Nepal-FSCN-CC-Hakha-5"/>
    <x v="3"/>
    <n v="10"/>
    <x v="0"/>
    <x v="0"/>
    <x v="12"/>
    <x v="11"/>
    <x v="2"/>
    <m/>
    <s v="-"/>
    <m/>
    <m/>
    <m/>
    <m/>
    <s v="Yes"/>
    <s v="High Cost of Living"/>
    <s v="Economic and Livelihood Loss"/>
    <s v="Livestock Loss"/>
    <s v="Price Rises"/>
    <s v="Actions For Poverty Reduction And Employment"/>
    <s v="Livelihood Diversification"/>
    <s v="Individual/Personal Action"/>
    <s v="Government Inefficiency"/>
    <s v="Dependency"/>
    <s v="Lack Of Resources"/>
    <s v="Alcoholism"/>
    <s v="Disease/Health Effects"/>
    <s v="Loss of Life"/>
    <s v="Injury"/>
    <s v="Individual/Personal Action"/>
    <s v="Counselling"/>
    <s v="Health Promotion"/>
    <s v="Conflict"/>
    <s v="Attitudinal Issues"/>
    <s v="Lack Of Accessibility"/>
    <s v="Child Abuse and Exploitation"/>
    <s v="Loss of Life"/>
    <s v="Loss of Values"/>
    <s v="Psychosocial Violence"/>
    <s v="Awareness Raising  Education and Training"/>
    <s v="Committee Establishment"/>
    <s v="Coordination and Inter Institutional Partnerships with NGOs and Other Actors"/>
    <s v="Attitudinal Issues"/>
    <s v="Conflict In Schedule"/>
    <s v="Government Instability"/>
    <m/>
    <m/>
    <m/>
    <s v="-"/>
    <m/>
    <s v="Climate Change"/>
    <s v="Disease/Epidemics"/>
    <s v="Corruption"/>
    <n v="10"/>
    <m/>
    <m/>
    <m/>
    <m/>
    <m/>
    <n v="10"/>
    <m/>
    <m/>
    <m/>
    <m/>
    <m/>
    <m/>
    <n v="10"/>
    <m/>
    <m/>
    <m/>
    <m/>
    <n v="10"/>
    <m/>
    <m/>
    <m/>
    <m/>
    <m/>
    <m/>
    <n v="10"/>
    <m/>
    <m/>
    <m/>
    <m/>
    <m/>
    <n v="7"/>
    <n v="3"/>
    <m/>
    <m/>
    <m/>
    <m/>
    <n v="8"/>
    <n v="2"/>
    <m/>
    <m/>
    <m/>
    <s v="Timing problem"/>
    <s v="Appropriate time should be managed as per the preferences"/>
    <s v="Budget crisis"/>
    <s v="Adequate budget should be properly allocated"/>
    <s v="Lack of participation"/>
    <s v="All local people should be provided with equal opportunities in  DRR  platform  based program"/>
    <m/>
    <m/>
    <m/>
    <m/>
    <n v="10"/>
    <m/>
    <m/>
    <m/>
    <m/>
    <m/>
    <n v="10"/>
    <m/>
    <n v="6"/>
    <n v="3"/>
    <n v="1"/>
    <m/>
    <m/>
    <m/>
    <n v="8"/>
    <m/>
    <n v="2"/>
    <m/>
    <m/>
    <m/>
    <m/>
    <m/>
    <n v="10"/>
    <m/>
    <m/>
    <m/>
    <s v="CC2686"/>
    <m/>
    <s v="Community Consultation"/>
  </r>
  <r>
    <n v="2731"/>
    <s v="http://www.surveygizmo.com/s3/survey/4563835/2VK5FPR097J3PKVT37FH6KSA5OTKEK?snc=1562137799_5d1c54c7762d33.23511980&amp;sg_navigate=start&amp;_iseditlink=true"/>
    <s v="EDIT"/>
    <s v="Pratima Khadka"/>
    <s v="FSCN"/>
    <s v="Nepal  - National Society for Earthquake Technology - Nepal (NSET)"/>
    <s v="Nepal"/>
    <s v="Changunaryan Municipality Ward 8"/>
    <s v="Rural"/>
    <d v="2019-08-04T00:00:00"/>
    <s v="Nepal-FSCN-CC-Changunarayan-1"/>
    <x v="3"/>
    <n v="18"/>
    <x v="0"/>
    <x v="11"/>
    <x v="12"/>
    <x v="11"/>
    <x v="12"/>
    <m/>
    <s v="-"/>
    <m/>
    <m/>
    <m/>
    <m/>
    <s v="Yes"/>
    <s v="Floods"/>
    <s v="Crop Damage"/>
    <s v="Impact on Biodiversity"/>
    <s v="Environmental effects"/>
    <s v="Climate Change Adaptation"/>
    <s v="Climate Change Mitigation"/>
    <s v="Disaster Preparedness"/>
    <s v="Lack Of Accessibility"/>
    <s v="Lack Of Awareness And Education"/>
    <s v="Lack Of Government Commitment"/>
    <s v="Fire"/>
    <s v="Disease/Health Effects"/>
    <s v="Injury"/>
    <s v="Economic and Livelihood Loss"/>
    <s v="Individual/Personal Action"/>
    <s v="Health Promotion"/>
    <s v="Actions For Poverty Reduction And Employment"/>
    <s v="Attitudinal Issues"/>
    <s v="Lack Of Facilities"/>
    <s v="Lack Of Initiative"/>
    <s v="Heavy Rainfall"/>
    <s v="Environmental effects"/>
    <s v="Impact on Biodiversity"/>
    <s v="Loss of Life"/>
    <s v="Awareness Raising  Education and Training"/>
    <s v="Community Self-Management"/>
    <s v="Insurance"/>
    <s v="Dependency"/>
    <s v="Conflict In Schedule"/>
    <s v="Lack Of Facilities"/>
    <m/>
    <m/>
    <m/>
    <s v="-"/>
    <m/>
    <s v="Pollution"/>
    <s v="Desertification"/>
    <s v="Loss of Biodiversity"/>
    <m/>
    <m/>
    <m/>
    <n v="18"/>
    <m/>
    <m/>
    <n v="3"/>
    <n v="1"/>
    <n v="5"/>
    <n v="9"/>
    <m/>
    <m/>
    <m/>
    <m/>
    <m/>
    <n v="18"/>
    <m/>
    <m/>
    <m/>
    <m/>
    <m/>
    <n v="18"/>
    <m/>
    <m/>
    <n v="4"/>
    <n v="7"/>
    <n v="4"/>
    <n v="1"/>
    <n v="2"/>
    <m/>
    <m/>
    <m/>
    <m/>
    <n v="18"/>
    <m/>
    <m/>
    <n v="14"/>
    <n v="4"/>
    <m/>
    <m/>
    <m/>
    <m/>
    <s v="Lack of time"/>
    <s v="Appropriate time should be managed as per the preferences"/>
    <s v="Budget crisis"/>
    <s v="Allocated budget should be effectively utilized in DRR decision making process"/>
    <s v="Accessibility to input"/>
    <s v="Should be made accessible to appropriate needy person"/>
    <m/>
    <m/>
    <m/>
    <m/>
    <n v="18"/>
    <m/>
    <m/>
    <n v="13"/>
    <n v="2"/>
    <n v="3"/>
    <m/>
    <m/>
    <m/>
    <n v="18"/>
    <m/>
    <m/>
    <m/>
    <m/>
    <n v="3"/>
    <n v="3"/>
    <m/>
    <n v="11"/>
    <n v="1"/>
    <m/>
    <n v="18"/>
    <m/>
    <m/>
    <m/>
    <m/>
    <m/>
    <s v="CC2731"/>
    <m/>
    <s v="Community Consultation"/>
  </r>
  <r>
    <n v="2732"/>
    <s v="http://www.surveygizmo.com/s3/survey/4563835/2VK5FPR097J3PKVT37FH6KSA5OTKEK?snc=1562137802_5d1c54ca693c53.79180180&amp;sg_navigate=start&amp;_iseditlink=true"/>
    <s v="EDIT"/>
    <s v="Pratima Khadka"/>
    <s v="FSCN"/>
    <s v="Nepal  - National Society for Earthquake Technology - Nepal (NSET)"/>
    <s v="Nepal"/>
    <s v="Changunaryan Municipality Ward 8"/>
    <s v="Rural"/>
    <s v="05/15/2019"/>
    <s v="Nepal-FSCN-CC-Changunarayan-2"/>
    <x v="1"/>
    <n v="13"/>
    <x v="0"/>
    <x v="0"/>
    <x v="1"/>
    <x v="1"/>
    <x v="4"/>
    <n v="6"/>
    <s v="-"/>
    <m/>
    <m/>
    <m/>
    <m/>
    <s v="Yes"/>
    <s v="Hurricanes"/>
    <s v="Environmental effects"/>
    <s v="Impact on Biodiversity"/>
    <s v="Injury"/>
    <s v="Awareness Raising  Education and Training"/>
    <s v="Coordination and Inter Institutional Partnerships with NGOs and Other Actors"/>
    <s v="Insurance"/>
    <s v="Conflict"/>
    <s v="Communication Issues"/>
    <s v="Health Condition"/>
    <s v="Lack of Access to Water"/>
    <s v="Crop Damage"/>
    <s v="Food Insecurity"/>
    <s v="Loss of Access to Basic Services"/>
    <s v="Community Self-Management"/>
    <s v="Food Security Actions"/>
    <s v="Implementation of policies"/>
    <s v="Attitudinal Issues"/>
    <s v="Lack Of Capacity"/>
    <s v="Lack Of Initiative"/>
    <s v="Hail"/>
    <s v="Loss of Life"/>
    <s v="Crop Damage"/>
    <s v="Disease/Health Effects"/>
    <s v="Health Promotion"/>
    <s v="Climate Change Mitigation"/>
    <s v="Insurance"/>
    <s v="Lack Of Facilities"/>
    <s v="Lack Of Land Surveying And Planning"/>
    <s v="Lack Of Policies"/>
    <m/>
    <m/>
    <m/>
    <s v="-"/>
    <m/>
    <s v="Deforestation"/>
    <s v="Pollution"/>
    <s v="Political Unrest"/>
    <n v="3"/>
    <n v="2"/>
    <n v="6"/>
    <n v="2"/>
    <n v="1"/>
    <m/>
    <n v="3"/>
    <m/>
    <n v="9"/>
    <n v="1"/>
    <m/>
    <m/>
    <m/>
    <m/>
    <n v="13"/>
    <m/>
    <m/>
    <m/>
    <m/>
    <n v="2"/>
    <n v="1"/>
    <n v="9"/>
    <n v="1"/>
    <m/>
    <n v="2"/>
    <n v="8"/>
    <n v="1"/>
    <m/>
    <n v="2"/>
    <m/>
    <m/>
    <n v="3"/>
    <m/>
    <n v="1"/>
    <n v="9"/>
    <m/>
    <n v="13"/>
    <m/>
    <m/>
    <m/>
    <m/>
    <m/>
    <s v="Illiteracy"/>
    <s v="All local people should be provided with equal opportunities in  DRR    platform  based program"/>
    <s v="Lack of participation"/>
    <s v="All local people should be provided with equal opportunities in  DRR    platform  based program"/>
    <s v="Accessibility to input"/>
    <s v="Should be made accessible to appropriate needy person"/>
    <m/>
    <m/>
    <m/>
    <n v="13"/>
    <m/>
    <m/>
    <m/>
    <n v="13"/>
    <m/>
    <m/>
    <m/>
    <m/>
    <m/>
    <n v="13"/>
    <m/>
    <m/>
    <m/>
    <m/>
    <m/>
    <m/>
    <n v="9"/>
    <n v="3"/>
    <n v="1"/>
    <m/>
    <m/>
    <n v="5"/>
    <n v="3"/>
    <m/>
    <n v="5"/>
    <m/>
    <s v="CC2732"/>
    <m/>
    <s v="Community Consultation"/>
  </r>
  <r>
    <n v="2733"/>
    <s v="http://www.surveygizmo.com/s3/survey/4563835/2VK5FPR097J3PKVT37FH6KSA5OTKEK?snc=1562137804_5d1c54cca15886.00601387&amp;sg_navigate=start&amp;_iseditlink=true"/>
    <s v="EDIT"/>
    <s v="Pratima Khadka"/>
    <s v="FSCN"/>
    <s v="Nepal  - National Society for Earthquake Technology - Nepal (NSET)"/>
    <s v="Nepal"/>
    <s v="Changunaryan Municipality Ward 8"/>
    <s v="Rural"/>
    <s v="04/26/2019"/>
    <s v="Nepal-FSCN-CC-Changunarayan-3"/>
    <x v="0"/>
    <n v="15"/>
    <x v="7"/>
    <x v="2"/>
    <x v="1"/>
    <x v="1"/>
    <x v="2"/>
    <m/>
    <s v="-"/>
    <m/>
    <m/>
    <m/>
    <m/>
    <s v="Yes"/>
    <s v="Migration"/>
    <s v="Disease/Health Effects"/>
    <s v="Loss of Access to Basic Services"/>
    <s v="Commercial Loss"/>
    <s v="Awareness Raising  Education and Training"/>
    <s v="Coordination and Inter Institutional Partnerships with NGOs and Other Actors"/>
    <s v="Maintain Basic Services (Medical and Other)"/>
    <s v="Attitudinal Issues"/>
    <s v="Communication Issues"/>
    <s v="Lack Of Facilities"/>
    <s v="Earthquakes"/>
    <s v="Crop Damage"/>
    <s v="Disease/Health Effects"/>
    <s v="Economic and Livelihood Loss"/>
    <s v="Awareness Raising  Education and Training"/>
    <s v="Insurance"/>
    <s v="Investment in Infrastructure Improvement and Mitigation Works"/>
    <s v="Attitudinal Issues"/>
    <s v="Health Condition"/>
    <s v="Lack Of Initiative"/>
    <s v="Pollution"/>
    <s v="Environmental effects"/>
    <s v="Impact on Biodiversity"/>
    <s v="Disease/Health Effects"/>
    <s v="Awareness Raising  Education and Training"/>
    <s v="Coordination and Inter Institutional Partnerships with NGOs and Other Actors"/>
    <s v="Health Promotion"/>
    <s v="Conflict In Schedule"/>
    <s v="Conflict"/>
    <s v="Lack Of Facilities"/>
    <s v="-"/>
    <m/>
    <m/>
    <m/>
    <m/>
    <s v="Earthquakes"/>
    <s v="Pollution"/>
    <s v="Migration"/>
    <n v="15"/>
    <m/>
    <m/>
    <m/>
    <m/>
    <m/>
    <n v="15"/>
    <m/>
    <m/>
    <m/>
    <m/>
    <m/>
    <n v="15"/>
    <m/>
    <m/>
    <m/>
    <m/>
    <m/>
    <n v="15"/>
    <m/>
    <m/>
    <m/>
    <m/>
    <m/>
    <n v="15"/>
    <m/>
    <m/>
    <m/>
    <m/>
    <m/>
    <n v="15"/>
    <m/>
    <m/>
    <m/>
    <m/>
    <m/>
    <n v="15"/>
    <m/>
    <m/>
    <m/>
    <m/>
    <m/>
    <s v="Lack of awareness"/>
    <s v="Pre information should be provided about DRR program  through messaging%2C email or letters"/>
    <s v="Local participation"/>
    <s v="All local people should be provided with equal opportunities in  DRR    platform  based program"/>
    <s v="Time problem"/>
    <s v="Management of proper time"/>
    <n v="15"/>
    <m/>
    <m/>
    <m/>
    <m/>
    <m/>
    <n v="15"/>
    <m/>
    <m/>
    <m/>
    <m/>
    <m/>
    <n v="15"/>
    <m/>
    <m/>
    <m/>
    <m/>
    <m/>
    <n v="15"/>
    <m/>
    <m/>
    <m/>
    <m/>
    <m/>
    <n v="15"/>
    <m/>
    <m/>
    <m/>
    <m/>
    <m/>
    <s v="CC2733"/>
    <m/>
    <s v="Community Consultation"/>
  </r>
  <r>
    <n v="2734"/>
    <s v="http://www.surveygizmo.com/s3/survey/4563835/2VK5FPR097J3PKVT37FH6KSA5OTKEK?snc=1562137806_5d1c54cee40604.15379117&amp;sg_navigate=start&amp;_iseditlink=true"/>
    <s v="EDIT"/>
    <s v="Pratima Khadka"/>
    <s v="FSCN"/>
    <s v="Nepal  - National Society for Earthquake Technology - Nepal (NSET)"/>
    <s v="Nepal"/>
    <s v="Changunaryan Municipality Ward 8"/>
    <s v="Rural"/>
    <s v="05/13/2019"/>
    <s v="Nepal-FSCN-CC-Changunarayan-4"/>
    <x v="3"/>
    <n v="13"/>
    <x v="0"/>
    <x v="11"/>
    <x v="12"/>
    <x v="11"/>
    <x v="12"/>
    <s v="-"/>
    <s v="-"/>
    <m/>
    <m/>
    <m/>
    <m/>
    <s v="Yes"/>
    <s v="Road Accidents"/>
    <s v="Economic and Livelihood Loss"/>
    <s v="Loss of Life"/>
    <s v="Psychological Effects"/>
    <s v="Awareness Raising  Education and Training"/>
    <s v="Insurance"/>
    <s v="Counselling"/>
    <s v="Communication Issues"/>
    <s v="Lack Of Facilities"/>
    <s v="Lack Of Manpower"/>
    <s v="Fire"/>
    <s v="Economic and Livelihood Loss"/>
    <s v="Looting of Properties"/>
    <s v="Environmental effects"/>
    <s v="Actions For Poverty Reduction And Employment"/>
    <s v="Disaster Preparedness"/>
    <s v="Community Self-Management"/>
    <s v="Conflict In Schedule"/>
    <s v="Lack Of Awareness And Education"/>
    <s v="Lack Of Capacity"/>
    <m/>
    <m/>
    <m/>
    <m/>
    <m/>
    <m/>
    <m/>
    <m/>
    <m/>
    <m/>
    <m/>
    <m/>
    <m/>
    <s v="-"/>
    <m/>
    <s v="Climate Change"/>
    <s v="Pollution"/>
    <s v="Road Accidents"/>
    <m/>
    <m/>
    <m/>
    <n v="13"/>
    <m/>
    <m/>
    <m/>
    <m/>
    <m/>
    <m/>
    <n v="13"/>
    <m/>
    <n v="1"/>
    <n v="2"/>
    <n v="4"/>
    <m/>
    <n v="6"/>
    <m/>
    <m/>
    <m/>
    <m/>
    <m/>
    <n v="13"/>
    <m/>
    <m/>
    <m/>
    <m/>
    <n v="13"/>
    <m/>
    <m/>
    <m/>
    <m/>
    <n v="13"/>
    <m/>
    <m/>
    <m/>
    <n v="7"/>
    <m/>
    <n v="3"/>
    <m/>
    <n v="3"/>
    <m/>
    <s v="Illiteracy"/>
    <s v="Management of providing DRR based education and trainings"/>
    <s v="Lack of information"/>
    <s v="Pre information should be provided about DRR and its related program"/>
    <s v="Lack of time"/>
    <s v="Management of proper time"/>
    <n v="13"/>
    <m/>
    <m/>
    <m/>
    <m/>
    <m/>
    <n v="9"/>
    <m/>
    <n v="4"/>
    <m/>
    <n v="13"/>
    <m/>
    <m/>
    <m/>
    <m/>
    <n v="13"/>
    <m/>
    <m/>
    <n v="13"/>
    <m/>
    <m/>
    <m/>
    <m/>
    <m/>
    <m/>
    <m/>
    <m/>
    <m/>
    <m/>
    <m/>
    <s v="CC2734"/>
    <m/>
    <s v="Community Consultation"/>
  </r>
  <r>
    <n v="2735"/>
    <s v="http://www.surveygizmo.com/s3/survey/4563835/2VK5FPR097J3PKVT37FH6KSA5OTKEK?snc=1562137809_5d1c54d1227f61.78093339&amp;sg_navigate=start&amp;_iseditlink=true"/>
    <s v="EDIT"/>
    <s v="Pratima Khadka"/>
    <s v="FSCN"/>
    <s v="Nepal  - National Society for Earthquake Technology - Nepal (NSET)"/>
    <s v="Nepal"/>
    <s v="Changunaryan Municipality Ward 8"/>
    <s v="Rural"/>
    <d v="2019-09-06T00:00:00"/>
    <s v="Nepal-FSCN-CC-Changunarayan-5"/>
    <x v="4"/>
    <n v="7"/>
    <x v="0"/>
    <x v="11"/>
    <x v="1"/>
    <x v="11"/>
    <x v="12"/>
    <s v="-"/>
    <s v="-"/>
    <m/>
    <m/>
    <m/>
    <m/>
    <s v="Yes"/>
    <s v="Lack of Access to Basic Services"/>
    <s v="Disability"/>
    <s v="Disease/Health Effects"/>
    <s v="Loss of Access to Basic Services"/>
    <s v="Health Promotion"/>
    <s v="Investment in Infrastructure Improvement and Mitigation Works"/>
    <s v="Maintain Basic Services (Medical and Other)"/>
    <s v="Lack Of Resources"/>
    <s v="Lack Of Government Action"/>
    <s v="Lack Of Facilities"/>
    <s v="Earthquakes"/>
    <s v="Environmental effects"/>
    <s v="Economic and Livelihood Loss"/>
    <s v="Loss of Life"/>
    <s v="Awareness Raising  Education and Training"/>
    <s v="Coordination and Inter Institutional Partnerships with NGOs and Other Actors"/>
    <s v="Insurance"/>
    <s v="Communication Issues"/>
    <s v="Conflict In Schedule"/>
    <s v="Health Condition"/>
    <s v="Unemployment"/>
    <s v="Economic and Livelihood Loss"/>
    <s v="Food Insecurity"/>
    <s v="Increased Money Borrowing"/>
    <s v="Actions For Poverty Reduction And Employment"/>
    <s v="Food Security Actions"/>
    <s v="Investment in Infrastructure Improvement and Mitigation Works"/>
    <s v="Communication Issues"/>
    <s v="Conflict In Schedule"/>
    <s v="Lack Of Coordination Between Actors"/>
    <m/>
    <m/>
    <m/>
    <s v="-"/>
    <m/>
    <s v="Migration"/>
    <s v="Pollution"/>
    <s v="Psychological problems"/>
    <n v="5"/>
    <m/>
    <m/>
    <n v="2"/>
    <m/>
    <m/>
    <m/>
    <m/>
    <n v="7"/>
    <m/>
    <m/>
    <m/>
    <n v="7"/>
    <m/>
    <m/>
    <m/>
    <m/>
    <m/>
    <n v="1"/>
    <m/>
    <n v="3"/>
    <n v="1"/>
    <n v="2"/>
    <m/>
    <m/>
    <n v="2"/>
    <n v="5"/>
    <m/>
    <m/>
    <m/>
    <m/>
    <m/>
    <m/>
    <n v="7"/>
    <m/>
    <m/>
    <n v="7"/>
    <m/>
    <m/>
    <m/>
    <m/>
    <m/>
    <s v="Unaware about DRR program"/>
    <s v="People should be informed about DRR, its impact and importance"/>
    <s v="Lack of information"/>
    <s v="Pre information should be provided about DRR   and its related program"/>
    <s v="Lack of time"/>
    <s v="Appropriate time should be selected"/>
    <m/>
    <n v="7"/>
    <m/>
    <m/>
    <m/>
    <m/>
    <m/>
    <n v="7"/>
    <m/>
    <m/>
    <m/>
    <m/>
    <n v="7"/>
    <m/>
    <m/>
    <m/>
    <m/>
    <m/>
    <n v="3"/>
    <m/>
    <n v="2"/>
    <m/>
    <n v="2"/>
    <m/>
    <m/>
    <m/>
    <m/>
    <m/>
    <n v="7"/>
    <m/>
    <s v="CC2735"/>
    <m/>
    <s v="Community Consultation"/>
  </r>
  <r>
    <n v="2910"/>
    <s v="http://www.surveygizmo.com/s3/survey/4563835/2VK5FPR097J3PKVT37FH6KSA5OTKEK?snc=1564029556_5d393274855742.25099151&amp;sg_navigate=start&amp;_iseditlink=true"/>
    <s v="EDIT"/>
    <s v="Amrit Bahadur Ghote"/>
    <s v="FIRDO"/>
    <s v="Nepal  - National Society for Earthquake Technology - Nepal (NSET)"/>
    <s v="Nepal"/>
    <s v="Gandaki Rural Municipality Ward 2"/>
    <s v="Rural"/>
    <s v="05/31/2019"/>
    <s v="Nepal-FIRDO-CC-Gandaki Ward 2-5"/>
    <x v="4"/>
    <n v="6"/>
    <x v="2"/>
    <x v="3"/>
    <x v="0"/>
    <x v="5"/>
    <x v="2"/>
    <m/>
    <s v="None"/>
    <m/>
    <m/>
    <m/>
    <m/>
    <s v="Yes"/>
    <s v="Lack of Access to Basic Services"/>
    <s v="Disease/Health Effects"/>
    <s v="Economic and Livelihood Loss"/>
    <s v="Crop Damage"/>
    <s v="Investment in Infrastructure Improvement and Mitigation Works"/>
    <s v="Drainage Channels"/>
    <m/>
    <s v="Lack Of Resources"/>
    <s v="Lack Of Awareness And Education"/>
    <m/>
    <s v="Reduction In Irrigation"/>
    <s v="Commercial Loss"/>
    <s v="Crop Damage"/>
    <s v="Conflict"/>
    <s v="Investment in Infrastructure Improvement and Mitigation Works"/>
    <s v="Irrigation Systems"/>
    <m/>
    <s v="Economic Policies"/>
    <s v="Lack Of Resources"/>
    <m/>
    <s v="Lack of Access to Basic Services"/>
    <s v="School/Education Drop Out"/>
    <m/>
    <m/>
    <s v="Investment in Infrastructure Improvement and Mitigation Works"/>
    <s v="Awareness Raising  Education and Training"/>
    <m/>
    <s v="Lack Of Awareness And Education"/>
    <s v="Lack Of Resources"/>
    <m/>
    <n v="1"/>
    <m/>
    <m/>
    <m/>
    <m/>
    <s v="Conflict/Insecurity"/>
    <s v="Lack of Access to Water"/>
    <s v="Road Accidents"/>
    <n v="2"/>
    <n v="1"/>
    <n v="3"/>
    <m/>
    <m/>
    <m/>
    <n v="1"/>
    <n v="4"/>
    <n v="1"/>
    <m/>
    <m/>
    <m/>
    <n v="3"/>
    <n v="1"/>
    <n v="2"/>
    <m/>
    <m/>
    <m/>
    <n v="2"/>
    <n v="1"/>
    <n v="3"/>
    <m/>
    <m/>
    <m/>
    <n v="1"/>
    <n v="2"/>
    <n v="2"/>
    <n v="1"/>
    <m/>
    <m/>
    <m/>
    <n v="2"/>
    <n v="3"/>
    <n v="1"/>
    <m/>
    <m/>
    <m/>
    <n v="3"/>
    <n v="3"/>
    <m/>
    <m/>
    <m/>
    <s v="No presence"/>
    <s v="Interactions"/>
    <s v="Lack of information"/>
    <s v="Information for all"/>
    <s v="To be informed"/>
    <s v="Timely conduction of meetings."/>
    <m/>
    <n v="2"/>
    <n v="3"/>
    <n v="1"/>
    <m/>
    <m/>
    <n v="2"/>
    <n v="3"/>
    <n v="1"/>
    <m/>
    <m/>
    <m/>
    <m/>
    <n v="3"/>
    <n v="3"/>
    <m/>
    <m/>
    <m/>
    <n v="2"/>
    <n v="3"/>
    <n v="1"/>
    <m/>
    <m/>
    <m/>
    <n v="3"/>
    <n v="2"/>
    <n v="1"/>
    <m/>
    <m/>
    <m/>
    <s v="CC2910"/>
    <m/>
    <s v="Community Consultation"/>
  </r>
  <r>
    <n v="2969"/>
    <s v="http://www.surveygizmo.com/s3/survey/4563835/2VK5FPR097J3PKVT37FH6KSA5OTKEK?snc=1564572996_5d417d4475da70.88799282&amp;sg_navigate=start&amp;_iseditlink=true"/>
    <s v="EDIT"/>
    <s v="Urmila Chaudhary/Shree Kant Choudhary"/>
    <s v="NP"/>
    <s v="Nepal  - National Society for Earthquake Technology - Nepal (NSET)"/>
    <s v="Nepal"/>
    <s v="Triyuga Municipality Ward 11"/>
    <s v="Urban"/>
    <d v="2019-01-06T00:00:00"/>
    <s v="Nepal-NP-CC-Triyuga Ward 11-1"/>
    <x v="3"/>
    <n v="20"/>
    <x v="0"/>
    <x v="0"/>
    <x v="4"/>
    <x v="1"/>
    <x v="2"/>
    <m/>
    <s v="-"/>
    <m/>
    <m/>
    <m/>
    <m/>
    <s v="No"/>
    <s v="Floods"/>
    <s v="Crop Damage"/>
    <s v="Economic and Livelihood Loss"/>
    <s v="Infrastructure Damage"/>
    <s v="Dam/Dyke Building"/>
    <s v="Investment in Infrastructure Improvement and Mitigation Works"/>
    <m/>
    <s v="Lack Of Resources"/>
    <m/>
    <m/>
    <s v="Storms"/>
    <s v="Economic and Livelihood Loss"/>
    <s v="Infrastructure Damage"/>
    <m/>
    <s v="Resilience Building"/>
    <s v="Investment in Infrastructure Improvement and Mitigation Works"/>
    <m/>
    <s v="Lack Of Community Commitment"/>
    <s v="Lack Of Risk Awareness And Planning"/>
    <m/>
    <s v="Fire"/>
    <s v="Economic and Livelihood Loss"/>
    <s v="Infrastructure Damage"/>
    <m/>
    <s v="Disaster Preparedness"/>
    <s v="Awareness Raising  Education and Training"/>
    <m/>
    <s v="Lack Of Risk Awareness And Planning"/>
    <m/>
    <m/>
    <m/>
    <m/>
    <m/>
    <m/>
    <n v="5"/>
    <s v="Floods"/>
    <s v="Drought"/>
    <s v="Earthquakes"/>
    <n v="4"/>
    <n v="3"/>
    <n v="3"/>
    <m/>
    <m/>
    <m/>
    <n v="4"/>
    <n v="2"/>
    <n v="4"/>
    <m/>
    <m/>
    <m/>
    <m/>
    <n v="4"/>
    <n v="3"/>
    <n v="3"/>
    <m/>
    <m/>
    <m/>
    <n v="4"/>
    <n v="3"/>
    <n v="3"/>
    <m/>
    <m/>
    <n v="3"/>
    <n v="4"/>
    <n v="3"/>
    <m/>
    <m/>
    <m/>
    <n v="3"/>
    <n v="3"/>
    <n v="4"/>
    <m/>
    <m/>
    <m/>
    <n v="3"/>
    <n v="5"/>
    <n v="2"/>
    <m/>
    <m/>
    <m/>
    <s v="No information about time to the community."/>
    <s v="To give prior information."/>
    <s v="Investments only on infrastructures."/>
    <s v="Skilled work plan."/>
    <s v="Concrete plan."/>
    <s v="Selection  of plans in local levels."/>
    <m/>
    <n v="2"/>
    <n v="1"/>
    <n v="3"/>
    <n v="4"/>
    <m/>
    <m/>
    <n v="2"/>
    <n v="1"/>
    <n v="3"/>
    <n v="4"/>
    <m/>
    <n v="4"/>
    <n v="3"/>
    <n v="3"/>
    <m/>
    <m/>
    <m/>
    <m/>
    <n v="2"/>
    <n v="3"/>
    <n v="3"/>
    <n v="3"/>
    <m/>
    <n v="3"/>
    <n v="4"/>
    <n v="3"/>
    <m/>
    <m/>
    <m/>
    <s v="CC2969"/>
    <m/>
    <s v="Community Consultation"/>
  </r>
  <r>
    <n v="2970"/>
    <s v="http://www.surveygizmo.com/s3/survey/4563835/2VK5FPR097J3PKVT37FH6KSA5OTKEK?snc=1564573001_5d417d492043c4.58560985&amp;sg_navigate=start&amp;_iseditlink=true"/>
    <s v="EDIT"/>
    <s v="Urmila Chaudhary/Shreekant Chaudhary"/>
    <s v="NP"/>
    <s v="Nepal  - National Society for Earthquake Technology - Nepal (NSET)"/>
    <s v="Nepal"/>
    <s v="Triyuga Municipality Ward 11"/>
    <s v="Urban"/>
    <d v="2019-02-06T00:00:00"/>
    <s v="Nepal-NP-CC-Triyuga ward 11-2"/>
    <x v="0"/>
    <n v="12"/>
    <x v="0"/>
    <x v="0"/>
    <x v="1"/>
    <x v="12"/>
    <x v="8"/>
    <m/>
    <s v="-"/>
    <m/>
    <m/>
    <m/>
    <m/>
    <s v="No"/>
    <s v="Floods"/>
    <s v="Erosion"/>
    <s v="Disease/Health Effects"/>
    <s v="Infrastructure Damage"/>
    <s v="Dam/Dyke Building"/>
    <s v="Disaster Preparedness"/>
    <s v="Raising Homes"/>
    <s v="Lack Of Resources"/>
    <s v="Lack Of Awareness And Education"/>
    <m/>
    <s v="Landslides"/>
    <s v="Crop Damage"/>
    <s v="Infrastructure Damage"/>
    <s v="Environmental effects"/>
    <s v="Ecosystem Management and Restoration"/>
    <m/>
    <m/>
    <s v="Lack Of Risk Awareness And Planning"/>
    <m/>
    <m/>
    <s v="Fire"/>
    <s v="Economic and Livelihood Loss"/>
    <m/>
    <m/>
    <s v="Awareness Raising  Education and Training"/>
    <s v="Disaster Preparedness"/>
    <m/>
    <s v="Lack Of Risk Awareness And Planning"/>
    <m/>
    <m/>
    <m/>
    <m/>
    <m/>
    <n v="4"/>
    <m/>
    <s v="Floods"/>
    <s v="Drought"/>
    <s v="Earthquakes"/>
    <n v="4"/>
    <n v="5"/>
    <n v="2"/>
    <m/>
    <m/>
    <m/>
    <n v="3"/>
    <n v="4"/>
    <n v="4"/>
    <m/>
    <m/>
    <m/>
    <m/>
    <n v="3"/>
    <n v="6"/>
    <n v="1"/>
    <m/>
    <m/>
    <m/>
    <n v="6"/>
    <n v="5"/>
    <m/>
    <m/>
    <m/>
    <m/>
    <n v="7"/>
    <n v="4"/>
    <m/>
    <m/>
    <m/>
    <n v="2"/>
    <n v="8"/>
    <n v="1"/>
    <m/>
    <m/>
    <m/>
    <n v="1"/>
    <n v="6"/>
    <n v="4"/>
    <m/>
    <m/>
    <m/>
    <s v="Lack of awareness."/>
    <s v="Gathering of farmers during off time. "/>
    <s v="Information regarding budget. "/>
    <s v="Discussions required. "/>
    <s v="No prioritization of problems."/>
    <s v="Prioritization of community participation. "/>
    <m/>
    <m/>
    <n v="6"/>
    <n v="4"/>
    <n v="1"/>
    <m/>
    <m/>
    <m/>
    <n v="6"/>
    <n v="2"/>
    <n v="3"/>
    <m/>
    <m/>
    <n v="2"/>
    <n v="4"/>
    <n v="5"/>
    <m/>
    <m/>
    <n v="3"/>
    <n v="2"/>
    <n v="4"/>
    <n v="2"/>
    <m/>
    <m/>
    <n v="1"/>
    <n v="3"/>
    <n v="4"/>
    <n v="3"/>
    <m/>
    <m/>
    <s v="CC2970"/>
    <m/>
    <s v="Community Consultation"/>
  </r>
  <r>
    <n v="2971"/>
    <s v="http://www.surveygizmo.com/s3/survey/4563835/2VK5FPR097J3PKVT37FH6KSA5OTKEK?snc=1564573005_5d417d4dbf54a0.68248125&amp;sg_navigate=start&amp;_iseditlink=true"/>
    <s v="EDIT"/>
    <s v="Urmila Chaudhary/Shree kant Chaudhary"/>
    <s v="NP"/>
    <s v="Nepal  - National Society for Earthquake Technology - Nepal (NSET)"/>
    <s v="Nepal"/>
    <s v="Triyuga Municipality Ward 11"/>
    <s v="Urban"/>
    <s v="05/31/2019"/>
    <s v="Nepal-NP-CC-Triyuga ward11-3"/>
    <x v="3"/>
    <n v="27"/>
    <x v="0"/>
    <x v="11"/>
    <x v="4"/>
    <x v="3"/>
    <x v="5"/>
    <n v="1"/>
    <s v="-"/>
    <m/>
    <m/>
    <m/>
    <m/>
    <s v="No"/>
    <s v="Floods"/>
    <s v="Erosion"/>
    <s v="Infrastructure Damage"/>
    <m/>
    <s v="Dam/Dyke Building"/>
    <m/>
    <m/>
    <s v="Lack Of Resources"/>
    <m/>
    <m/>
    <s v="Storms"/>
    <s v="Building Destruction"/>
    <s v="Infrastructure Damage"/>
    <m/>
    <s v="Investment in Infrastructure Improvement and Mitigation Works"/>
    <m/>
    <m/>
    <s v="Lack Of Resources"/>
    <s v="Lack Of Awareness And Education"/>
    <m/>
    <s v="Fire"/>
    <s v="Building Destruction"/>
    <s v="Economic and Livelihood Loss"/>
    <s v="Environmental effects"/>
    <s v="Awareness Raising  Education and Training"/>
    <s v="Disaster Preparedness"/>
    <m/>
    <s v="Lack Of Risk Awareness And Planning"/>
    <m/>
    <m/>
    <m/>
    <m/>
    <m/>
    <n v="4"/>
    <m/>
    <s v="Floods"/>
    <s v="Drought"/>
    <s v="Earthquakes"/>
    <n v="5"/>
    <n v="2"/>
    <n v="3"/>
    <m/>
    <m/>
    <m/>
    <m/>
    <n v="5"/>
    <n v="3"/>
    <n v="2"/>
    <m/>
    <m/>
    <n v="3"/>
    <n v="5"/>
    <n v="2"/>
    <m/>
    <m/>
    <m/>
    <n v="4"/>
    <n v="4"/>
    <n v="2"/>
    <m/>
    <m/>
    <m/>
    <n v="5"/>
    <n v="2"/>
    <n v="3"/>
    <m/>
    <m/>
    <m/>
    <n v="2"/>
    <n v="6"/>
    <n v="1"/>
    <m/>
    <m/>
    <m/>
    <n v="6"/>
    <n v="2"/>
    <n v="1"/>
    <m/>
    <m/>
    <m/>
    <s v="Lack of information regarding planning to the community. "/>
    <s v="Awareness"/>
    <s v="Investment in big scale planning."/>
    <s v="Planning of livelihood."/>
    <s v="Leadership. "/>
    <s v="Selection of plan from tole/community."/>
    <m/>
    <m/>
    <n v="2"/>
    <n v="3"/>
    <n v="5"/>
    <m/>
    <m/>
    <m/>
    <n v="1"/>
    <n v="2"/>
    <n v="6"/>
    <m/>
    <n v="5"/>
    <n v="4"/>
    <n v="1"/>
    <m/>
    <m/>
    <m/>
    <m/>
    <n v="1"/>
    <n v="1"/>
    <n v="3"/>
    <n v="5"/>
    <m/>
    <n v="5"/>
    <n v="3"/>
    <n v="1"/>
    <n v="1"/>
    <m/>
    <m/>
    <s v="CC2971"/>
    <m/>
    <s v="Community Consultation"/>
  </r>
  <r>
    <n v="2972"/>
    <s v="http://www.surveygizmo.com/s3/survey/4563835/2VK5FPR097J3PKVT37FH6KSA5OTKEK?snc=1564573010_5d417d5245e2c2.76316608&amp;sg_navigate=start&amp;_iseditlink=true"/>
    <s v="EDIT"/>
    <s v="Urmila Chaudhary/Shree kant Chaudhary"/>
    <s v="NP"/>
    <s v="Nepal  - National Society for Earthquake Technology - Nepal (NSET)"/>
    <s v="Nepal"/>
    <s v="Triyuga Municipality Ward 11"/>
    <s v="Urban"/>
    <d v="2019-03-06T00:00:00"/>
    <s v="Nepal-NP-CC-Triyuga ward 11-4"/>
    <x v="3"/>
    <n v="11"/>
    <x v="0"/>
    <x v="0"/>
    <x v="1"/>
    <x v="0"/>
    <x v="4"/>
    <m/>
    <s v="-"/>
    <m/>
    <m/>
    <m/>
    <m/>
    <s v="No"/>
    <s v="Floods"/>
    <s v="Building Destruction"/>
    <s v="Infrastructure Damage"/>
    <m/>
    <s v="Dam/Dyke Building"/>
    <s v="Drainage Channels"/>
    <s v="Resilience Building"/>
    <s v="Lack Of Risk Awareness And Planning"/>
    <m/>
    <m/>
    <s v="Landslides"/>
    <s v="Environmental effects"/>
    <s v="Infrastructure Damage"/>
    <m/>
    <s v="Investment in Infrastructure Improvement and Mitigation Works"/>
    <m/>
    <m/>
    <s v="Geographical Situation"/>
    <m/>
    <m/>
    <s v="Drought"/>
    <s v="Loss of Clean Water Sources"/>
    <s v="Crop Damage"/>
    <s v="Disease/Health Effects"/>
    <s v="Water and Sanitation Programme"/>
    <m/>
    <m/>
    <s v="Lack Of Risk Awareness And Planning"/>
    <m/>
    <m/>
    <m/>
    <m/>
    <m/>
    <m/>
    <n v="5"/>
    <s v="Drought"/>
    <s v="Earthquakes"/>
    <s v="Corruption"/>
    <n v="10"/>
    <m/>
    <m/>
    <m/>
    <m/>
    <m/>
    <n v="3"/>
    <n v="2"/>
    <n v="5"/>
    <m/>
    <m/>
    <m/>
    <m/>
    <n v="2"/>
    <n v="6"/>
    <n v="2"/>
    <m/>
    <m/>
    <n v="4"/>
    <n v="4"/>
    <n v="2"/>
    <m/>
    <m/>
    <m/>
    <n v="6"/>
    <n v="4"/>
    <m/>
    <m/>
    <m/>
    <m/>
    <n v="6"/>
    <n v="4"/>
    <m/>
    <m/>
    <m/>
    <m/>
    <m/>
    <n v="6"/>
    <n v="4"/>
    <m/>
    <m/>
    <m/>
    <s v="Selection of farming and planning"/>
    <s v="Gathering during the leisure time."/>
    <s v="Big scale planning"/>
    <s v="selection of the plan in respect of the victim of the disaster."/>
    <s v="Leadership in favor of  elite groups."/>
    <s v="Selection of the participants through inclusion."/>
    <m/>
    <n v="6"/>
    <n v="4"/>
    <m/>
    <m/>
    <m/>
    <m/>
    <n v="2"/>
    <n v="8"/>
    <m/>
    <m/>
    <m/>
    <m/>
    <n v="6"/>
    <n v="4"/>
    <m/>
    <m/>
    <m/>
    <m/>
    <n v="2"/>
    <n v="2"/>
    <m/>
    <n v="6"/>
    <m/>
    <n v="4"/>
    <n v="2"/>
    <n v="2"/>
    <m/>
    <m/>
    <m/>
    <s v="CC2972"/>
    <m/>
    <s v="Community Consultation"/>
  </r>
  <r>
    <n v="2973"/>
    <s v="http://www.surveygizmo.com/s3/survey/4563835/2VK5FPR097J3PKVT37FH6KSA5OTKEK?snc=1564573014_5d417d5643bdc6.90281796&amp;sg_navigate=start&amp;_iseditlink=true"/>
    <s v="EDIT"/>
    <s v="Urmila Chaudhary/Shree kant Chaudhary"/>
    <s v="NP"/>
    <s v="Nepal  - National Society for Earthquake Technology - Nepal (NSET)"/>
    <s v="Nepal"/>
    <s v="Triyuga Municipality Ward 11"/>
    <s v="Urban"/>
    <d v="2019-04-06T00:00:00"/>
    <s v="Nepal-NP-CC-Triyuga Ward 11-5"/>
    <x v="2"/>
    <n v="20"/>
    <x v="8"/>
    <x v="6"/>
    <x v="4"/>
    <x v="1"/>
    <x v="2"/>
    <m/>
    <s v="-"/>
    <m/>
    <m/>
    <m/>
    <m/>
    <s v="No"/>
    <s v="Floods"/>
    <s v="School/Education Drop Out"/>
    <s v="Environmental effects"/>
    <m/>
    <s v="Dam/Dyke Building"/>
    <s v="Investment in Infrastructure Improvement and Mitigation Works"/>
    <m/>
    <s v="Lack Of Resources"/>
    <m/>
    <m/>
    <s v="Landslides"/>
    <s v="Crop Damage"/>
    <s v="Economic and Livelihood Loss"/>
    <m/>
    <s v="Do Not Live In Risky Places"/>
    <m/>
    <m/>
    <s v="Poor Natural Resource Management"/>
    <s v="Lack Of Resources"/>
    <m/>
    <s v="Fire"/>
    <s v="Environmental effects"/>
    <s v="Economic and Livelihood Loss"/>
    <m/>
    <s v="Protect Water Tanks"/>
    <m/>
    <m/>
    <s v="Lack Of Risk Awareness And Planning"/>
    <m/>
    <m/>
    <m/>
    <m/>
    <m/>
    <n v="4"/>
    <m/>
    <s v="Floods"/>
    <s v="Landslides"/>
    <s v="Drought"/>
    <m/>
    <m/>
    <n v="9"/>
    <m/>
    <m/>
    <s v="Children were unaware of the local level services."/>
    <m/>
    <m/>
    <n v="9"/>
    <m/>
    <m/>
    <s v="No information regarding the schools."/>
    <m/>
    <m/>
    <m/>
    <m/>
    <m/>
    <m/>
    <m/>
    <m/>
    <n v="7"/>
    <n v="2"/>
    <m/>
    <m/>
    <m/>
    <m/>
    <n v="7"/>
    <m/>
    <m/>
    <m/>
    <m/>
    <n v="7"/>
    <n v="2"/>
    <m/>
    <m/>
    <m/>
    <m/>
    <n v="7"/>
    <n v="2"/>
    <m/>
    <m/>
    <m/>
    <s v="Unemployment"/>
    <s v="Employment"/>
    <s v="Lack of budget"/>
    <s v="Budget to be provided to the community"/>
    <s v="Lack of participation"/>
    <s v="Awareness"/>
    <n v="2"/>
    <n v="3"/>
    <n v="4"/>
    <m/>
    <m/>
    <m/>
    <m/>
    <m/>
    <m/>
    <n v="3"/>
    <n v="6"/>
    <m/>
    <m/>
    <n v="1"/>
    <n v="2"/>
    <n v="6"/>
    <m/>
    <m/>
    <m/>
    <n v="2"/>
    <n v="3"/>
    <n v="4"/>
    <m/>
    <m/>
    <n v="4"/>
    <n v="3"/>
    <n v="2"/>
    <m/>
    <m/>
    <m/>
    <s v="CC2973"/>
    <m/>
    <s v="Community Consul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roups">
  <location ref="A3:H9" firstHeaderRow="0" firstDataRow="1" firstDataCol="1"/>
  <pivotFields count="144">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1"/>
        <item x="3"/>
        <item x="4"/>
        <item x="0"/>
        <item t="default"/>
      </items>
    </pivotField>
    <pivotField dataField="1" showAll="0"/>
    <pivotField dataField="1" showAll="0">
      <items count="10">
        <item x="2"/>
        <item x="5"/>
        <item x="1"/>
        <item x="3"/>
        <item x="4"/>
        <item x="6"/>
        <item x="8"/>
        <item x="7"/>
        <item x="0"/>
        <item t="default"/>
      </items>
    </pivotField>
    <pivotField dataField="1" showAll="0">
      <items count="13">
        <item x="6"/>
        <item x="3"/>
        <item x="4"/>
        <item x="7"/>
        <item x="2"/>
        <item x="8"/>
        <item x="10"/>
        <item x="9"/>
        <item x="1"/>
        <item x="5"/>
        <item x="11"/>
        <item x="0"/>
        <item t="default"/>
      </items>
    </pivotField>
    <pivotField dataField="1" showAll="0">
      <items count="14">
        <item x="0"/>
        <item x="4"/>
        <item x="6"/>
        <item x="7"/>
        <item x="3"/>
        <item x="5"/>
        <item x="10"/>
        <item x="2"/>
        <item x="9"/>
        <item x="11"/>
        <item x="8"/>
        <item x="12"/>
        <item x="1"/>
        <item t="default"/>
      </items>
    </pivotField>
    <pivotField dataField="1" showAll="0">
      <items count="14">
        <item x="10"/>
        <item x="5"/>
        <item x="6"/>
        <item x="0"/>
        <item x="3"/>
        <item x="9"/>
        <item x="8"/>
        <item x="12"/>
        <item x="7"/>
        <item x="4"/>
        <item x="2"/>
        <item x="11"/>
        <item x="1"/>
        <item t="default"/>
      </items>
    </pivotField>
    <pivotField dataField="1" showAll="0">
      <items count="14">
        <item x="7"/>
        <item x="10"/>
        <item x="8"/>
        <item x="9"/>
        <item x="3"/>
        <item x="5"/>
        <item x="4"/>
        <item x="11"/>
        <item x="0"/>
        <item x="6"/>
        <item x="1"/>
        <item x="12"/>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Fields count="1">
    <field x="-2"/>
  </colFields>
  <colItems count="7">
    <i>
      <x/>
    </i>
    <i i="1">
      <x v="1"/>
    </i>
    <i i="2">
      <x v="2"/>
    </i>
    <i i="3">
      <x v="3"/>
    </i>
    <i i="4">
      <x v="4"/>
    </i>
    <i i="5">
      <x v="5"/>
    </i>
    <i i="6">
      <x v="6"/>
    </i>
  </colItems>
  <dataFields count="7">
    <dataField name="14-17" fld="13" subtotal="count" baseField="11" baseItem="0"/>
    <dataField name="18-24" fld="14" baseField="11" baseItem="0"/>
    <dataField name="25-34" fld="15" baseField="11" baseItem="0"/>
    <dataField name="35-44" fld="16" baseField="11" baseItem="0"/>
    <dataField name="45-64" fld="17" baseField="11" baseItem="0"/>
    <dataField name="65 plus" fld="18" baseField="11" baseItem="0"/>
    <dataField name="Total Participants" fld="12" baseField="11"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M48" firstHeaderRow="0" firstDataRow="1" firstDataCol="1"/>
  <pivotFields count="14">
    <pivotField axis="axisRow"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Row" showAll="0">
      <items count="7">
        <item x="2"/>
        <item x="5"/>
        <item x="4"/>
        <item x="1"/>
        <item x="3"/>
        <item x="0"/>
        <item t="default"/>
      </items>
    </pivotField>
    <pivotField dataField="1" showAll="0"/>
    <pivotField dataField="1" showAll="0"/>
    <pivotField dataField="1" showAll="0"/>
    <pivotField dataField="1" showAll="0"/>
    <pivotField dataField="1" showAll="0"/>
    <pivotField dataField="1" showAll="0"/>
    <pivotField dataField="1" numFmtId="9" showAll="0"/>
    <pivotField dataField="1" numFmtId="9" showAll="0"/>
    <pivotField dataField="1" numFmtId="9" showAll="0"/>
    <pivotField dataField="1" numFmtId="9" showAll="0"/>
    <pivotField dataField="1" numFmtId="9" showAll="0"/>
    <pivotField dataField="1" numFmtId="9" showAll="0"/>
  </pivotFields>
  <rowFields count="2">
    <field x="1"/>
    <field x="0"/>
  </rowFields>
  <rowItems count="45">
    <i>
      <x/>
    </i>
    <i r="1">
      <x v="4"/>
    </i>
    <i r="1">
      <x v="5"/>
    </i>
    <i r="1">
      <x v="6"/>
    </i>
    <i r="1">
      <x v="7"/>
    </i>
    <i r="1">
      <x v="11"/>
    </i>
    <i r="1">
      <x v="25"/>
    </i>
    <i r="1">
      <x v="37"/>
    </i>
    <i>
      <x v="1"/>
    </i>
    <i r="1">
      <x v="20"/>
    </i>
    <i r="1">
      <x v="21"/>
    </i>
    <i r="1">
      <x v="27"/>
    </i>
    <i>
      <x v="2"/>
    </i>
    <i r="1">
      <x v="19"/>
    </i>
    <i r="1">
      <x v="22"/>
    </i>
    <i r="1">
      <x v="29"/>
    </i>
    <i r="1">
      <x v="31"/>
    </i>
    <i r="1">
      <x v="34"/>
    </i>
    <i>
      <x v="3"/>
    </i>
    <i r="1">
      <x v="2"/>
    </i>
    <i r="1">
      <x v="15"/>
    </i>
    <i r="1">
      <x v="18"/>
    </i>
    <i r="1">
      <x v="30"/>
    </i>
    <i r="1">
      <x v="32"/>
    </i>
    <i r="1">
      <x v="33"/>
    </i>
    <i>
      <x v="4"/>
    </i>
    <i r="1">
      <x v="10"/>
    </i>
    <i r="1">
      <x v="12"/>
    </i>
    <i r="1">
      <x v="13"/>
    </i>
    <i r="1">
      <x v="16"/>
    </i>
    <i r="1">
      <x v="23"/>
    </i>
    <i r="1">
      <x v="28"/>
    </i>
    <i>
      <x v="5"/>
    </i>
    <i r="1">
      <x/>
    </i>
    <i r="1">
      <x v="1"/>
    </i>
    <i r="1">
      <x v="3"/>
    </i>
    <i r="1">
      <x v="8"/>
    </i>
    <i r="1">
      <x v="9"/>
    </i>
    <i r="1">
      <x v="14"/>
    </i>
    <i r="1">
      <x v="17"/>
    </i>
    <i r="1">
      <x v="24"/>
    </i>
    <i r="1">
      <x v="26"/>
    </i>
    <i r="1">
      <x v="35"/>
    </i>
    <i r="1">
      <x v="36"/>
    </i>
    <i t="grand">
      <x/>
    </i>
  </rowItems>
  <colFields count="1">
    <field x="-2"/>
  </colFields>
  <colItems count="12">
    <i>
      <x/>
    </i>
    <i i="1">
      <x v="1"/>
    </i>
    <i i="2">
      <x v="2"/>
    </i>
    <i i="3">
      <x v="3"/>
    </i>
    <i i="4">
      <x v="4"/>
    </i>
    <i i="5">
      <x v="5"/>
    </i>
    <i i="6">
      <x v="6"/>
    </i>
    <i i="7">
      <x v="7"/>
    </i>
    <i i="8">
      <x v="8"/>
    </i>
    <i i="9">
      <x v="9"/>
    </i>
    <i i="10">
      <x v="10"/>
    </i>
    <i i="11">
      <x v="11"/>
    </i>
  </colItems>
  <dataFields count="12">
    <dataField name="Sum of Women (Weighted Count)" fld="2" baseField="0" baseItem="0"/>
    <dataField name="Sum of WC_Elderly (Weighted Count)" fld="3" baseField="0" baseItem="0"/>
    <dataField name="Sum of WC_Children &amp; Youth (Weighted Count)" fld="4" baseField="0" baseItem="0"/>
    <dataField name="Sum of WC_Men (Weighted Count)" fld="5" baseField="0" baseItem="0"/>
    <dataField name="Sum of WC_Persons with disability (Weighted Count)" fld="6" baseField="0" baseItem="0"/>
    <dataField name="Sum of All (Weighted Count)" fld="7" baseField="0" baseItem="0"/>
    <dataField name="Sum of Women (Relative Percent)" fld="8" baseField="0" baseItem="0"/>
    <dataField name="Sum of WC_Elderly (Relative Percent)" fld="9" baseField="0" baseItem="0"/>
    <dataField name="Sum of WC_Children &amp; Youth (Relative Percent)" fld="10" baseField="0" baseItem="0"/>
    <dataField name="Sum of WC_Men (Relative Percent)" fld="11" baseField="0" baseItem="0"/>
    <dataField name="Sum of WC_Persons with disability (Relative Percent)" fld="12" baseField="0" baseItem="0"/>
    <dataField name="Sum of All (Relative Percent)" fld="13" baseField="0" baseItem="0"/>
  </dataFields>
  <formats count="14">
    <format dxfId="32">
      <pivotArea field="1" type="button" dataOnly="0" labelOnly="1" outline="0" axis="axisRow" fieldPosition="0"/>
    </format>
    <format dxfId="31">
      <pivotArea dataOnly="0" labelOnly="1" outline="0" fieldPosition="0">
        <references count="1">
          <reference field="4294967294" count="12">
            <x v="0"/>
            <x v="1"/>
            <x v="2"/>
            <x v="3"/>
            <x v="4"/>
            <x v="5"/>
            <x v="6"/>
            <x v="7"/>
            <x v="8"/>
            <x v="9"/>
            <x v="10"/>
            <x v="11"/>
          </reference>
        </references>
      </pivotArea>
    </format>
    <format dxfId="30">
      <pivotArea collapsedLevelsAreSubtotals="1" fieldPosition="0">
        <references count="2">
          <reference field="4294967294" count="6" selected="0">
            <x v="6"/>
            <x v="7"/>
            <x v="8"/>
            <x v="9"/>
            <x v="10"/>
            <x v="11"/>
          </reference>
          <reference field="1" count="1">
            <x v="0"/>
          </reference>
        </references>
      </pivotArea>
    </format>
    <format dxfId="29">
      <pivotArea collapsedLevelsAreSubtotals="1" fieldPosition="0">
        <references count="3">
          <reference field="4294967294" count="6" selected="0">
            <x v="6"/>
            <x v="7"/>
            <x v="8"/>
            <x v="9"/>
            <x v="10"/>
            <x v="11"/>
          </reference>
          <reference field="0" count="7">
            <x v="4"/>
            <x v="5"/>
            <x v="6"/>
            <x v="7"/>
            <x v="11"/>
            <x v="25"/>
            <x v="37"/>
          </reference>
          <reference field="1" count="1" selected="0">
            <x v="0"/>
          </reference>
        </references>
      </pivotArea>
    </format>
    <format dxfId="28">
      <pivotArea collapsedLevelsAreSubtotals="1" fieldPosition="0">
        <references count="2">
          <reference field="4294967294" count="6" selected="0">
            <x v="6"/>
            <x v="7"/>
            <x v="8"/>
            <x v="9"/>
            <x v="10"/>
            <x v="11"/>
          </reference>
          <reference field="1" count="1">
            <x v="1"/>
          </reference>
        </references>
      </pivotArea>
    </format>
    <format dxfId="27">
      <pivotArea collapsedLevelsAreSubtotals="1" fieldPosition="0">
        <references count="3">
          <reference field="4294967294" count="6" selected="0">
            <x v="6"/>
            <x v="7"/>
            <x v="8"/>
            <x v="9"/>
            <x v="10"/>
            <x v="11"/>
          </reference>
          <reference field="0" count="3">
            <x v="20"/>
            <x v="21"/>
            <x v="27"/>
          </reference>
          <reference field="1" count="1" selected="0">
            <x v="1"/>
          </reference>
        </references>
      </pivotArea>
    </format>
    <format dxfId="26">
      <pivotArea collapsedLevelsAreSubtotals="1" fieldPosition="0">
        <references count="2">
          <reference field="4294967294" count="6" selected="0">
            <x v="6"/>
            <x v="7"/>
            <x v="8"/>
            <x v="9"/>
            <x v="10"/>
            <x v="11"/>
          </reference>
          <reference field="1" count="1">
            <x v="2"/>
          </reference>
        </references>
      </pivotArea>
    </format>
    <format dxfId="25">
      <pivotArea collapsedLevelsAreSubtotals="1" fieldPosition="0">
        <references count="3">
          <reference field="4294967294" count="6" selected="0">
            <x v="6"/>
            <x v="7"/>
            <x v="8"/>
            <x v="9"/>
            <x v="10"/>
            <x v="11"/>
          </reference>
          <reference field="0" count="5">
            <x v="19"/>
            <x v="22"/>
            <x v="29"/>
            <x v="31"/>
            <x v="34"/>
          </reference>
          <reference field="1" count="1" selected="0">
            <x v="2"/>
          </reference>
        </references>
      </pivotArea>
    </format>
    <format dxfId="24">
      <pivotArea collapsedLevelsAreSubtotals="1" fieldPosition="0">
        <references count="2">
          <reference field="4294967294" count="6" selected="0">
            <x v="6"/>
            <x v="7"/>
            <x v="8"/>
            <x v="9"/>
            <x v="10"/>
            <x v="11"/>
          </reference>
          <reference field="1" count="1">
            <x v="3"/>
          </reference>
        </references>
      </pivotArea>
    </format>
    <format dxfId="23">
      <pivotArea collapsedLevelsAreSubtotals="1" fieldPosition="0">
        <references count="3">
          <reference field="4294967294" count="6" selected="0">
            <x v="6"/>
            <x v="7"/>
            <x v="8"/>
            <x v="9"/>
            <x v="10"/>
            <x v="11"/>
          </reference>
          <reference field="0" count="6">
            <x v="2"/>
            <x v="15"/>
            <x v="18"/>
            <x v="30"/>
            <x v="32"/>
            <x v="33"/>
          </reference>
          <reference field="1" count="1" selected="0">
            <x v="3"/>
          </reference>
        </references>
      </pivotArea>
    </format>
    <format dxfId="22">
      <pivotArea collapsedLevelsAreSubtotals="1" fieldPosition="0">
        <references count="2">
          <reference field="4294967294" count="6" selected="0">
            <x v="6"/>
            <x v="7"/>
            <x v="8"/>
            <x v="9"/>
            <x v="10"/>
            <x v="11"/>
          </reference>
          <reference field="1" count="1">
            <x v="4"/>
          </reference>
        </references>
      </pivotArea>
    </format>
    <format dxfId="21">
      <pivotArea collapsedLevelsAreSubtotals="1" fieldPosition="0">
        <references count="3">
          <reference field="4294967294" count="6" selected="0">
            <x v="6"/>
            <x v="7"/>
            <x v="8"/>
            <x v="9"/>
            <x v="10"/>
            <x v="11"/>
          </reference>
          <reference field="0" count="6">
            <x v="10"/>
            <x v="12"/>
            <x v="13"/>
            <x v="16"/>
            <x v="23"/>
            <x v="28"/>
          </reference>
          <reference field="1" count="1" selected="0">
            <x v="4"/>
          </reference>
        </references>
      </pivotArea>
    </format>
    <format dxfId="20">
      <pivotArea collapsedLevelsAreSubtotals="1" fieldPosition="0">
        <references count="2">
          <reference field="4294967294" count="6" selected="0">
            <x v="6"/>
            <x v="7"/>
            <x v="8"/>
            <x v="9"/>
            <x v="10"/>
            <x v="11"/>
          </reference>
          <reference field="1" count="1">
            <x v="5"/>
          </reference>
        </references>
      </pivotArea>
    </format>
    <format dxfId="19">
      <pivotArea collapsedLevelsAreSubtotals="1" fieldPosition="0">
        <references count="3">
          <reference field="4294967294" count="6" selected="0">
            <x v="6"/>
            <x v="7"/>
            <x v="8"/>
            <x v="9"/>
            <x v="10"/>
            <x v="11"/>
          </reference>
          <reference field="0" count="11">
            <x v="0"/>
            <x v="1"/>
            <x v="3"/>
            <x v="8"/>
            <x v="9"/>
            <x v="14"/>
            <x v="17"/>
            <x v="24"/>
            <x v="26"/>
            <x v="35"/>
            <x v="36"/>
          </reference>
          <reference field="1" count="1" selected="0">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tbl_consequences" displayName="tbl_consequences" ref="A1:B41" totalsRowShown="0" headerRowDxfId="36">
  <autoFilter ref="A1:B41"/>
  <tableColumns count="2">
    <tableColumn id="1" name="Consequences"/>
    <tableColumn id="2" name="Category"/>
  </tableColumns>
  <tableStyleInfo name="TableStyleMedium2" showFirstColumn="0" showLastColumn="0" showRowStripes="1" showColumnStripes="0"/>
</table>
</file>

<file path=xl/tables/table2.xml><?xml version="1.0" encoding="utf-8"?>
<table xmlns="http://schemas.openxmlformats.org/spreadsheetml/2006/main" id="7" name="tbl_actions" displayName="tbl_actions" ref="G1:H53" totalsRowShown="0" headerRowDxfId="35">
  <autoFilter ref="G1:H53"/>
  <tableColumns count="2">
    <tableColumn id="1" name="Actions"/>
    <tableColumn id="2" name="Category"/>
  </tableColumns>
  <tableStyleInfo name="TableStyleMedium2" showFirstColumn="0" showLastColumn="0" showRowStripes="1" showColumnStripes="0"/>
</table>
</file>

<file path=xl/tables/table3.xml><?xml version="1.0" encoding="utf-8"?>
<table xmlns="http://schemas.openxmlformats.org/spreadsheetml/2006/main" id="8" name="tbl_barriers" displayName="tbl_barriers" ref="J1:K53" totalsRowShown="0" headerRowDxfId="34">
  <autoFilter ref="J1:K53"/>
  <tableColumns count="2">
    <tableColumn id="1" name="Barriers"/>
    <tableColumn id="2" name="Category"/>
  </tableColumns>
  <tableStyleInfo name="TableStyleMedium2" showFirstColumn="0" showLastColumn="0" showRowStripes="1" showColumnStripes="0"/>
</table>
</file>

<file path=xl/tables/table4.xml><?xml version="1.0" encoding="utf-8"?>
<table xmlns="http://schemas.openxmlformats.org/spreadsheetml/2006/main" id="13" name="Table13" displayName="Table13" ref="A1:C41" totalsRowShown="0">
  <autoFilter ref="A1:C41"/>
  <tableColumns count="3">
    <tableColumn id="1" name="Consequences"/>
    <tableColumn id="2" name="Total"/>
    <tableColumn id="3" name="Categories"/>
  </tableColumns>
  <tableStyleInfo name="TableStyleLight8" showFirstColumn="0" showLastColumn="0" showRowStripes="1" showColumnStripes="0"/>
</table>
</file>

<file path=xl/tables/table5.xml><?xml version="1.0" encoding="utf-8"?>
<table xmlns="http://schemas.openxmlformats.org/spreadsheetml/2006/main" id="14" name="Table14" displayName="Table14" ref="A45:C97" totalsRowShown="0">
  <autoFilter ref="A45:C97"/>
  <tableColumns count="3">
    <tableColumn id="1" name="Barriers"/>
    <tableColumn id="2" name="Total"/>
    <tableColumn id="3" name="Categories"/>
  </tableColumns>
  <tableStyleInfo name="TableStyleLight8" showFirstColumn="0" showLastColumn="0" showRowStripes="1" showColumnStripes="0"/>
</table>
</file>

<file path=xl/tables/table6.xml><?xml version="1.0" encoding="utf-8"?>
<table xmlns="http://schemas.openxmlformats.org/spreadsheetml/2006/main" id="15" name="Table15" displayName="Table15" ref="A101:C153" totalsRowShown="0">
  <autoFilter ref="A101:C153"/>
  <tableColumns count="3">
    <tableColumn id="1" name="Actions"/>
    <tableColumn id="2" name="Total"/>
    <tableColumn id="3" name="Categories"/>
  </tableColumns>
  <tableStyleInfo name="TableStyleLight8" showFirstColumn="0" showLastColumn="0" showRowStripes="1" showColumnStripes="0"/>
</table>
</file>

<file path=xl/tables/table7.xml><?xml version="1.0" encoding="utf-8"?>
<table xmlns="http://schemas.openxmlformats.org/spreadsheetml/2006/main" id="1" name="tbl_data" displayName="tbl_data" ref="A1:EN52" totalsRowShown="0">
  <autoFilter ref="A1:EN52">
    <filterColumn colId="11">
      <filters>
        <filter val="Persons with disability"/>
      </filters>
    </filterColumn>
    <filterColumn colId="25">
      <filters>
        <filter val="Lack of Access to Basic Services"/>
      </filters>
    </filterColumn>
  </autoFilter>
  <tableColumns count="144">
    <tableColumn id="1" name="Response ID"/>
    <tableColumn id="2" name="Edit Links"/>
    <tableColumn id="3" name="Edit Link"/>
    <tableColumn id="4" name="Name of the enumerator"/>
    <tableColumn id="5" name="2. Partner Organization"/>
    <tableColumn id="6" name="3. National Coordinating Organisation (NCO)"/>
    <tableColumn id="7" name="4. Country"/>
    <tableColumn id="8" name="5&amp;9.  Risk Area / Community"/>
    <tableColumn id="9" name="6. Urban or Rural"/>
    <tableColumn id="10" name="10. Survey Date - Please enter in format dd/mm/yyyy" dataDxfId="33"/>
    <tableColumn id="11" name="11. Survey reference number"/>
    <tableColumn id="12" name="12. Consultation Group of"/>
    <tableColumn id="13" name="13. Number of Participants in Group"/>
    <tableColumn id="14" name="14-17:14. Informant Age (how many participants per age group)"/>
    <tableColumn id="15" name="18-24:14. Informant Age (how many participants per age group)"/>
    <tableColumn id="16" name="25-34:14. Informant Age (how many participants per age group)"/>
    <tableColumn id="17" name="35-44:14. Informant Age (how many participants per age group)"/>
    <tableColumn id="18" name="45-64:14. Informant Age (how many participants per age group)"/>
    <tableColumn id="19" name="65 plus:14. Informant Age (how many participants per age group)"/>
    <tableColumn id="20" name="None:15. Previous VFL participation (by show of hands)"/>
    <tableColumn id="21" name="VFL2009:15. Previous VFL participation (by show of hands)"/>
    <tableColumn id="22" name="VFL2011:15. Previous VFL participation (by show of hands)"/>
    <tableColumn id="23" name="VFL2013:15. Previous VFL participation (by show of hands)"/>
    <tableColumn id="24" name="Frontline:15. Previous VFL participation (by show of hands)"/>
    <tableColumn id="25" name="16. Have there been any community-led interventions in your community to reduce disaster risks?"/>
    <tableColumn id="26" name="T1"/>
    <tableColumn id="27" name="1:T1C"/>
    <tableColumn id="28" name="2:T1C"/>
    <tableColumn id="29" name="3:T1C"/>
    <tableColumn id="30" name="1:T1A"/>
    <tableColumn id="31" name="2:T1A"/>
    <tableColumn id="32" name="3:T1A"/>
    <tableColumn id="33" name="1:T1B"/>
    <tableColumn id="34" name="2:T1B"/>
    <tableColumn id="35" name="3:T1B"/>
    <tableColumn id="36" name="T2"/>
    <tableColumn id="37" name="1:T2C"/>
    <tableColumn id="38" name="2:T2C"/>
    <tableColumn id="39" name="3:T2C"/>
    <tableColumn id="40" name="1:T2A"/>
    <tableColumn id="41" name="2:T2A"/>
    <tableColumn id="42" name="3:T2A"/>
    <tableColumn id="43" name="1:T2B"/>
    <tableColumn id="44" name="2:T2B"/>
    <tableColumn id="45" name="3:T2B"/>
    <tableColumn id="46" name="T3"/>
    <tableColumn id="47" name="1:T3C"/>
    <tableColumn id="48" name="2:T3C"/>
    <tableColumn id="49" name="3:T3C"/>
    <tableColumn id="50" name="1:T3A"/>
    <tableColumn id="51" name="2:T3A"/>
    <tableColumn id="52" name="3:T3A"/>
    <tableColumn id="53" name="1:T3B"/>
    <tableColumn id="54" name="2:T3B"/>
    <tableColumn id="55" name="3:T3B"/>
    <tableColumn id="56" name="Decreased significantly:In this community, how have disaster losses (lives, assets, livelihoods etc) changed in the last 5-10 years?   "/>
    <tableColumn id="57" name="Decreased a little:In this community, how have disaster losses (lives, assets, livelihoods etc) changed in the last 5-10 years?   "/>
    <tableColumn id="58" name="Remained the same:In this community, how have disaster losses (lives, assets, livelihoods etc) changed in the last 5-10 years?   "/>
    <tableColumn id="59" name="Increased a little:In this community, how have disaster losses (lives, assets, livelihoods etc) changed in the last 5-10 years?   "/>
    <tableColumn id="60" name="Increased significantly:In this community, how have disaster losses (lives, assets, livelihoods etc) changed in the last 5-10 years?   "/>
    <tableColumn id="61" name="1:Forecasting"/>
    <tableColumn id="62" name="2:Forecasting"/>
    <tableColumn id="63" name="3:Forecasting"/>
    <tableColumn id="64" name="1:CC1"/>
    <tableColumn id="65" name="2:CC1"/>
    <tableColumn id="66" name="3:CC1"/>
    <tableColumn id="67" name="4:CC1"/>
    <tableColumn id="68" name="5:CC1"/>
    <tableColumn id="69" name="CC1: Comments"/>
    <tableColumn id="70" name="1:CC2"/>
    <tableColumn id="71" name="2:CC2"/>
    <tableColumn id="72" name="3:CC2"/>
    <tableColumn id="73" name="4:CC2"/>
    <tableColumn id="74" name="5:CC2"/>
    <tableColumn id="75" name="CC2: Comments"/>
    <tableColumn id="76" name="1:CC3"/>
    <tableColumn id="77" name="2:CC3"/>
    <tableColumn id="78" name="3:CC3"/>
    <tableColumn id="79" name="4:CC3"/>
    <tableColumn id="80" name="5:CC3"/>
    <tableColumn id="81" name="CC3: Comments"/>
    <tableColumn id="82" name="1:CC4"/>
    <tableColumn id="83" name="2:CC4"/>
    <tableColumn id="84" name="3:CC4"/>
    <tableColumn id="85" name="4:CC4"/>
    <tableColumn id="86" name="5:CC4"/>
    <tableColumn id="87" name="CC4: Comments"/>
    <tableColumn id="88" name="1:CC5"/>
    <tableColumn id="89" name="2:CC5"/>
    <tableColumn id="90" name="3:CC5"/>
    <tableColumn id="91" name="4:CC5"/>
    <tableColumn id="92" name="5:CC5"/>
    <tableColumn id="93" name="CC5: Comments"/>
    <tableColumn id="94" name="1:CC6"/>
    <tableColumn id="95" name="2:CC6"/>
    <tableColumn id="96" name="3:CC6"/>
    <tableColumn id="97" name="4:CC6"/>
    <tableColumn id="98" name="5:CC6"/>
    <tableColumn id="99" name="CC6: Comments"/>
    <tableColumn id="100" name="1:CC7"/>
    <tableColumn id="101" name="2:CC7"/>
    <tableColumn id="102" name="3:CC7"/>
    <tableColumn id="103" name="4:CC7"/>
    <tableColumn id="104" name="5:CC7"/>
    <tableColumn id="105" name="CC7: Comments"/>
    <tableColumn id="106" name="Factors preventing your inclusion:1:CC8"/>
    <tableColumn id="107" name="Factors facilitating your inclusion:1:CC8"/>
    <tableColumn id="108" name="Factors preventing your inclusion:2:CC8"/>
    <tableColumn id="109" name="Factors facilitating your inclusion:2:CC8"/>
    <tableColumn id="110" name="Factors preventing your inclusion:3:CC8"/>
    <tableColumn id="111" name="Factors facilitating your inclusion:3:CC8"/>
    <tableColumn id="112" name="1:CC9"/>
    <tableColumn id="113" name="2:CC9"/>
    <tableColumn id="114" name="3:CC9"/>
    <tableColumn id="115" name="4:CC9"/>
    <tableColumn id="116" name="5:CC9"/>
    <tableColumn id="117" name="CC9: Comments"/>
    <tableColumn id="118" name="1:CC10"/>
    <tableColumn id="119" name="2:CC10"/>
    <tableColumn id="120" name="3:CC10"/>
    <tableColumn id="121" name="4:CC10"/>
    <tableColumn id="122" name="5:CC10"/>
    <tableColumn id="123" name="CC10: Comments"/>
    <tableColumn id="124" name="1:CC11"/>
    <tableColumn id="125" name="2:CC11"/>
    <tableColumn id="126" name="3:CC11"/>
    <tableColumn id="127" name="4:CC11"/>
    <tableColumn id="128" name="5:CC11"/>
    <tableColumn id="129" name="CC11: Comments"/>
    <tableColumn id="130" name="1:CC12"/>
    <tableColumn id="131" name="2:CC12"/>
    <tableColumn id="132" name="3:CC12"/>
    <tableColumn id="133" name="4:CC12"/>
    <tableColumn id="134" name="5:CC12"/>
    <tableColumn id="135" name="CC12: Comments"/>
    <tableColumn id="136" name="1:CC13"/>
    <tableColumn id="137" name="2:CC13"/>
    <tableColumn id="138" name="3:CC13"/>
    <tableColumn id="139" name="4:CC13"/>
    <tableColumn id="140" name="5:CC13"/>
    <tableColumn id="141" name="CC13: Comments"/>
    <tableColumn id="142" name="ComboRef"/>
    <tableColumn id="143" name="Deletions"/>
    <tableColumn id="144" name="Focus Group"/>
  </tableColumns>
  <tableStyleInfo name="TableStyleMedium2" showFirstColumn="0" showLastColumn="0" showRowStripes="1" showColumnStripes="0"/>
</table>
</file>

<file path=xl/tables/table8.xml><?xml version="1.0" encoding="utf-8"?>
<table xmlns="http://schemas.openxmlformats.org/spreadsheetml/2006/main" id="5" name="tbl_threat_catg" displayName="tbl_threat_catg" ref="A1:E40" totalsRowShown="0">
  <autoFilter ref="A1:E40"/>
  <tableColumns count="5">
    <tableColumn id="1" name="SN"/>
    <tableColumn id="2" name="SN1"/>
    <tableColumn id="3" name="Threat"/>
    <tableColumn id="4" name="Category"/>
    <tableColumn id="5" name="Rermarks"/>
  </tableColumns>
  <tableStyleInfo name="TableStyleMedium2" showFirstColumn="0" showLastColumn="0" showRowStripes="1" showColumnStripes="0"/>
</table>
</file>

<file path=xl/tables/table9.xml><?xml version="1.0" encoding="utf-8"?>
<table xmlns="http://schemas.openxmlformats.org/spreadsheetml/2006/main" id="4" name="Table4" displayName="Table4" ref="A1:A49" totalsRowShown="0">
  <autoFilter ref="A1:A49"/>
  <tableColumns count="1">
    <tableColumn id="1" name="Name"/>
  </tableColumns>
  <tableStyleInfo name="TableStyleMedium2" showFirstColumn="0" showLastColumn="0" showRowStripes="1" showColumnStripes="0"/>
</table>
</file>

<file path=xl/tables/table10.xml><?xml version="1.0" encoding="utf-8"?>
<table xmlns="http://schemas.openxmlformats.org/spreadsheetml/2006/main" id="2" name="tbl_threats" displayName="tbl_threats" ref="A1:A39" totalsRowShown="0">
  <autoFilter ref="A1:A39"/>
  <tableColumns count="1">
    <tableColumn id="1" name="Name"/>
  </tableColumns>
  <tableStyleInfo name="TableStyleMedium2" showFirstColumn="0" showLastColumn="0" showRowStripes="1" showColumnStripes="0"/>
</table>
</file>

<file path=xl/tables/table11.xml><?xml version="1.0" encoding="utf-8"?>
<table xmlns="http://schemas.openxmlformats.org/spreadsheetml/2006/main" id="3" name="tbl_groups" displayName="tbl_groups" ref="A1:A6" totalsRowShown="0">
  <autoFilter ref="A1:A6"/>
  <tableColumns count="1">
    <tableColumn id="1"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14"/>
  <sheetViews>
    <sheetView workbookViewId="0">
      <selection activeCell="A3" sqref="A3:H9"/>
    </sheetView>
  </sheetViews>
  <sheetFormatPr defaultRowHeight="15" x14ac:dyDescent="0.25"/>
  <cols>
    <col min="1" max="1" width="21.42578125" customWidth="1"/>
    <col min="2" max="2" width="9" bestFit="1" customWidth="1"/>
    <col min="3" max="3" width="5.7109375" customWidth="1"/>
    <col min="4" max="4" width="9.140625" bestFit="1" customWidth="1"/>
    <col min="5" max="6" width="5.7109375" customWidth="1"/>
    <col min="7" max="7" width="7.140625" customWidth="1"/>
    <col min="8" max="8" width="12.140625" customWidth="1"/>
    <col min="9" max="9" width="41.140625" bestFit="1" customWidth="1"/>
  </cols>
  <sheetData>
    <row r="3" spans="1:8" x14ac:dyDescent="0.25">
      <c r="A3" s="148" t="s">
        <v>873</v>
      </c>
      <c r="B3" t="s">
        <v>866</v>
      </c>
      <c r="C3" t="s">
        <v>867</v>
      </c>
      <c r="D3" t="s">
        <v>868</v>
      </c>
      <c r="E3" t="s">
        <v>869</v>
      </c>
      <c r="F3" t="s">
        <v>870</v>
      </c>
      <c r="G3" t="s">
        <v>871</v>
      </c>
      <c r="H3" t="s">
        <v>872</v>
      </c>
    </row>
    <row r="4" spans="1:8" x14ac:dyDescent="0.25">
      <c r="A4" s="88" t="s">
        <v>251</v>
      </c>
      <c r="B4" s="90">
        <v>4</v>
      </c>
      <c r="C4" s="90">
        <v>31</v>
      </c>
      <c r="D4" s="90">
        <v>26</v>
      </c>
      <c r="E4" s="90">
        <v>7</v>
      </c>
      <c r="F4" s="90">
        <v>7</v>
      </c>
      <c r="G4" s="90">
        <v>4</v>
      </c>
      <c r="H4" s="90">
        <v>146</v>
      </c>
    </row>
    <row r="5" spans="1:8" x14ac:dyDescent="0.25">
      <c r="A5" s="88" t="s">
        <v>193</v>
      </c>
      <c r="B5" s="90"/>
      <c r="C5" s="90"/>
      <c r="D5" s="90"/>
      <c r="E5" s="90"/>
      <c r="F5" s="90">
        <v>63</v>
      </c>
      <c r="G5" s="90">
        <v>78</v>
      </c>
      <c r="H5" s="90">
        <v>151</v>
      </c>
    </row>
    <row r="6" spans="1:8" x14ac:dyDescent="0.25">
      <c r="A6" s="88" t="s">
        <v>273</v>
      </c>
      <c r="B6" s="90">
        <v>1</v>
      </c>
      <c r="C6" s="90">
        <v>37</v>
      </c>
      <c r="D6" s="90">
        <v>48</v>
      </c>
      <c r="E6" s="90">
        <v>50</v>
      </c>
      <c r="F6" s="90">
        <v>48</v>
      </c>
      <c r="G6" s="90">
        <v>40</v>
      </c>
      <c r="H6" s="90">
        <v>305</v>
      </c>
    </row>
    <row r="7" spans="1:8" x14ac:dyDescent="0.25">
      <c r="A7" s="88" t="s">
        <v>330</v>
      </c>
      <c r="B7" s="90">
        <v>2</v>
      </c>
      <c r="C7" s="90">
        <v>6</v>
      </c>
      <c r="D7" s="90">
        <v>17</v>
      </c>
      <c r="E7" s="90">
        <v>8</v>
      </c>
      <c r="F7" s="90">
        <v>10</v>
      </c>
      <c r="G7" s="90">
        <v>1</v>
      </c>
      <c r="H7" s="90">
        <v>57</v>
      </c>
    </row>
    <row r="8" spans="1:8" x14ac:dyDescent="0.25">
      <c r="A8" s="88" t="s">
        <v>154</v>
      </c>
      <c r="B8" s="90">
        <v>7</v>
      </c>
      <c r="C8" s="90">
        <v>44</v>
      </c>
      <c r="D8" s="90">
        <v>62</v>
      </c>
      <c r="E8" s="90">
        <v>81</v>
      </c>
      <c r="F8" s="90">
        <v>51</v>
      </c>
      <c r="G8" s="90">
        <v>17</v>
      </c>
      <c r="H8" s="90">
        <v>292</v>
      </c>
    </row>
    <row r="9" spans="1:8" x14ac:dyDescent="0.25">
      <c r="A9" s="88" t="s">
        <v>832</v>
      </c>
      <c r="B9" s="90">
        <v>14</v>
      </c>
      <c r="C9" s="90">
        <v>118</v>
      </c>
      <c r="D9" s="90">
        <v>153</v>
      </c>
      <c r="E9" s="90">
        <v>146</v>
      </c>
      <c r="F9" s="90">
        <v>179</v>
      </c>
      <c r="G9" s="90">
        <v>140</v>
      </c>
      <c r="H9" s="90">
        <v>951</v>
      </c>
    </row>
    <row r="13" spans="1:8" x14ac:dyDescent="0.25">
      <c r="A13" s="149" t="s">
        <v>251</v>
      </c>
      <c r="B13" t="s">
        <v>875</v>
      </c>
      <c r="D13" t="s">
        <v>874</v>
      </c>
    </row>
    <row r="14" spans="1:8" x14ac:dyDescent="0.25">
      <c r="B14">
        <f>GETPIVOTDATA("14-17",$A$3,"12. Consultation Group of","Children &amp; Youth")+GETPIVOTDATA("18-24",$A$3,"12. Consultation Group of","Children &amp; Youth")</f>
        <v>35</v>
      </c>
      <c r="C14" s="150">
        <f>B14/GETPIVOTDATA("Total Participants",$A$3,"12. Consultation Group of","Children &amp; Youth")</f>
        <v>0.23972602739726026</v>
      </c>
      <c r="D14">
        <f>SUM(D4:G4)</f>
        <v>44</v>
      </c>
      <c r="E14" s="150">
        <f>D14/GETPIVOTDATA("Total Participants",$A$3,"12. Consultation Group of","Children &amp; Youth")</f>
        <v>0.30136986301369861</v>
      </c>
      <c r="G14" s="91">
        <f>C14+E14</f>
        <v>0.54109589041095885</v>
      </c>
      <c r="H14" s="91">
        <f>1-G14</f>
        <v>0.45890410958904115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53"/>
  <sheetViews>
    <sheetView zoomScale="85" zoomScaleNormal="85" workbookViewId="0">
      <selection activeCell="D8" sqref="D8"/>
    </sheetView>
  </sheetViews>
  <sheetFormatPr defaultRowHeight="15" x14ac:dyDescent="0.25"/>
  <cols>
    <col min="1" max="1" width="33" bestFit="1" customWidth="1"/>
    <col min="2" max="2" width="11.140625" bestFit="1" customWidth="1"/>
    <col min="3" max="5" width="24.28515625" customWidth="1"/>
    <col min="6" max="6" width="5" customWidth="1"/>
    <col min="7" max="7" width="71.140625" bestFit="1" customWidth="1"/>
    <col min="8" max="8" width="18" customWidth="1"/>
    <col min="9" max="9" width="5.7109375" customWidth="1"/>
    <col min="10" max="10" width="48.140625" bestFit="1" customWidth="1"/>
    <col min="11" max="11" width="17.42578125" customWidth="1"/>
  </cols>
  <sheetData>
    <row r="1" spans="1:11" s="94" customFormat="1" x14ac:dyDescent="0.25">
      <c r="A1" s="195" t="s">
        <v>890</v>
      </c>
      <c r="B1" s="195" t="s">
        <v>833</v>
      </c>
      <c r="C1" s="195"/>
      <c r="D1" s="195"/>
      <c r="E1" s="195"/>
      <c r="F1" s="195"/>
      <c r="G1" s="94" t="s">
        <v>891</v>
      </c>
      <c r="H1" s="94" t="s">
        <v>833</v>
      </c>
      <c r="J1" s="94" t="s">
        <v>892</v>
      </c>
      <c r="K1" s="94" t="s">
        <v>833</v>
      </c>
    </row>
    <row r="2" spans="1:11" x14ac:dyDescent="0.25">
      <c r="A2" t="s">
        <v>157</v>
      </c>
      <c r="G2" t="s">
        <v>160</v>
      </c>
      <c r="J2" t="s">
        <v>163</v>
      </c>
    </row>
    <row r="3" spans="1:11" x14ac:dyDescent="0.25">
      <c r="A3" t="s">
        <v>158</v>
      </c>
      <c r="G3" t="s">
        <v>161</v>
      </c>
      <c r="J3" t="s">
        <v>164</v>
      </c>
    </row>
    <row r="4" spans="1:11" x14ac:dyDescent="0.25">
      <c r="A4" t="s">
        <v>159</v>
      </c>
      <c r="G4" t="s">
        <v>162</v>
      </c>
      <c r="J4" t="s">
        <v>200</v>
      </c>
    </row>
    <row r="5" spans="1:11" x14ac:dyDescent="0.25">
      <c r="A5" t="s">
        <v>174</v>
      </c>
      <c r="G5" t="s">
        <v>170</v>
      </c>
      <c r="J5" t="s">
        <v>201</v>
      </c>
    </row>
    <row r="6" spans="1:11" x14ac:dyDescent="0.25">
      <c r="A6" t="s">
        <v>197</v>
      </c>
      <c r="G6" t="s">
        <v>199</v>
      </c>
      <c r="J6" t="s">
        <v>232</v>
      </c>
    </row>
    <row r="7" spans="1:11" x14ac:dyDescent="0.25">
      <c r="A7" t="s">
        <v>198</v>
      </c>
      <c r="G7" t="s">
        <v>169</v>
      </c>
      <c r="J7" t="s">
        <v>208</v>
      </c>
    </row>
    <row r="8" spans="1:11" x14ac:dyDescent="0.25">
      <c r="A8" t="s">
        <v>229</v>
      </c>
      <c r="G8" t="s">
        <v>230</v>
      </c>
      <c r="J8" t="s">
        <v>173</v>
      </c>
    </row>
    <row r="9" spans="1:11" x14ac:dyDescent="0.25">
      <c r="A9" t="s">
        <v>211</v>
      </c>
      <c r="G9" t="s">
        <v>231</v>
      </c>
      <c r="J9" t="s">
        <v>257</v>
      </c>
    </row>
    <row r="10" spans="1:11" x14ac:dyDescent="0.25">
      <c r="A10" t="s">
        <v>253</v>
      </c>
      <c r="G10" t="s">
        <v>207</v>
      </c>
      <c r="J10" t="s">
        <v>276</v>
      </c>
    </row>
    <row r="11" spans="1:11" x14ac:dyDescent="0.25">
      <c r="A11" t="s">
        <v>254</v>
      </c>
      <c r="G11" t="s">
        <v>255</v>
      </c>
      <c r="J11" t="s">
        <v>277</v>
      </c>
    </row>
    <row r="12" spans="1:11" x14ac:dyDescent="0.25">
      <c r="A12" t="s">
        <v>275</v>
      </c>
      <c r="G12" t="s">
        <v>256</v>
      </c>
      <c r="J12" t="s">
        <v>214</v>
      </c>
    </row>
    <row r="13" spans="1:11" x14ac:dyDescent="0.25">
      <c r="A13" t="s">
        <v>287</v>
      </c>
      <c r="G13" t="s">
        <v>239</v>
      </c>
      <c r="J13" t="s">
        <v>288</v>
      </c>
    </row>
    <row r="14" spans="1:11" x14ac:dyDescent="0.25">
      <c r="A14" t="s">
        <v>352</v>
      </c>
      <c r="G14" t="s">
        <v>205</v>
      </c>
      <c r="J14" t="s">
        <v>171</v>
      </c>
    </row>
    <row r="15" spans="1:11" x14ac:dyDescent="0.25">
      <c r="A15" t="s">
        <v>215</v>
      </c>
      <c r="G15" t="s">
        <v>342</v>
      </c>
      <c r="J15" t="s">
        <v>252</v>
      </c>
    </row>
    <row r="16" spans="1:11" x14ac:dyDescent="0.25">
      <c r="A16" t="s">
        <v>166</v>
      </c>
      <c r="G16" t="s">
        <v>212</v>
      </c>
      <c r="J16" t="s">
        <v>216</v>
      </c>
    </row>
    <row r="17" spans="1:10" x14ac:dyDescent="0.25">
      <c r="A17" t="s">
        <v>260</v>
      </c>
      <c r="G17" t="s">
        <v>394</v>
      </c>
      <c r="J17" t="s">
        <v>241</v>
      </c>
    </row>
    <row r="18" spans="1:10" x14ac:dyDescent="0.25">
      <c r="A18" t="s">
        <v>303</v>
      </c>
      <c r="G18" t="s">
        <v>325</v>
      </c>
      <c r="J18" t="s">
        <v>305</v>
      </c>
    </row>
    <row r="19" spans="1:10" x14ac:dyDescent="0.25">
      <c r="A19" t="s">
        <v>167</v>
      </c>
      <c r="G19" t="s">
        <v>416</v>
      </c>
      <c r="J19" t="s">
        <v>324</v>
      </c>
    </row>
    <row r="20" spans="1:10" x14ac:dyDescent="0.25">
      <c r="A20" t="s">
        <v>168</v>
      </c>
      <c r="G20" t="s">
        <v>423</v>
      </c>
      <c r="J20" t="s">
        <v>300</v>
      </c>
    </row>
    <row r="21" spans="1:10" x14ac:dyDescent="0.25">
      <c r="A21" t="s">
        <v>202</v>
      </c>
      <c r="G21" t="s">
        <v>449</v>
      </c>
      <c r="J21" t="s">
        <v>328</v>
      </c>
    </row>
    <row r="22" spans="1:10" x14ac:dyDescent="0.25">
      <c r="A22" t="s">
        <v>304</v>
      </c>
      <c r="G22" t="s">
        <v>206</v>
      </c>
      <c r="J22" t="s">
        <v>393</v>
      </c>
    </row>
    <row r="23" spans="1:10" x14ac:dyDescent="0.25">
      <c r="A23" t="s">
        <v>172</v>
      </c>
      <c r="G23" t="s">
        <v>459</v>
      </c>
      <c r="J23" t="s">
        <v>237</v>
      </c>
    </row>
    <row r="24" spans="1:10" x14ac:dyDescent="0.25">
      <c r="A24" t="s">
        <v>353</v>
      </c>
      <c r="G24" t="s">
        <v>290</v>
      </c>
      <c r="J24" t="s">
        <v>309</v>
      </c>
    </row>
    <row r="25" spans="1:10" x14ac:dyDescent="0.25">
      <c r="A25" t="s">
        <v>495</v>
      </c>
      <c r="G25" t="s">
        <v>479</v>
      </c>
      <c r="J25" t="s">
        <v>430</v>
      </c>
    </row>
    <row r="26" spans="1:10" x14ac:dyDescent="0.25">
      <c r="A26" t="s">
        <v>316</v>
      </c>
      <c r="G26" t="s">
        <v>314</v>
      </c>
      <c r="J26" t="s">
        <v>322</v>
      </c>
    </row>
    <row r="27" spans="1:10" x14ac:dyDescent="0.25">
      <c r="A27" t="s">
        <v>278</v>
      </c>
      <c r="G27" t="s">
        <v>308</v>
      </c>
      <c r="J27" t="s">
        <v>353</v>
      </c>
    </row>
    <row r="28" spans="1:10" x14ac:dyDescent="0.25">
      <c r="A28" t="s">
        <v>173</v>
      </c>
      <c r="G28" t="s">
        <v>323</v>
      </c>
      <c r="J28" t="s">
        <v>496</v>
      </c>
    </row>
    <row r="29" spans="1:10" x14ac:dyDescent="0.25">
      <c r="A29" t="s">
        <v>165</v>
      </c>
      <c r="G29" t="s">
        <v>236</v>
      </c>
      <c r="J29" t="s">
        <v>301</v>
      </c>
    </row>
    <row r="30" spans="1:10" x14ac:dyDescent="0.25">
      <c r="A30" t="s">
        <v>238</v>
      </c>
      <c r="G30" t="s">
        <v>213</v>
      </c>
      <c r="J30" t="s">
        <v>233</v>
      </c>
    </row>
    <row r="31" spans="1:10" x14ac:dyDescent="0.25">
      <c r="A31" t="s">
        <v>204</v>
      </c>
      <c r="G31" t="s">
        <v>417</v>
      </c>
      <c r="J31" t="s">
        <v>265</v>
      </c>
    </row>
    <row r="32" spans="1:10" x14ac:dyDescent="0.25">
      <c r="A32" t="s">
        <v>537</v>
      </c>
      <c r="G32" t="s">
        <v>261</v>
      </c>
      <c r="J32" t="s">
        <v>326</v>
      </c>
    </row>
    <row r="33" spans="1:10" x14ac:dyDescent="0.25">
      <c r="A33" t="s">
        <v>234</v>
      </c>
      <c r="G33" t="s">
        <v>310</v>
      </c>
      <c r="J33" t="s">
        <v>209</v>
      </c>
    </row>
    <row r="34" spans="1:10" x14ac:dyDescent="0.25">
      <c r="A34" t="s">
        <v>318</v>
      </c>
      <c r="G34" t="s">
        <v>317</v>
      </c>
      <c r="J34" t="s">
        <v>452</v>
      </c>
    </row>
    <row r="35" spans="1:10" x14ac:dyDescent="0.25">
      <c r="A35" t="s">
        <v>497</v>
      </c>
      <c r="G35" t="s">
        <v>438</v>
      </c>
      <c r="J35" t="s">
        <v>507</v>
      </c>
    </row>
    <row r="36" spans="1:10" x14ac:dyDescent="0.25">
      <c r="A36" t="s">
        <v>203</v>
      </c>
      <c r="G36" t="s">
        <v>264</v>
      </c>
      <c r="J36" t="s">
        <v>332</v>
      </c>
    </row>
    <row r="37" spans="1:10" x14ac:dyDescent="0.25">
      <c r="A37" t="s">
        <v>259</v>
      </c>
      <c r="G37" t="s">
        <v>291</v>
      </c>
      <c r="J37" t="s">
        <v>576</v>
      </c>
    </row>
    <row r="38" spans="1:10" x14ac:dyDescent="0.25">
      <c r="A38" t="s">
        <v>307</v>
      </c>
      <c r="G38" t="s">
        <v>175</v>
      </c>
      <c r="J38" t="s">
        <v>312</v>
      </c>
    </row>
    <row r="39" spans="1:10" x14ac:dyDescent="0.25">
      <c r="A39" t="s">
        <v>451</v>
      </c>
      <c r="G39" t="s">
        <v>235</v>
      </c>
      <c r="J39" t="s">
        <v>334</v>
      </c>
    </row>
    <row r="40" spans="1:10" x14ac:dyDescent="0.25">
      <c r="A40" t="s">
        <v>480</v>
      </c>
      <c r="G40" t="s">
        <v>279</v>
      </c>
      <c r="J40" t="s">
        <v>262</v>
      </c>
    </row>
    <row r="41" spans="1:10" x14ac:dyDescent="0.25">
      <c r="A41" t="s">
        <v>498</v>
      </c>
      <c r="G41" t="s">
        <v>289</v>
      </c>
      <c r="J41" t="s">
        <v>466</v>
      </c>
    </row>
    <row r="42" spans="1:10" x14ac:dyDescent="0.25">
      <c r="G42" t="s">
        <v>299</v>
      </c>
      <c r="J42" t="s">
        <v>210</v>
      </c>
    </row>
    <row r="43" spans="1:10" x14ac:dyDescent="0.25">
      <c r="G43" t="s">
        <v>450</v>
      </c>
      <c r="J43" t="s">
        <v>280</v>
      </c>
    </row>
    <row r="44" spans="1:10" x14ac:dyDescent="0.25">
      <c r="G44" t="s">
        <v>321</v>
      </c>
      <c r="J44" t="s">
        <v>306</v>
      </c>
    </row>
    <row r="45" spans="1:10" x14ac:dyDescent="0.25">
      <c r="G45" t="s">
        <v>521</v>
      </c>
      <c r="J45" t="s">
        <v>362</v>
      </c>
    </row>
    <row r="46" spans="1:10" x14ac:dyDescent="0.25">
      <c r="G46" t="s">
        <v>473</v>
      </c>
      <c r="J46" t="s">
        <v>311</v>
      </c>
    </row>
    <row r="47" spans="1:10" x14ac:dyDescent="0.25">
      <c r="G47" t="s">
        <v>331</v>
      </c>
      <c r="J47" t="s">
        <v>292</v>
      </c>
    </row>
    <row r="48" spans="1:10" x14ac:dyDescent="0.25">
      <c r="G48" t="s">
        <v>642</v>
      </c>
      <c r="J48" t="s">
        <v>179</v>
      </c>
    </row>
    <row r="49" spans="7:10" x14ac:dyDescent="0.25">
      <c r="G49" t="s">
        <v>176</v>
      </c>
      <c r="J49" t="s">
        <v>439</v>
      </c>
    </row>
    <row r="50" spans="7:10" x14ac:dyDescent="0.25">
      <c r="G50" t="s">
        <v>240</v>
      </c>
      <c r="J50" t="s">
        <v>558</v>
      </c>
    </row>
    <row r="51" spans="7:10" x14ac:dyDescent="0.25">
      <c r="G51" t="s">
        <v>320</v>
      </c>
      <c r="J51" t="s">
        <v>499</v>
      </c>
    </row>
    <row r="52" spans="7:10" x14ac:dyDescent="0.25">
      <c r="G52" t="s">
        <v>539</v>
      </c>
      <c r="J52" t="s">
        <v>395</v>
      </c>
    </row>
    <row r="53" spans="7:10" x14ac:dyDescent="0.25">
      <c r="G53" t="s">
        <v>553</v>
      </c>
      <c r="J53" t="s">
        <v>404</v>
      </c>
    </row>
  </sheetData>
  <pageMargins left="0.7" right="0.7" top="0.75" bottom="0.75" header="0.3" footer="0.3"/>
  <pageSetup orientation="portrait" horizontalDpi="1200" verticalDpi="1200"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V235"/>
  <sheetViews>
    <sheetView topLeftCell="A200" zoomScale="70" zoomScaleNormal="70" workbookViewId="0">
      <selection activeCell="A202" sqref="A202:M209"/>
    </sheetView>
  </sheetViews>
  <sheetFormatPr defaultRowHeight="15" x14ac:dyDescent="0.25"/>
  <cols>
    <col min="1" max="1" width="48.140625" bestFit="1" customWidth="1"/>
    <col min="2" max="2" width="12.7109375" customWidth="1"/>
    <col min="3" max="3" width="10" customWidth="1"/>
    <col min="4" max="4" width="9.7109375" customWidth="1"/>
    <col min="5" max="5" width="12" customWidth="1"/>
    <col min="6" max="6" width="13.5703125" customWidth="1"/>
    <col min="10" max="10" width="12.42578125" customWidth="1"/>
    <col min="11" max="11" width="68.5703125" customWidth="1"/>
    <col min="12" max="12" width="32" bestFit="1" customWidth="1"/>
    <col min="23" max="23" width="32" bestFit="1" customWidth="1"/>
    <col min="34" max="34" width="35.85546875" bestFit="1" customWidth="1"/>
    <col min="45" max="45" width="35.85546875" bestFit="1" customWidth="1"/>
    <col min="56" max="56" width="35.85546875" bestFit="1" customWidth="1"/>
    <col min="67" max="67" width="77.42578125" bestFit="1" customWidth="1"/>
    <col min="69" max="69" width="59.28515625" customWidth="1"/>
    <col min="70" max="70" width="13.140625" customWidth="1"/>
    <col min="71" max="71" width="35.28515625" customWidth="1"/>
    <col min="72" max="72" width="33.42578125" bestFit="1" customWidth="1"/>
    <col min="73" max="73" width="30.140625" bestFit="1" customWidth="1"/>
    <col min="74" max="74" width="14.42578125" customWidth="1"/>
  </cols>
  <sheetData>
    <row r="1" spans="1:74" x14ac:dyDescent="0.25">
      <c r="A1" s="224" t="s">
        <v>893</v>
      </c>
      <c r="B1" s="224"/>
      <c r="C1" s="224"/>
      <c r="D1" s="224"/>
      <c r="E1" s="224"/>
      <c r="F1" s="224"/>
    </row>
    <row r="2" spans="1:74" ht="47.25" customHeight="1" x14ac:dyDescent="0.25">
      <c r="A2" s="4" t="s">
        <v>154</v>
      </c>
      <c r="B2" s="4" t="s">
        <v>193</v>
      </c>
      <c r="C2" s="4" t="s">
        <v>251</v>
      </c>
      <c r="D2" s="4" t="s">
        <v>273</v>
      </c>
      <c r="E2" s="4" t="s">
        <v>330</v>
      </c>
      <c r="F2" s="4" t="s">
        <v>700</v>
      </c>
    </row>
    <row r="3" spans="1:74" ht="48" customHeight="1" x14ac:dyDescent="0.25">
      <c r="A3" s="4" t="s">
        <v>156</v>
      </c>
      <c r="B3" s="4" t="s">
        <v>274</v>
      </c>
      <c r="C3" s="4" t="s">
        <v>302</v>
      </c>
      <c r="D3" s="4" t="s">
        <v>302</v>
      </c>
      <c r="E3" s="4" t="s">
        <v>536</v>
      </c>
      <c r="F3" s="4" t="s">
        <v>302</v>
      </c>
    </row>
    <row r="6" spans="1:74" ht="15.75" thickBot="1" x14ac:dyDescent="0.3">
      <c r="A6" s="207"/>
      <c r="B6" s="229" t="str">
        <f>$A$2</f>
        <v>Women</v>
      </c>
      <c r="C6" s="229"/>
      <c r="D6" s="229"/>
      <c r="E6" s="229"/>
      <c r="F6" s="229"/>
      <c r="G6" s="229"/>
      <c r="H6" s="229"/>
      <c r="I6" s="229"/>
      <c r="J6" s="229"/>
      <c r="K6" s="229"/>
      <c r="L6" s="229"/>
      <c r="M6" s="229" t="str">
        <f>$B$2</f>
        <v>Elderly</v>
      </c>
      <c r="N6" s="229"/>
      <c r="O6" s="229"/>
      <c r="P6" s="229"/>
      <c r="Q6" s="229"/>
      <c r="R6" s="229"/>
      <c r="S6" s="229"/>
      <c r="T6" s="229"/>
      <c r="U6" s="229"/>
      <c r="V6" s="229"/>
      <c r="W6" s="229"/>
      <c r="X6" s="229" t="str">
        <f>$C$2</f>
        <v>Children &amp; Youth</v>
      </c>
      <c r="Y6" s="229"/>
      <c r="Z6" s="229"/>
      <c r="AA6" s="229"/>
      <c r="AB6" s="229"/>
      <c r="AC6" s="229"/>
      <c r="AD6" s="229"/>
      <c r="AE6" s="229"/>
      <c r="AF6" s="229"/>
      <c r="AG6" s="229"/>
      <c r="AH6" s="229"/>
      <c r="AI6" s="229" t="str">
        <f>$D$2</f>
        <v>Men</v>
      </c>
      <c r="AJ6" s="229"/>
      <c r="AK6" s="229"/>
      <c r="AL6" s="229"/>
      <c r="AM6" s="229"/>
      <c r="AN6" s="229"/>
      <c r="AO6" s="229"/>
      <c r="AP6" s="229"/>
      <c r="AQ6" s="229"/>
      <c r="AR6" s="229"/>
      <c r="AS6" s="229"/>
      <c r="AT6" s="229" t="str">
        <f>$E$2</f>
        <v>Persons with disability</v>
      </c>
      <c r="AU6" s="229"/>
      <c r="AV6" s="229"/>
      <c r="AW6" s="229"/>
      <c r="AX6" s="229"/>
      <c r="AY6" s="229"/>
      <c r="AZ6" s="229"/>
      <c r="BA6" s="229"/>
      <c r="BB6" s="229"/>
      <c r="BC6" s="229"/>
      <c r="BD6" s="229"/>
      <c r="BE6" s="229" t="str">
        <f>$F$2</f>
        <v>All</v>
      </c>
      <c r="BF6" s="229"/>
      <c r="BG6" s="229"/>
      <c r="BH6" s="229"/>
      <c r="BI6" s="229"/>
      <c r="BJ6" s="229"/>
      <c r="BK6" s="229"/>
      <c r="BL6" s="229"/>
      <c r="BM6" s="229"/>
      <c r="BN6" s="229"/>
      <c r="BO6" s="229"/>
      <c r="BS6" s="4"/>
      <c r="BT6" s="4"/>
      <c r="BU6" s="4"/>
      <c r="BV6" s="4"/>
    </row>
    <row r="7" spans="1:74" ht="24" customHeight="1" thickBot="1" x14ac:dyDescent="0.3">
      <c r="A7" s="207"/>
      <c r="B7" s="223" t="str">
        <f>$A$3</f>
        <v>Lack of Access to Water</v>
      </c>
      <c r="C7" s="223"/>
      <c r="D7" s="223"/>
      <c r="E7" s="223"/>
      <c r="F7" s="223"/>
      <c r="G7" s="223"/>
      <c r="H7" s="223"/>
      <c r="I7" s="223"/>
      <c r="J7" s="223"/>
      <c r="K7" s="223"/>
      <c r="L7" s="223"/>
      <c r="M7" s="223" t="str">
        <f>$B$3</f>
        <v>Earthquakes</v>
      </c>
      <c r="N7" s="223"/>
      <c r="O7" s="223"/>
      <c r="P7" s="223"/>
      <c r="Q7" s="223"/>
      <c r="R7" s="223"/>
      <c r="S7" s="223"/>
      <c r="T7" s="223"/>
      <c r="U7" s="223"/>
      <c r="V7" s="223"/>
      <c r="W7" s="223"/>
      <c r="X7" s="223" t="str">
        <f>$C$3</f>
        <v>Floods</v>
      </c>
      <c r="Y7" s="223"/>
      <c r="Z7" s="223"/>
      <c r="AA7" s="223"/>
      <c r="AB7" s="223"/>
      <c r="AC7" s="223"/>
      <c r="AD7" s="223"/>
      <c r="AE7" s="223"/>
      <c r="AF7" s="223"/>
      <c r="AG7" s="223"/>
      <c r="AH7" s="223"/>
      <c r="AI7" s="223" t="str">
        <f>$D$3</f>
        <v>Floods</v>
      </c>
      <c r="AJ7" s="223"/>
      <c r="AK7" s="223"/>
      <c r="AL7" s="223"/>
      <c r="AM7" s="223"/>
      <c r="AN7" s="223"/>
      <c r="AO7" s="223"/>
      <c r="AP7" s="223"/>
      <c r="AQ7" s="223"/>
      <c r="AR7" s="223"/>
      <c r="AS7" s="223"/>
      <c r="AT7" s="223" t="str">
        <f>$E$3</f>
        <v>Lack of Access to Basic Services</v>
      </c>
      <c r="AU7" s="223"/>
      <c r="AV7" s="223"/>
      <c r="AW7" s="223"/>
      <c r="AX7" s="223"/>
      <c r="AY7" s="223"/>
      <c r="AZ7" s="223"/>
      <c r="BA7" s="223"/>
      <c r="BB7" s="223"/>
      <c r="BC7" s="223"/>
      <c r="BD7" s="223"/>
      <c r="BE7" s="223" t="str">
        <f>$F$3</f>
        <v>Floods</v>
      </c>
      <c r="BF7" s="223"/>
      <c r="BG7" s="223"/>
      <c r="BH7" s="223"/>
      <c r="BI7" s="223"/>
      <c r="BJ7" s="223"/>
      <c r="BK7" s="223"/>
      <c r="BL7" s="223"/>
      <c r="BM7" s="223"/>
      <c r="BN7" s="223"/>
      <c r="BO7" s="223"/>
      <c r="BQ7" s="216" t="s">
        <v>890</v>
      </c>
      <c r="BR7" s="217" t="s">
        <v>804</v>
      </c>
      <c r="BS7" s="4" t="s">
        <v>921</v>
      </c>
      <c r="BT7" s="4"/>
      <c r="BU7" s="4"/>
      <c r="BV7" s="4"/>
    </row>
    <row r="8" spans="1:74" x14ac:dyDescent="0.25">
      <c r="A8" s="227" t="s">
        <v>890</v>
      </c>
      <c r="B8" s="225" t="s">
        <v>815</v>
      </c>
      <c r="C8" s="226"/>
      <c r="D8" s="226"/>
      <c r="E8" s="226"/>
      <c r="F8" s="226"/>
      <c r="G8" s="226"/>
      <c r="H8" s="226"/>
      <c r="I8" s="226"/>
      <c r="J8" s="226"/>
      <c r="K8" s="197"/>
      <c r="L8" s="196"/>
      <c r="M8" s="225" t="s">
        <v>815</v>
      </c>
      <c r="N8" s="226"/>
      <c r="O8" s="226"/>
      <c r="P8" s="226"/>
      <c r="Q8" s="226"/>
      <c r="R8" s="226"/>
      <c r="S8" s="226"/>
      <c r="T8" s="226"/>
      <c r="U8" s="226"/>
      <c r="V8" s="197"/>
      <c r="W8" s="196"/>
      <c r="X8" s="225" t="s">
        <v>815</v>
      </c>
      <c r="Y8" s="226"/>
      <c r="Z8" s="226"/>
      <c r="AA8" s="226"/>
      <c r="AB8" s="226"/>
      <c r="AC8" s="226"/>
      <c r="AD8" s="226"/>
      <c r="AE8" s="226"/>
      <c r="AF8" s="226"/>
      <c r="AG8" s="197"/>
      <c r="AH8" s="196"/>
      <c r="AI8" s="225" t="s">
        <v>815</v>
      </c>
      <c r="AJ8" s="226"/>
      <c r="AK8" s="226"/>
      <c r="AL8" s="226"/>
      <c r="AM8" s="226"/>
      <c r="AN8" s="226"/>
      <c r="AO8" s="226"/>
      <c r="AP8" s="226"/>
      <c r="AQ8" s="226"/>
      <c r="AR8" s="197"/>
      <c r="AS8" s="196"/>
      <c r="AT8" s="225" t="s">
        <v>815</v>
      </c>
      <c r="AU8" s="226"/>
      <c r="AV8" s="226"/>
      <c r="AW8" s="226"/>
      <c r="AX8" s="226"/>
      <c r="AY8" s="226"/>
      <c r="AZ8" s="226"/>
      <c r="BA8" s="226"/>
      <c r="BB8" s="226"/>
      <c r="BC8" s="197"/>
      <c r="BD8" s="196"/>
      <c r="BE8" s="225" t="s">
        <v>815</v>
      </c>
      <c r="BF8" s="226"/>
      <c r="BG8" s="226"/>
      <c r="BH8" s="226"/>
      <c r="BI8" s="226"/>
      <c r="BJ8" s="226"/>
      <c r="BK8" s="226"/>
      <c r="BL8" s="226"/>
      <c r="BM8" s="226"/>
      <c r="BN8" s="197"/>
      <c r="BO8" s="196"/>
    </row>
    <row r="9" spans="1:74" ht="15.75" thickBot="1" x14ac:dyDescent="0.3">
      <c r="A9" s="228"/>
      <c r="B9" s="208" t="s">
        <v>26</v>
      </c>
      <c r="C9" s="209" t="s">
        <v>27</v>
      </c>
      <c r="D9" s="209" t="s">
        <v>28</v>
      </c>
      <c r="E9" s="209" t="s">
        <v>36</v>
      </c>
      <c r="F9" s="209" t="s">
        <v>37</v>
      </c>
      <c r="G9" s="209" t="s">
        <v>38</v>
      </c>
      <c r="H9" s="209" t="s">
        <v>46</v>
      </c>
      <c r="I9" s="209" t="s">
        <v>47</v>
      </c>
      <c r="J9" s="209" t="s">
        <v>48</v>
      </c>
      <c r="K9" s="209" t="s">
        <v>700</v>
      </c>
      <c r="L9" s="210"/>
      <c r="M9" s="208" t="s">
        <v>26</v>
      </c>
      <c r="N9" s="209" t="s">
        <v>27</v>
      </c>
      <c r="O9" s="209" t="s">
        <v>28</v>
      </c>
      <c r="P9" s="209" t="s">
        <v>36</v>
      </c>
      <c r="Q9" s="209" t="s">
        <v>37</v>
      </c>
      <c r="R9" s="209" t="s">
        <v>38</v>
      </c>
      <c r="S9" s="209" t="s">
        <v>46</v>
      </c>
      <c r="T9" s="209" t="s">
        <v>47</v>
      </c>
      <c r="U9" s="209" t="s">
        <v>48</v>
      </c>
      <c r="V9" s="209" t="s">
        <v>700</v>
      </c>
      <c r="W9" s="210"/>
      <c r="X9" s="208" t="s">
        <v>26</v>
      </c>
      <c r="Y9" s="209" t="s">
        <v>27</v>
      </c>
      <c r="Z9" s="209" t="s">
        <v>28</v>
      </c>
      <c r="AA9" s="209" t="s">
        <v>36</v>
      </c>
      <c r="AB9" s="209" t="s">
        <v>37</v>
      </c>
      <c r="AC9" s="209" t="s">
        <v>38</v>
      </c>
      <c r="AD9" s="209" t="s">
        <v>46</v>
      </c>
      <c r="AE9" s="209" t="s">
        <v>47</v>
      </c>
      <c r="AF9" s="209" t="s">
        <v>48</v>
      </c>
      <c r="AG9" s="209" t="s">
        <v>700</v>
      </c>
      <c r="AH9" s="210"/>
      <c r="AI9" s="208" t="s">
        <v>26</v>
      </c>
      <c r="AJ9" s="209" t="s">
        <v>27</v>
      </c>
      <c r="AK9" s="209" t="s">
        <v>28</v>
      </c>
      <c r="AL9" s="209" t="s">
        <v>36</v>
      </c>
      <c r="AM9" s="209" t="s">
        <v>37</v>
      </c>
      <c r="AN9" s="209" t="s">
        <v>38</v>
      </c>
      <c r="AO9" s="209" t="s">
        <v>46</v>
      </c>
      <c r="AP9" s="209" t="s">
        <v>47</v>
      </c>
      <c r="AQ9" s="209" t="s">
        <v>48</v>
      </c>
      <c r="AR9" s="209" t="s">
        <v>700</v>
      </c>
      <c r="AS9" s="210"/>
      <c r="AT9" s="208" t="s">
        <v>26</v>
      </c>
      <c r="AU9" s="209" t="s">
        <v>27</v>
      </c>
      <c r="AV9" s="209" t="s">
        <v>28</v>
      </c>
      <c r="AW9" s="209" t="s">
        <v>36</v>
      </c>
      <c r="AX9" s="209" t="s">
        <v>37</v>
      </c>
      <c r="AY9" s="209" t="s">
        <v>38</v>
      </c>
      <c r="AZ9" s="209" t="s">
        <v>46</v>
      </c>
      <c r="BA9" s="209" t="s">
        <v>47</v>
      </c>
      <c r="BB9" s="209" t="s">
        <v>48</v>
      </c>
      <c r="BC9" s="209" t="s">
        <v>700</v>
      </c>
      <c r="BD9" s="210"/>
      <c r="BE9" s="208" t="s">
        <v>26</v>
      </c>
      <c r="BF9" s="209" t="s">
        <v>27</v>
      </c>
      <c r="BG9" s="209" t="s">
        <v>28</v>
      </c>
      <c r="BH9" s="209" t="s">
        <v>36</v>
      </c>
      <c r="BI9" s="209" t="s">
        <v>37</v>
      </c>
      <c r="BJ9" s="209" t="s">
        <v>38</v>
      </c>
      <c r="BK9" s="209" t="s">
        <v>46</v>
      </c>
      <c r="BL9" s="209" t="s">
        <v>47</v>
      </c>
      <c r="BM9" s="209" t="s">
        <v>48</v>
      </c>
      <c r="BN9" s="209" t="s">
        <v>700</v>
      </c>
      <c r="BO9" s="210"/>
    </row>
    <row r="10" spans="1:74" x14ac:dyDescent="0.25">
      <c r="A10" s="202" t="s">
        <v>157</v>
      </c>
      <c r="B10" s="205">
        <f>COUNTIFS(tbl_data[12. Consultation Group of],$A$2,tbl_data[1:T1C],$A10,tbl_data[T1],$A$3)</f>
        <v>2</v>
      </c>
      <c r="C10" s="198">
        <f>COUNTIFS(tbl_data[12. Consultation Group of],$A$2,tbl_data[2:T1C],$A10,tbl_data[T1],$A$3)</f>
        <v>0</v>
      </c>
      <c r="D10" s="198">
        <f>COUNTIFS(tbl_data[12. Consultation Group of],$A$2,tbl_data[3:T1C],$A10,tbl_data[T1],$A$3)</f>
        <v>0</v>
      </c>
      <c r="E10" s="198">
        <f>COUNTIFS(tbl_data[12. Consultation Group of],$A$2,tbl_data[1:T2C],$A10,tbl_data[T2],$A$3)</f>
        <v>1</v>
      </c>
      <c r="F10" s="198">
        <f>COUNTIFS(tbl_data[12. Consultation Group of],$A$2,tbl_data[2:T2C],$A10,tbl_data[T2],$A$3)</f>
        <v>0</v>
      </c>
      <c r="G10" s="198">
        <f>COUNTIFS(tbl_data[12. Consultation Group of],$A$2,tbl_data[3:T2C],$A10,tbl_data[T2],$A$3)</f>
        <v>0</v>
      </c>
      <c r="H10" s="198">
        <f>COUNTIFS(tbl_data[12. Consultation Group of],$A$2,tbl_data[1:T3C],$A10,tbl_data[T3],$A$3)</f>
        <v>0</v>
      </c>
      <c r="I10" s="198">
        <f>COUNTIFS(tbl_data[12. Consultation Group of],$A$2,tbl_data[2:T3C],$A10,tbl_data[T3],$A$3)</f>
        <v>0</v>
      </c>
      <c r="J10" s="198">
        <f>COUNTIFS(tbl_data[12. Consultation Group of],$A$2,tbl_data[3:T3C],$A10,tbl_data[T3],$A$3)</f>
        <v>0</v>
      </c>
      <c r="K10" s="198">
        <f>SUM(B10:J10)</f>
        <v>3</v>
      </c>
      <c r="L10" s="199" t="str">
        <f>CONCATENATE($A10," (",K10,")")</f>
        <v>Loss of Clean Water Sources (3)</v>
      </c>
      <c r="M10" s="205">
        <f>COUNTIFS(tbl_data[12. Consultation Group of],$B$2,tbl_data[1:T1C],$A10,tbl_data[T1],$B$3)</f>
        <v>0</v>
      </c>
      <c r="N10" s="198">
        <f>COUNTIFS(tbl_data[12. Consultation Group of],$B$2,tbl_data[2:T1C],$A10,tbl_data[T1],$B$3)</f>
        <v>0</v>
      </c>
      <c r="O10" s="198">
        <f>COUNTIFS(tbl_data[12. Consultation Group of],$B$2,tbl_data[3:T1C],$A10,tbl_data[T1],$B$3)</f>
        <v>0</v>
      </c>
      <c r="P10" s="198">
        <f>COUNTIFS(tbl_data[12. Consultation Group of],$B$2,tbl_data[1:T2C],$A10,tbl_data[T2],$B$3)</f>
        <v>0</v>
      </c>
      <c r="Q10" s="198">
        <f>COUNTIFS(tbl_data[12. Consultation Group of],$B$2,tbl_data[2:T2C],$A10,tbl_data[T2],$B$3)</f>
        <v>0</v>
      </c>
      <c r="R10" s="198">
        <f>COUNTIFS(tbl_data[12. Consultation Group of],$B$2,tbl_data[3:T2C],$A10,tbl_data[T2],$B$3)</f>
        <v>0</v>
      </c>
      <c r="S10" s="198">
        <f>COUNTIFS(tbl_data[12. Consultation Group of],$B$2,tbl_data[1:T3C],$A10,tbl_data[T3],$B$3)</f>
        <v>0</v>
      </c>
      <c r="T10" s="198">
        <f>COUNTIFS(tbl_data[12. Consultation Group of],$B$2,tbl_data[2:T3C],$A10,tbl_data[T3],$B$3)</f>
        <v>0</v>
      </c>
      <c r="U10" s="198">
        <f>COUNTIFS(tbl_data[12. Consultation Group of],$B$2,tbl_data[3:T3C],$A10,tbl_data[T3],$B$3)</f>
        <v>0</v>
      </c>
      <c r="V10" s="198">
        <f>SUM(M10:U10)</f>
        <v>0</v>
      </c>
      <c r="W10" s="199" t="str">
        <f>CONCATENATE($A10," (",V10,")")</f>
        <v>Loss of Clean Water Sources (0)</v>
      </c>
      <c r="X10" s="205">
        <f>COUNTIFS(tbl_data[12. Consultation Group of],$C$2,tbl_data[1:T1C],$A10,tbl_data[T1],$C$3)</f>
        <v>0</v>
      </c>
      <c r="Y10" s="198">
        <f>COUNTIFS(tbl_data[12. Consultation Group of],$C$2,tbl_data[2:T1C],$A10,tbl_data[T1],$C$3)</f>
        <v>0</v>
      </c>
      <c r="Z10" s="198">
        <f>COUNTIFS(tbl_data[12. Consultation Group of],$C$2,tbl_data[3:T1C],$A10,tbl_data[T1],$C$3)</f>
        <v>0</v>
      </c>
      <c r="AA10" s="198">
        <f>COUNTIFS(tbl_data[12. Consultation Group of],$C$2,tbl_data[1:T2C],$A10,tbl_data[T2],$C$3)</f>
        <v>0</v>
      </c>
      <c r="AB10" s="198">
        <f>COUNTIFS(tbl_data[12. Consultation Group of],$C$2,tbl_data[2:T2C],$A10,tbl_data[T2],$C$3)</f>
        <v>0</v>
      </c>
      <c r="AC10" s="198">
        <f>COUNTIFS(tbl_data[12. Consultation Group of],$C$2,tbl_data[3:T2C],$A10,tbl_data[T2],$C$3)</f>
        <v>0</v>
      </c>
      <c r="AD10" s="198">
        <f>COUNTIFS(tbl_data[12. Consultation Group of],$C$2,tbl_data[1:T3C],$A10,tbl_data[T3],$C$3)</f>
        <v>0</v>
      </c>
      <c r="AE10" s="198">
        <f>COUNTIFS(tbl_data[12. Consultation Group of],$C$2,tbl_data[2:T3C],$A10,tbl_data[T3],$C$3)</f>
        <v>0</v>
      </c>
      <c r="AF10" s="198">
        <f>COUNTIFS(tbl_data[12. Consultation Group of],$C$2,tbl_data[3:T3C],$A10,tbl_data[T3],$C$3)</f>
        <v>0</v>
      </c>
      <c r="AG10" s="198">
        <f>SUM(X10:AF10)</f>
        <v>0</v>
      </c>
      <c r="AH10" s="199" t="str">
        <f>CONCATENATE($A10," (",AG10,")")</f>
        <v>Loss of Clean Water Sources (0)</v>
      </c>
      <c r="AI10" s="205">
        <f>COUNTIFS(tbl_data[12. Consultation Group of],$D$2,tbl_data[1:T1C],$A10,tbl_data[T1],$D$3)</f>
        <v>0</v>
      </c>
      <c r="AJ10" s="198">
        <f>COUNTIFS(tbl_data[12. Consultation Group of],$D$2,tbl_data[2:T1C],$A10,tbl_data[T1],$D$3)</f>
        <v>0</v>
      </c>
      <c r="AK10" s="198">
        <f>COUNTIFS(tbl_data[12. Consultation Group of],$D$2,tbl_data[3:T1C],$A10,tbl_data[T1],$D$3)</f>
        <v>0</v>
      </c>
      <c r="AL10" s="198">
        <f>COUNTIFS(tbl_data[12. Consultation Group of],$D$2,tbl_data[1:T2C],$A10,tbl_data[T2],$D$3)</f>
        <v>0</v>
      </c>
      <c r="AM10" s="198">
        <f>COUNTIFS(tbl_data[12. Consultation Group of],$D$2,tbl_data[2:T2C],$A10,tbl_data[T2],$D$3)</f>
        <v>0</v>
      </c>
      <c r="AN10" s="198">
        <f>COUNTIFS(tbl_data[12. Consultation Group of],$D$2,tbl_data[3:T2C],$A10,tbl_data[T2],$D$3)</f>
        <v>0</v>
      </c>
      <c r="AO10" s="198">
        <f>COUNTIFS(tbl_data[12. Consultation Group of],$D$2,tbl_data[1:T3C],$A10,tbl_data[T3],$D$3)</f>
        <v>0</v>
      </c>
      <c r="AP10" s="198">
        <f>COUNTIFS(tbl_data[12. Consultation Group of],$D$2,tbl_data[2:T3C],$A10,tbl_data[T3],$D$3)</f>
        <v>0</v>
      </c>
      <c r="AQ10" s="198">
        <f>COUNTIFS(tbl_data[12. Consultation Group of],$D$2,tbl_data[3:T3C],$A10,tbl_data[T3],$D$3)</f>
        <v>0</v>
      </c>
      <c r="AR10" s="198">
        <f>SUM(AI10:AQ10)</f>
        <v>0</v>
      </c>
      <c r="AS10" s="199" t="str">
        <f>CONCATENATE($A10," (",AR10,")")</f>
        <v>Loss of Clean Water Sources (0)</v>
      </c>
      <c r="AT10" s="205">
        <f>COUNTIFS(tbl_data[12. Consultation Group of],$E$2,tbl_data[1:T1C],$A10,tbl_data[T1],$E$3)</f>
        <v>0</v>
      </c>
      <c r="AU10" s="198">
        <f>COUNTIFS(tbl_data[12. Consultation Group of],$E$2,tbl_data[2:T1C],$A10,tbl_data[T1],$E$3)</f>
        <v>0</v>
      </c>
      <c r="AV10" s="198">
        <f>COUNTIFS(tbl_data[12. Consultation Group of],$E$2,tbl_data[3:T1C],$A10,tbl_data[T1],$E$3)</f>
        <v>0</v>
      </c>
      <c r="AW10" s="198">
        <f>COUNTIFS(tbl_data[12. Consultation Group of],$E$2,tbl_data[1:T2C],$A10,tbl_data[T2],$E$3)</f>
        <v>0</v>
      </c>
      <c r="AX10" s="198">
        <f>COUNTIFS(tbl_data[12. Consultation Group of],$E$2,tbl_data[2:T2C],$A10,tbl_data[T2],$E$3)</f>
        <v>0</v>
      </c>
      <c r="AY10" s="198">
        <f>COUNTIFS(tbl_data[12. Consultation Group of],$E$2,tbl_data[3:T2C],$A10,tbl_data[T2],$E$3)</f>
        <v>0</v>
      </c>
      <c r="AZ10" s="198">
        <f>COUNTIFS(tbl_data[12. Consultation Group of],$E$2,tbl_data[1:T3C],$A10,tbl_data[T3],$E$3)</f>
        <v>0</v>
      </c>
      <c r="BA10" s="198">
        <f>COUNTIFS(tbl_data[12. Consultation Group of],$E$2,tbl_data[2:T3C],$A10,tbl_data[T3],$E$3)</f>
        <v>0</v>
      </c>
      <c r="BB10" s="198">
        <f>COUNTIFS(tbl_data[12. Consultation Group of],$E$2,tbl_data[3:T3C],$A10,tbl_data[T3],$E$3)</f>
        <v>0</v>
      </c>
      <c r="BC10" s="198">
        <f>SUM(AT10:BB10)</f>
        <v>0</v>
      </c>
      <c r="BD10" s="199" t="str">
        <f>CONCATENATE($A10," (",BC10,")")</f>
        <v>Loss of Clean Water Sources (0)</v>
      </c>
      <c r="BE10" s="205">
        <f>COUNTIFS(tbl_data[1:T1C],$A10,tbl_data[T1],$F$3)</f>
        <v>0</v>
      </c>
      <c r="BF10" s="198">
        <f>COUNTIFS(tbl_data[2:T1C],$A10,tbl_data[T1],$F$3)</f>
        <v>0</v>
      </c>
      <c r="BG10" s="198">
        <f>COUNTIFS(tbl_data[3:T1C],$A10,tbl_data[T1],$F$3)</f>
        <v>0</v>
      </c>
      <c r="BH10" s="198">
        <f>COUNTIFS(tbl_data[1:T2C],$A10,tbl_data[T2],$F$3)</f>
        <v>0</v>
      </c>
      <c r="BI10" s="198">
        <f>COUNTIFS(tbl_data[2:T2C],$A10,tbl_data[T2],$F$3)</f>
        <v>0</v>
      </c>
      <c r="BJ10" s="198">
        <f>COUNTIFS(tbl_data[3:T2C],$A10,tbl_data[T2],$F$3)</f>
        <v>1</v>
      </c>
      <c r="BK10" s="198">
        <f>COUNTIFS(tbl_data[1:T3C],$A10,tbl_data[T3],$F$3)</f>
        <v>0</v>
      </c>
      <c r="BL10" s="198">
        <f>COUNTIFS(tbl_data[2:T3C],$A10,tbl_data[T3],$F$3)</f>
        <v>0</v>
      </c>
      <c r="BM10" s="198">
        <f>COUNTIFS(tbl_data[3:T3C],$A10,tbl_data[T3],$F$3)</f>
        <v>0</v>
      </c>
      <c r="BN10" s="198">
        <f>SUM(BE10:BM10)</f>
        <v>1</v>
      </c>
      <c r="BO10" s="199" t="str">
        <f>CONCATENATE($A10," (",BN10,")")</f>
        <v>Loss of Clean Water Sources (1)</v>
      </c>
      <c r="BQ10" t="str">
        <f>A10</f>
        <v>Loss of Clean Water Sources</v>
      </c>
      <c r="BR10">
        <f>K10+V10+AG10+AR10+BC10+BN10</f>
        <v>4</v>
      </c>
      <c r="BS10" t="s">
        <v>923</v>
      </c>
      <c r="BU10" s="39" t="s">
        <v>923</v>
      </c>
      <c r="BV10" t="s">
        <v>930</v>
      </c>
    </row>
    <row r="11" spans="1:74" x14ac:dyDescent="0.25">
      <c r="A11" s="203" t="s">
        <v>158</v>
      </c>
      <c r="B11" s="205">
        <f>COUNTIFS(tbl_data[12. Consultation Group of],$A$2,tbl_data[1:T1C],$A11,tbl_data[T1],$A$3)</f>
        <v>0</v>
      </c>
      <c r="C11" s="198">
        <f>COUNTIFS(tbl_data[12. Consultation Group of],$A$2,tbl_data[2:T1C],$A11,tbl_data[T1],$A$3)</f>
        <v>1</v>
      </c>
      <c r="D11" s="198">
        <f>COUNTIFS(tbl_data[12. Consultation Group of],$A$2,tbl_data[3:T1C],$A11,tbl_data[T1],$A$3)</f>
        <v>0</v>
      </c>
      <c r="E11" s="198">
        <f>COUNTIFS(tbl_data[12. Consultation Group of],$A$2,tbl_data[1:T2C],$A11,tbl_data[T2],$A$3)</f>
        <v>0</v>
      </c>
      <c r="F11" s="198">
        <f>COUNTIFS(tbl_data[12. Consultation Group of],$A$2,tbl_data[2:T2C],$A11,tbl_data[T2],$A$3)</f>
        <v>0</v>
      </c>
      <c r="G11" s="198">
        <f>COUNTIFS(tbl_data[12. Consultation Group of],$A$2,tbl_data[3:T2C],$A11,tbl_data[T2],$A$3)</f>
        <v>0</v>
      </c>
      <c r="H11" s="198">
        <f>COUNTIFS(tbl_data[12. Consultation Group of],$A$2,tbl_data[1:T3C],$A11,tbl_data[T3],$A$3)</f>
        <v>0</v>
      </c>
      <c r="I11" s="198">
        <f>COUNTIFS(tbl_data[12. Consultation Group of],$A$2,tbl_data[2:T3C],$A11,tbl_data[T3],$A$3)</f>
        <v>0</v>
      </c>
      <c r="J11" s="198">
        <f>COUNTIFS(tbl_data[12. Consultation Group of],$A$2,tbl_data[3:T3C],$A11,tbl_data[T3],$A$3)</f>
        <v>0</v>
      </c>
      <c r="K11" s="198">
        <f t="shared" ref="K11:K49" si="0">SUM(B11:J11)</f>
        <v>1</v>
      </c>
      <c r="L11" s="199" t="str">
        <f>CONCATENATE($A11," (",K11,")")</f>
        <v>Displacement (1)</v>
      </c>
      <c r="M11" s="205">
        <f>COUNTIFS(tbl_data[12. Consultation Group of],$B$2,tbl_data[1:T1C],$A11,tbl_data[T1],$B$3)</f>
        <v>0</v>
      </c>
      <c r="N11" s="198">
        <f>COUNTIFS(tbl_data[12. Consultation Group of],$B$2,tbl_data[2:T1C],$A11,tbl_data[T1],$B$3)</f>
        <v>0</v>
      </c>
      <c r="O11" s="198">
        <f>COUNTIFS(tbl_data[12. Consultation Group of],$B$2,tbl_data[3:T1C],$A11,tbl_data[T1],$B$3)</f>
        <v>0</v>
      </c>
      <c r="P11" s="198">
        <f>COUNTIFS(tbl_data[12. Consultation Group of],$B$2,tbl_data[1:T2C],$A11,tbl_data[T2],$B$3)</f>
        <v>0</v>
      </c>
      <c r="Q11" s="198">
        <f>COUNTIFS(tbl_data[12. Consultation Group of],$B$2,tbl_data[2:T2C],$A11,tbl_data[T2],$B$3)</f>
        <v>0</v>
      </c>
      <c r="R11" s="198">
        <f>COUNTIFS(tbl_data[12. Consultation Group of],$B$2,tbl_data[3:T2C],$A11,tbl_data[T2],$B$3)</f>
        <v>0</v>
      </c>
      <c r="S11" s="198">
        <f>COUNTIFS(tbl_data[12. Consultation Group of],$B$2,tbl_data[1:T3C],$A11,tbl_data[T3],$B$3)</f>
        <v>0</v>
      </c>
      <c r="T11" s="198">
        <f>COUNTIFS(tbl_data[12. Consultation Group of],$B$2,tbl_data[2:T3C],$A11,tbl_data[T3],$B$3)</f>
        <v>0</v>
      </c>
      <c r="U11" s="198">
        <f>COUNTIFS(tbl_data[12. Consultation Group of],$B$2,tbl_data[3:T3C],$A11,tbl_data[T3],$B$3)</f>
        <v>0</v>
      </c>
      <c r="V11" s="198">
        <f t="shared" ref="V11:V49" si="1">SUM(M11:U11)</f>
        <v>0</v>
      </c>
      <c r="W11" s="199" t="str">
        <f>CONCATENATE($A11," (",V11,")")</f>
        <v>Displacement (0)</v>
      </c>
      <c r="X11" s="205">
        <f>COUNTIFS(tbl_data[12. Consultation Group of],$C$2,tbl_data[1:T1C],$A11,tbl_data[T1],$C$3)</f>
        <v>0</v>
      </c>
      <c r="Y11" s="198">
        <f>COUNTIFS(tbl_data[12. Consultation Group of],$C$2,tbl_data[2:T1C],$A11,tbl_data[T1],$C$3)</f>
        <v>0</v>
      </c>
      <c r="Z11" s="198">
        <f>COUNTIFS(tbl_data[12. Consultation Group of],$C$2,tbl_data[3:T1C],$A11,tbl_data[T1],$C$3)</f>
        <v>0</v>
      </c>
      <c r="AA11" s="198">
        <f>COUNTIFS(tbl_data[12. Consultation Group of],$C$2,tbl_data[1:T2C],$A11,tbl_data[T2],$C$3)</f>
        <v>0</v>
      </c>
      <c r="AB11" s="198">
        <f>COUNTIFS(tbl_data[12. Consultation Group of],$C$2,tbl_data[2:T2C],$A11,tbl_data[T2],$C$3)</f>
        <v>0</v>
      </c>
      <c r="AC11" s="198">
        <f>COUNTIFS(tbl_data[12. Consultation Group of],$C$2,tbl_data[3:T2C],$A11,tbl_data[T2],$C$3)</f>
        <v>0</v>
      </c>
      <c r="AD11" s="198">
        <f>COUNTIFS(tbl_data[12. Consultation Group of],$C$2,tbl_data[1:T3C],$A11,tbl_data[T3],$C$3)</f>
        <v>0</v>
      </c>
      <c r="AE11" s="198">
        <f>COUNTIFS(tbl_data[12. Consultation Group of],$C$2,tbl_data[2:T3C],$A11,tbl_data[T3],$C$3)</f>
        <v>0</v>
      </c>
      <c r="AF11" s="198">
        <f>COUNTIFS(tbl_data[12. Consultation Group of],$C$2,tbl_data[3:T3C],$A11,tbl_data[T3],$C$3)</f>
        <v>0</v>
      </c>
      <c r="AG11" s="198">
        <f t="shared" ref="AG11:AG49" si="2">SUM(X11:AF11)</f>
        <v>0</v>
      </c>
      <c r="AH11" s="199" t="str">
        <f>CONCATENATE($A11," (",AG11,")")</f>
        <v>Displacement (0)</v>
      </c>
      <c r="AI11" s="205">
        <f>COUNTIFS(tbl_data[12. Consultation Group of],$D$2,tbl_data[1:T1C],$A11,tbl_data[T1],$D$3)</f>
        <v>0</v>
      </c>
      <c r="AJ11" s="198">
        <f>COUNTIFS(tbl_data[12. Consultation Group of],$D$2,tbl_data[2:T1C],$A11,tbl_data[T1],$D$3)</f>
        <v>0</v>
      </c>
      <c r="AK11" s="198">
        <f>COUNTIFS(tbl_data[12. Consultation Group of],$D$2,tbl_data[3:T1C],$A11,tbl_data[T1],$D$3)</f>
        <v>0</v>
      </c>
      <c r="AL11" s="198">
        <f>COUNTIFS(tbl_data[12. Consultation Group of],$D$2,tbl_data[1:T2C],$A11,tbl_data[T2],$D$3)</f>
        <v>0</v>
      </c>
      <c r="AM11" s="198">
        <f>COUNTIFS(tbl_data[12. Consultation Group of],$D$2,tbl_data[2:T2C],$A11,tbl_data[T2],$D$3)</f>
        <v>0</v>
      </c>
      <c r="AN11" s="198">
        <f>COUNTIFS(tbl_data[12. Consultation Group of],$D$2,tbl_data[3:T2C],$A11,tbl_data[T2],$D$3)</f>
        <v>0</v>
      </c>
      <c r="AO11" s="198">
        <f>COUNTIFS(tbl_data[12. Consultation Group of],$D$2,tbl_data[1:T3C],$A11,tbl_data[T3],$D$3)</f>
        <v>0</v>
      </c>
      <c r="AP11" s="198">
        <f>COUNTIFS(tbl_data[12. Consultation Group of],$D$2,tbl_data[2:T3C],$A11,tbl_data[T3],$D$3)</f>
        <v>0</v>
      </c>
      <c r="AQ11" s="198">
        <f>COUNTIFS(tbl_data[12. Consultation Group of],$D$2,tbl_data[3:T3C],$A11,tbl_data[T3],$D$3)</f>
        <v>0</v>
      </c>
      <c r="AR11" s="198">
        <f t="shared" ref="AR11:AR49" si="3">SUM(AI11:AQ11)</f>
        <v>0</v>
      </c>
      <c r="AS11" s="199" t="str">
        <f>CONCATENATE($A11," (",AR11,")")</f>
        <v>Displacement (0)</v>
      </c>
      <c r="AT11" s="205">
        <f>COUNTIFS(tbl_data[12. Consultation Group of],$E$2,tbl_data[1:T1C],$A11,tbl_data[T1],$E$3)</f>
        <v>0</v>
      </c>
      <c r="AU11" s="198">
        <f>COUNTIFS(tbl_data[12. Consultation Group of],$E$2,tbl_data[2:T1C],$A11,tbl_data[T1],$E$3)</f>
        <v>0</v>
      </c>
      <c r="AV11" s="198">
        <f>COUNTIFS(tbl_data[12. Consultation Group of],$E$2,tbl_data[3:T1C],$A11,tbl_data[T1],$E$3)</f>
        <v>0</v>
      </c>
      <c r="AW11" s="198">
        <f>COUNTIFS(tbl_data[12. Consultation Group of],$E$2,tbl_data[1:T2C],$A11,tbl_data[T2],$E$3)</f>
        <v>0</v>
      </c>
      <c r="AX11" s="198">
        <f>COUNTIFS(tbl_data[12. Consultation Group of],$E$2,tbl_data[2:T2C],$A11,tbl_data[T2],$E$3)</f>
        <v>0</v>
      </c>
      <c r="AY11" s="198">
        <f>COUNTIFS(tbl_data[12. Consultation Group of],$E$2,tbl_data[3:T2C],$A11,tbl_data[T2],$E$3)</f>
        <v>0</v>
      </c>
      <c r="AZ11" s="198">
        <f>COUNTIFS(tbl_data[12. Consultation Group of],$E$2,tbl_data[1:T3C],$A11,tbl_data[T3],$E$3)</f>
        <v>0</v>
      </c>
      <c r="BA11" s="198">
        <f>COUNTIFS(tbl_data[12. Consultation Group of],$E$2,tbl_data[2:T3C],$A11,tbl_data[T3],$E$3)</f>
        <v>0</v>
      </c>
      <c r="BB11" s="198">
        <f>COUNTIFS(tbl_data[12. Consultation Group of],$E$2,tbl_data[3:T3C],$A11,tbl_data[T3],$E$3)</f>
        <v>0</v>
      </c>
      <c r="BC11" s="198">
        <f t="shared" ref="BC11:BC49" si="4">SUM(AT11:BB11)</f>
        <v>0</v>
      </c>
      <c r="BD11" s="199" t="str">
        <f>CONCATENATE($A11," (",BC11,")")</f>
        <v>Displacement (0)</v>
      </c>
      <c r="BE11" s="205">
        <f>COUNTIFS(tbl_data[1:T1C],$A11,tbl_data[T1],$F$3)</f>
        <v>0</v>
      </c>
      <c r="BF11" s="198">
        <f>COUNTIFS(tbl_data[2:T1C],$A11,tbl_data[T1],$F$3)</f>
        <v>0</v>
      </c>
      <c r="BG11" s="198">
        <f>COUNTIFS(tbl_data[3:T1C],$A11,tbl_data[T1],$F$3)</f>
        <v>0</v>
      </c>
      <c r="BH11" s="198">
        <f>COUNTIFS(tbl_data[1:T2C],$A11,tbl_data[T2],$F$3)</f>
        <v>0</v>
      </c>
      <c r="BI11" s="198">
        <f>COUNTIFS(tbl_data[2:T2C],$A11,tbl_data[T2],$F$3)</f>
        <v>0</v>
      </c>
      <c r="BJ11" s="198">
        <f>COUNTIFS(tbl_data[3:T2C],$A11,tbl_data[T2],$F$3)</f>
        <v>0</v>
      </c>
      <c r="BK11" s="198">
        <f>COUNTIFS(tbl_data[1:T3C],$A11,tbl_data[T3],$F$3)</f>
        <v>0</v>
      </c>
      <c r="BL11" s="198">
        <f>COUNTIFS(tbl_data[2:T3C],$A11,tbl_data[T3],$F$3)</f>
        <v>0</v>
      </c>
      <c r="BM11" s="198">
        <f>COUNTIFS(tbl_data[3:T3C],$A11,tbl_data[T3],$F$3)</f>
        <v>0</v>
      </c>
      <c r="BN11" s="198">
        <f t="shared" ref="BN11:BN49" si="5">SUM(BE11:BM11)</f>
        <v>0</v>
      </c>
      <c r="BO11" s="199" t="str">
        <f>CONCATENATE($A11," (",BN11,")")</f>
        <v>Displacement (0)</v>
      </c>
      <c r="BQ11" t="str">
        <f t="shared" ref="BQ11:BQ49" si="6">A11</f>
        <v>Displacement</v>
      </c>
      <c r="BR11">
        <f t="shared" ref="BR11:BR49" si="7">K11+V11+AG11+AR11+BC11+BN11</f>
        <v>1</v>
      </c>
      <c r="BS11" t="s">
        <v>924</v>
      </c>
      <c r="BU11" s="274" t="s">
        <v>924</v>
      </c>
    </row>
    <row r="12" spans="1:74" x14ac:dyDescent="0.25">
      <c r="A12" s="203" t="s">
        <v>159</v>
      </c>
      <c r="B12" s="205">
        <f>COUNTIFS(tbl_data[12. Consultation Group of],$A$2,tbl_data[1:T1C],$A12,tbl_data[T1],$A$3)</f>
        <v>0</v>
      </c>
      <c r="C12" s="198">
        <f>COUNTIFS(tbl_data[12. Consultation Group of],$A$2,tbl_data[2:T1C],$A12,tbl_data[T1],$A$3)</f>
        <v>0</v>
      </c>
      <c r="D12" s="198">
        <f>COUNTIFS(tbl_data[12. Consultation Group of],$A$2,tbl_data[3:T1C],$A12,tbl_data[T1],$A$3)</f>
        <v>1</v>
      </c>
      <c r="E12" s="198">
        <f>COUNTIFS(tbl_data[12. Consultation Group of],$A$2,tbl_data[1:T2C],$A12,tbl_data[T2],$A$3)</f>
        <v>0</v>
      </c>
      <c r="F12" s="198">
        <f>COUNTIFS(tbl_data[12. Consultation Group of],$A$2,tbl_data[2:T2C],$A12,tbl_data[T2],$A$3)</f>
        <v>0</v>
      </c>
      <c r="G12" s="198">
        <f>COUNTIFS(tbl_data[12. Consultation Group of],$A$2,tbl_data[3:T2C],$A12,tbl_data[T2],$A$3)</f>
        <v>0</v>
      </c>
      <c r="H12" s="198">
        <f>COUNTIFS(tbl_data[12. Consultation Group of],$A$2,tbl_data[1:T3C],$A12,tbl_data[T3],$A$3)</f>
        <v>0</v>
      </c>
      <c r="I12" s="198">
        <f>COUNTIFS(tbl_data[12. Consultation Group of],$A$2,tbl_data[2:T3C],$A12,tbl_data[T3],$A$3)</f>
        <v>0</v>
      </c>
      <c r="J12" s="198">
        <f>COUNTIFS(tbl_data[12. Consultation Group of],$A$2,tbl_data[3:T3C],$A12,tbl_data[T3],$A$3)</f>
        <v>0</v>
      </c>
      <c r="K12" s="198">
        <f t="shared" si="0"/>
        <v>1</v>
      </c>
      <c r="L12" s="199" t="str">
        <f t="shared" ref="L12:L48" si="8">CONCATENATE($A12," (",K12,")")</f>
        <v>Loss of Values (1)</v>
      </c>
      <c r="M12" s="205">
        <f>COUNTIFS(tbl_data[12. Consultation Group of],$B$2,tbl_data[1:T1C],$A12,tbl_data[T1],$B$3)</f>
        <v>0</v>
      </c>
      <c r="N12" s="198">
        <f>COUNTIFS(tbl_data[12. Consultation Group of],$B$2,tbl_data[2:T1C],$A12,tbl_data[T1],$B$3)</f>
        <v>0</v>
      </c>
      <c r="O12" s="198">
        <f>COUNTIFS(tbl_data[12. Consultation Group of],$B$2,tbl_data[3:T1C],$A12,tbl_data[T1],$B$3)</f>
        <v>0</v>
      </c>
      <c r="P12" s="198">
        <f>COUNTIFS(tbl_data[12. Consultation Group of],$B$2,tbl_data[1:T2C],$A12,tbl_data[T2],$B$3)</f>
        <v>0</v>
      </c>
      <c r="Q12" s="198">
        <f>COUNTIFS(tbl_data[12. Consultation Group of],$B$2,tbl_data[2:T2C],$A12,tbl_data[T2],$B$3)</f>
        <v>0</v>
      </c>
      <c r="R12" s="198">
        <f>COUNTIFS(tbl_data[12. Consultation Group of],$B$2,tbl_data[3:T2C],$A12,tbl_data[T2],$B$3)</f>
        <v>0</v>
      </c>
      <c r="S12" s="198">
        <f>COUNTIFS(tbl_data[12. Consultation Group of],$B$2,tbl_data[1:T3C],$A12,tbl_data[T3],$B$3)</f>
        <v>0</v>
      </c>
      <c r="T12" s="198">
        <f>COUNTIFS(tbl_data[12. Consultation Group of],$B$2,tbl_data[2:T3C],$A12,tbl_data[T3],$B$3)</f>
        <v>0</v>
      </c>
      <c r="U12" s="198">
        <f>COUNTIFS(tbl_data[12. Consultation Group of],$B$2,tbl_data[3:T3C],$A12,tbl_data[T3],$B$3)</f>
        <v>0</v>
      </c>
      <c r="V12" s="198">
        <f t="shared" si="1"/>
        <v>0</v>
      </c>
      <c r="W12" s="199" t="str">
        <f t="shared" ref="W12:W48" si="9">CONCATENATE($A12," (",V12,")")</f>
        <v>Loss of Values (0)</v>
      </c>
      <c r="X12" s="205">
        <f>COUNTIFS(tbl_data[12. Consultation Group of],$C$2,tbl_data[1:T1C],$A12,tbl_data[T1],$C$3)</f>
        <v>0</v>
      </c>
      <c r="Y12" s="198">
        <f>COUNTIFS(tbl_data[12. Consultation Group of],$C$2,tbl_data[2:T1C],$A12,tbl_data[T1],$C$3)</f>
        <v>0</v>
      </c>
      <c r="Z12" s="198">
        <f>COUNTIFS(tbl_data[12. Consultation Group of],$C$2,tbl_data[3:T1C],$A12,tbl_data[T1],$C$3)</f>
        <v>0</v>
      </c>
      <c r="AA12" s="198">
        <f>COUNTIFS(tbl_data[12. Consultation Group of],$C$2,tbl_data[1:T2C],$A12,tbl_data[T2],$C$3)</f>
        <v>0</v>
      </c>
      <c r="AB12" s="198">
        <f>COUNTIFS(tbl_data[12. Consultation Group of],$C$2,tbl_data[2:T2C],$A12,tbl_data[T2],$C$3)</f>
        <v>0</v>
      </c>
      <c r="AC12" s="198">
        <f>COUNTIFS(tbl_data[12. Consultation Group of],$C$2,tbl_data[3:T2C],$A12,tbl_data[T2],$C$3)</f>
        <v>0</v>
      </c>
      <c r="AD12" s="198">
        <f>COUNTIFS(tbl_data[12. Consultation Group of],$C$2,tbl_data[1:T3C],$A12,tbl_data[T3],$C$3)</f>
        <v>0</v>
      </c>
      <c r="AE12" s="198">
        <f>COUNTIFS(tbl_data[12. Consultation Group of],$C$2,tbl_data[2:T3C],$A12,tbl_data[T3],$C$3)</f>
        <v>0</v>
      </c>
      <c r="AF12" s="198">
        <f>COUNTIFS(tbl_data[12. Consultation Group of],$C$2,tbl_data[3:T3C],$A12,tbl_data[T3],$C$3)</f>
        <v>0</v>
      </c>
      <c r="AG12" s="198">
        <f t="shared" si="2"/>
        <v>0</v>
      </c>
      <c r="AH12" s="199" t="str">
        <f t="shared" ref="AH12:AH48" si="10">CONCATENATE($A12," (",AG12,")")</f>
        <v>Loss of Values (0)</v>
      </c>
      <c r="AI12" s="205">
        <f>COUNTIFS(tbl_data[12. Consultation Group of],$D$2,tbl_data[1:T1C],$A12,tbl_data[T1],$D$3)</f>
        <v>0</v>
      </c>
      <c r="AJ12" s="198">
        <f>COUNTIFS(tbl_data[12. Consultation Group of],$D$2,tbl_data[2:T1C],$A12,tbl_data[T1],$D$3)</f>
        <v>0</v>
      </c>
      <c r="AK12" s="198">
        <f>COUNTIFS(tbl_data[12. Consultation Group of],$D$2,tbl_data[3:T1C],$A12,tbl_data[T1],$D$3)</f>
        <v>0</v>
      </c>
      <c r="AL12" s="198">
        <f>COUNTIFS(tbl_data[12. Consultation Group of],$D$2,tbl_data[1:T2C],$A12,tbl_data[T2],$D$3)</f>
        <v>0</v>
      </c>
      <c r="AM12" s="198">
        <f>COUNTIFS(tbl_data[12. Consultation Group of],$D$2,tbl_data[2:T2C],$A12,tbl_data[T2],$D$3)</f>
        <v>0</v>
      </c>
      <c r="AN12" s="198">
        <f>COUNTIFS(tbl_data[12. Consultation Group of],$D$2,tbl_data[3:T2C],$A12,tbl_data[T2],$D$3)</f>
        <v>0</v>
      </c>
      <c r="AO12" s="198">
        <f>COUNTIFS(tbl_data[12. Consultation Group of],$D$2,tbl_data[1:T3C],$A12,tbl_data[T3],$D$3)</f>
        <v>0</v>
      </c>
      <c r="AP12" s="198">
        <f>COUNTIFS(tbl_data[12. Consultation Group of],$D$2,tbl_data[2:T3C],$A12,tbl_data[T3],$D$3)</f>
        <v>0</v>
      </c>
      <c r="AQ12" s="198">
        <f>COUNTIFS(tbl_data[12. Consultation Group of],$D$2,tbl_data[3:T3C],$A12,tbl_data[T3],$D$3)</f>
        <v>0</v>
      </c>
      <c r="AR12" s="198">
        <f t="shared" si="3"/>
        <v>0</v>
      </c>
      <c r="AS12" s="199" t="str">
        <f t="shared" ref="AS12:AS48" si="11">CONCATENATE($A12," (",AR12,")")</f>
        <v>Loss of Values (0)</v>
      </c>
      <c r="AT12" s="205">
        <f>COUNTIFS(tbl_data[12. Consultation Group of],$E$2,tbl_data[1:T1C],$A12,tbl_data[T1],$E$3)</f>
        <v>0</v>
      </c>
      <c r="AU12" s="198">
        <f>COUNTIFS(tbl_data[12. Consultation Group of],$E$2,tbl_data[2:T1C],$A12,tbl_data[T1],$E$3)</f>
        <v>0</v>
      </c>
      <c r="AV12" s="198">
        <f>COUNTIFS(tbl_data[12. Consultation Group of],$E$2,tbl_data[3:T1C],$A12,tbl_data[T1],$E$3)</f>
        <v>0</v>
      </c>
      <c r="AW12" s="198">
        <f>COUNTIFS(tbl_data[12. Consultation Group of],$E$2,tbl_data[1:T2C],$A12,tbl_data[T2],$E$3)</f>
        <v>0</v>
      </c>
      <c r="AX12" s="198">
        <f>COUNTIFS(tbl_data[12. Consultation Group of],$E$2,tbl_data[2:T2C],$A12,tbl_data[T2],$E$3)</f>
        <v>0</v>
      </c>
      <c r="AY12" s="198">
        <f>COUNTIFS(tbl_data[12. Consultation Group of],$E$2,tbl_data[3:T2C],$A12,tbl_data[T2],$E$3)</f>
        <v>0</v>
      </c>
      <c r="AZ12" s="198">
        <f>COUNTIFS(tbl_data[12. Consultation Group of],$E$2,tbl_data[1:T3C],$A12,tbl_data[T3],$E$3)</f>
        <v>0</v>
      </c>
      <c r="BA12" s="198">
        <f>COUNTIFS(tbl_data[12. Consultation Group of],$E$2,tbl_data[2:T3C],$A12,tbl_data[T3],$E$3)</f>
        <v>0</v>
      </c>
      <c r="BB12" s="198">
        <f>COUNTIFS(tbl_data[12. Consultation Group of],$E$2,tbl_data[3:T3C],$A12,tbl_data[T3],$E$3)</f>
        <v>0</v>
      </c>
      <c r="BC12" s="198">
        <f t="shared" si="4"/>
        <v>0</v>
      </c>
      <c r="BD12" s="199" t="str">
        <f t="shared" ref="BD12:BD48" si="12">CONCATENATE($A12," (",BC12,")")</f>
        <v>Loss of Values (0)</v>
      </c>
      <c r="BE12" s="205">
        <f>COUNTIFS(tbl_data[1:T1C],$A12,tbl_data[T1],$F$3)</f>
        <v>0</v>
      </c>
      <c r="BF12" s="198">
        <f>COUNTIFS(tbl_data[2:T1C],$A12,tbl_data[T1],$F$3)</f>
        <v>0</v>
      </c>
      <c r="BG12" s="198">
        <f>COUNTIFS(tbl_data[3:T1C],$A12,tbl_data[T1],$F$3)</f>
        <v>0</v>
      </c>
      <c r="BH12" s="198">
        <f>COUNTIFS(tbl_data[1:T2C],$A12,tbl_data[T2],$F$3)</f>
        <v>0</v>
      </c>
      <c r="BI12" s="198">
        <f>COUNTIFS(tbl_data[2:T2C],$A12,tbl_data[T2],$F$3)</f>
        <v>0</v>
      </c>
      <c r="BJ12" s="198">
        <f>COUNTIFS(tbl_data[3:T2C],$A12,tbl_data[T2],$F$3)</f>
        <v>0</v>
      </c>
      <c r="BK12" s="198">
        <f>COUNTIFS(tbl_data[1:T3C],$A12,tbl_data[T3],$F$3)</f>
        <v>0</v>
      </c>
      <c r="BL12" s="198">
        <f>COUNTIFS(tbl_data[2:T3C],$A12,tbl_data[T3],$F$3)</f>
        <v>0</v>
      </c>
      <c r="BM12" s="198">
        <f>COUNTIFS(tbl_data[3:T3C],$A12,tbl_data[T3],$F$3)</f>
        <v>0</v>
      </c>
      <c r="BN12" s="198">
        <f t="shared" si="5"/>
        <v>0</v>
      </c>
      <c r="BO12" s="199" t="str">
        <f t="shared" ref="BO12:BO48" si="13">CONCATENATE($A12," (",BN12,")")</f>
        <v>Loss of Values (0)</v>
      </c>
      <c r="BQ12" t="str">
        <f t="shared" si="6"/>
        <v>Loss of Values</v>
      </c>
      <c r="BR12">
        <f t="shared" si="7"/>
        <v>1</v>
      </c>
      <c r="BS12" t="s">
        <v>924</v>
      </c>
      <c r="BU12" s="274" t="s">
        <v>924</v>
      </c>
    </row>
    <row r="13" spans="1:74" x14ac:dyDescent="0.25">
      <c r="A13" s="203" t="s">
        <v>174</v>
      </c>
      <c r="B13" s="205">
        <f>COUNTIFS(tbl_data[12. Consultation Group of],$A$2,tbl_data[1:T1C],$A13,tbl_data[T1],$A$3)</f>
        <v>0</v>
      </c>
      <c r="C13" s="198">
        <f>COUNTIFS(tbl_data[12. Consultation Group of],$A$2,tbl_data[2:T1C],$A13,tbl_data[T1],$A$3)</f>
        <v>0</v>
      </c>
      <c r="D13" s="198">
        <f>COUNTIFS(tbl_data[12. Consultation Group of],$A$2,tbl_data[3:T1C],$A13,tbl_data[T1],$A$3)</f>
        <v>0</v>
      </c>
      <c r="E13" s="198">
        <f>COUNTIFS(tbl_data[12. Consultation Group of],$A$2,tbl_data[1:T2C],$A13,tbl_data[T2],$A$3)</f>
        <v>0</v>
      </c>
      <c r="F13" s="198">
        <f>COUNTIFS(tbl_data[12. Consultation Group of],$A$2,tbl_data[2:T2C],$A13,tbl_data[T2],$A$3)</f>
        <v>1</v>
      </c>
      <c r="G13" s="198">
        <f>COUNTIFS(tbl_data[12. Consultation Group of],$A$2,tbl_data[3:T2C],$A13,tbl_data[T2],$A$3)</f>
        <v>0</v>
      </c>
      <c r="H13" s="198">
        <f>COUNTIFS(tbl_data[12. Consultation Group of],$A$2,tbl_data[1:T3C],$A13,tbl_data[T3],$A$3)</f>
        <v>0</v>
      </c>
      <c r="I13" s="198">
        <f>COUNTIFS(tbl_data[12. Consultation Group of],$A$2,tbl_data[2:T3C],$A13,tbl_data[T3],$A$3)</f>
        <v>0</v>
      </c>
      <c r="J13" s="198">
        <f>COUNTIFS(tbl_data[12. Consultation Group of],$A$2,tbl_data[3:T3C],$A13,tbl_data[T3],$A$3)</f>
        <v>0</v>
      </c>
      <c r="K13" s="198">
        <f t="shared" si="0"/>
        <v>1</v>
      </c>
      <c r="L13" s="199" t="str">
        <f t="shared" si="8"/>
        <v>Economic and Livelihood Loss (1)</v>
      </c>
      <c r="M13" s="205">
        <f>COUNTIFS(tbl_data[12. Consultation Group of],$B$2,tbl_data[1:T1C],$A13,tbl_data[T1],$B$3)</f>
        <v>1</v>
      </c>
      <c r="N13" s="198">
        <f>COUNTIFS(tbl_data[12. Consultation Group of],$B$2,tbl_data[2:T1C],$A13,tbl_data[T1],$B$3)</f>
        <v>0</v>
      </c>
      <c r="O13" s="198">
        <f>COUNTIFS(tbl_data[12. Consultation Group of],$B$2,tbl_data[3:T1C],$A13,tbl_data[T1],$B$3)</f>
        <v>1</v>
      </c>
      <c r="P13" s="198">
        <f>COUNTIFS(tbl_data[12. Consultation Group of],$B$2,tbl_data[1:T2C],$A13,tbl_data[T2],$B$3)</f>
        <v>0</v>
      </c>
      <c r="Q13" s="198">
        <f>COUNTIFS(tbl_data[12. Consultation Group of],$B$2,tbl_data[2:T2C],$A13,tbl_data[T2],$B$3)</f>
        <v>0</v>
      </c>
      <c r="R13" s="198">
        <f>COUNTIFS(tbl_data[12. Consultation Group of],$B$2,tbl_data[3:T2C],$A13,tbl_data[T2],$B$3)</f>
        <v>0</v>
      </c>
      <c r="S13" s="198">
        <f>COUNTIFS(tbl_data[12. Consultation Group of],$B$2,tbl_data[1:T3C],$A13,tbl_data[T3],$B$3)</f>
        <v>0</v>
      </c>
      <c r="T13" s="198">
        <f>COUNTIFS(tbl_data[12. Consultation Group of],$B$2,tbl_data[2:T3C],$A13,tbl_data[T3],$B$3)</f>
        <v>0</v>
      </c>
      <c r="U13" s="198">
        <f>COUNTIFS(tbl_data[12. Consultation Group of],$B$2,tbl_data[3:T3C],$A13,tbl_data[T3],$B$3)</f>
        <v>1</v>
      </c>
      <c r="V13" s="198">
        <f t="shared" si="1"/>
        <v>3</v>
      </c>
      <c r="W13" s="199" t="str">
        <f t="shared" si="9"/>
        <v>Economic and Livelihood Loss (3)</v>
      </c>
      <c r="X13" s="205">
        <f>COUNTIFS(tbl_data[12. Consultation Group of],$C$2,tbl_data[1:T1C],$A13,tbl_data[T1],$C$3)</f>
        <v>0</v>
      </c>
      <c r="Y13" s="198">
        <f>COUNTIFS(tbl_data[12. Consultation Group of],$C$2,tbl_data[2:T1C],$A13,tbl_data[T1],$C$3)</f>
        <v>0</v>
      </c>
      <c r="Z13" s="198">
        <f>COUNTIFS(tbl_data[12. Consultation Group of],$C$2,tbl_data[3:T1C],$A13,tbl_data[T1],$C$3)</f>
        <v>0</v>
      </c>
      <c r="AA13" s="198">
        <f>COUNTIFS(tbl_data[12. Consultation Group of],$C$2,tbl_data[1:T2C],$A13,tbl_data[T2],$C$3)</f>
        <v>0</v>
      </c>
      <c r="AB13" s="198">
        <f>COUNTIFS(tbl_data[12. Consultation Group of],$C$2,tbl_data[2:T2C],$A13,tbl_data[T2],$C$3)</f>
        <v>0</v>
      </c>
      <c r="AC13" s="198">
        <f>COUNTIFS(tbl_data[12. Consultation Group of],$C$2,tbl_data[3:T2C],$A13,tbl_data[T2],$C$3)</f>
        <v>0</v>
      </c>
      <c r="AD13" s="198">
        <f>COUNTIFS(tbl_data[12. Consultation Group of],$C$2,tbl_data[1:T3C],$A13,tbl_data[T3],$C$3)</f>
        <v>0</v>
      </c>
      <c r="AE13" s="198">
        <f>COUNTIFS(tbl_data[12. Consultation Group of],$C$2,tbl_data[2:T3C],$A13,tbl_data[T3],$C$3)</f>
        <v>0</v>
      </c>
      <c r="AF13" s="198">
        <f>COUNTIFS(tbl_data[12. Consultation Group of],$C$2,tbl_data[3:T3C],$A13,tbl_data[T3],$C$3)</f>
        <v>0</v>
      </c>
      <c r="AG13" s="198">
        <f t="shared" si="2"/>
        <v>0</v>
      </c>
      <c r="AH13" s="199" t="str">
        <f t="shared" si="10"/>
        <v>Economic and Livelihood Loss (0)</v>
      </c>
      <c r="AI13" s="205">
        <f>COUNTIFS(tbl_data[12. Consultation Group of],$D$2,tbl_data[1:T1C],$A13,tbl_data[T1],$D$3)</f>
        <v>0</v>
      </c>
      <c r="AJ13" s="198">
        <f>COUNTIFS(tbl_data[12. Consultation Group of],$D$2,tbl_data[2:T1C],$A13,tbl_data[T1],$D$3)</f>
        <v>1</v>
      </c>
      <c r="AK13" s="198">
        <f>COUNTIFS(tbl_data[12. Consultation Group of],$D$2,tbl_data[3:T1C],$A13,tbl_data[T1],$D$3)</f>
        <v>0</v>
      </c>
      <c r="AL13" s="198">
        <f>COUNTIFS(tbl_data[12. Consultation Group of],$D$2,tbl_data[1:T2C],$A13,tbl_data[T2],$D$3)</f>
        <v>0</v>
      </c>
      <c r="AM13" s="198">
        <f>COUNTIFS(tbl_data[12. Consultation Group of],$D$2,tbl_data[2:T2C],$A13,tbl_data[T2],$D$3)</f>
        <v>0</v>
      </c>
      <c r="AN13" s="198">
        <f>COUNTIFS(tbl_data[12. Consultation Group of],$D$2,tbl_data[3:T2C],$A13,tbl_data[T2],$D$3)</f>
        <v>0</v>
      </c>
      <c r="AO13" s="198">
        <f>COUNTIFS(tbl_data[12. Consultation Group of],$D$2,tbl_data[1:T3C],$A13,tbl_data[T3],$D$3)</f>
        <v>0</v>
      </c>
      <c r="AP13" s="198">
        <f>COUNTIFS(tbl_data[12. Consultation Group of],$D$2,tbl_data[2:T3C],$A13,tbl_data[T3],$D$3)</f>
        <v>0</v>
      </c>
      <c r="AQ13" s="198">
        <f>COUNTIFS(tbl_data[12. Consultation Group of],$D$2,tbl_data[3:T3C],$A13,tbl_data[T3],$D$3)</f>
        <v>0</v>
      </c>
      <c r="AR13" s="198">
        <f t="shared" si="3"/>
        <v>1</v>
      </c>
      <c r="AS13" s="199" t="str">
        <f t="shared" si="11"/>
        <v>Economic and Livelihood Loss (1)</v>
      </c>
      <c r="AT13" s="205">
        <f>COUNTIFS(tbl_data[12. Consultation Group of],$E$2,tbl_data[1:T1C],$A13,tbl_data[T1],$E$3)</f>
        <v>0</v>
      </c>
      <c r="AU13" s="198">
        <f>COUNTIFS(tbl_data[12. Consultation Group of],$E$2,tbl_data[2:T1C],$A13,tbl_data[T1],$E$3)</f>
        <v>1</v>
      </c>
      <c r="AV13" s="198">
        <f>COUNTIFS(tbl_data[12. Consultation Group of],$E$2,tbl_data[3:T1C],$A13,tbl_data[T1],$E$3)</f>
        <v>0</v>
      </c>
      <c r="AW13" s="198">
        <f>COUNTIFS(tbl_data[12. Consultation Group of],$E$2,tbl_data[1:T2C],$A13,tbl_data[T2],$E$3)</f>
        <v>0</v>
      </c>
      <c r="AX13" s="198">
        <f>COUNTIFS(tbl_data[12. Consultation Group of],$E$2,tbl_data[2:T2C],$A13,tbl_data[T2],$E$3)</f>
        <v>0</v>
      </c>
      <c r="AY13" s="198">
        <f>COUNTIFS(tbl_data[12. Consultation Group of],$E$2,tbl_data[3:T2C],$A13,tbl_data[T2],$E$3)</f>
        <v>0</v>
      </c>
      <c r="AZ13" s="198">
        <f>COUNTIFS(tbl_data[12. Consultation Group of],$E$2,tbl_data[1:T3C],$A13,tbl_data[T3],$E$3)</f>
        <v>0</v>
      </c>
      <c r="BA13" s="198">
        <f>COUNTIFS(tbl_data[12. Consultation Group of],$E$2,tbl_data[2:T3C],$A13,tbl_data[T3],$E$3)</f>
        <v>0</v>
      </c>
      <c r="BB13" s="198">
        <f>COUNTIFS(tbl_data[12. Consultation Group of],$E$2,tbl_data[3:T3C],$A13,tbl_data[T3],$E$3)</f>
        <v>0</v>
      </c>
      <c r="BC13" s="198">
        <f t="shared" si="4"/>
        <v>1</v>
      </c>
      <c r="BD13" s="199" t="str">
        <f t="shared" si="12"/>
        <v>Economic and Livelihood Loss (1)</v>
      </c>
      <c r="BE13" s="205">
        <f>COUNTIFS(tbl_data[1:T1C],$A13,tbl_data[T1],$F$3)</f>
        <v>0</v>
      </c>
      <c r="BF13" s="198">
        <f>COUNTIFS(tbl_data[2:T1C],$A13,tbl_data[T1],$F$3)</f>
        <v>1</v>
      </c>
      <c r="BG13" s="198">
        <f>COUNTIFS(tbl_data[3:T1C],$A13,tbl_data[T1],$F$3)</f>
        <v>2</v>
      </c>
      <c r="BH13" s="198">
        <f>COUNTIFS(tbl_data[1:T2C],$A13,tbl_data[T2],$F$3)</f>
        <v>0</v>
      </c>
      <c r="BI13" s="198">
        <f>COUNTIFS(tbl_data[2:T2C],$A13,tbl_data[T2],$F$3)</f>
        <v>0</v>
      </c>
      <c r="BJ13" s="198">
        <f>COUNTIFS(tbl_data[3:T2C],$A13,tbl_data[T2],$F$3)</f>
        <v>0</v>
      </c>
      <c r="BK13" s="198">
        <f>COUNTIFS(tbl_data[1:T3C],$A13,tbl_data[T3],$F$3)</f>
        <v>0</v>
      </c>
      <c r="BL13" s="198">
        <f>COUNTIFS(tbl_data[2:T3C],$A13,tbl_data[T3],$F$3)</f>
        <v>0</v>
      </c>
      <c r="BM13" s="198">
        <f>COUNTIFS(tbl_data[3:T3C],$A13,tbl_data[T3],$F$3)</f>
        <v>0</v>
      </c>
      <c r="BN13" s="198">
        <f t="shared" si="5"/>
        <v>3</v>
      </c>
      <c r="BO13" s="199" t="str">
        <f t="shared" si="13"/>
        <v>Economic and Livelihood Loss (3)</v>
      </c>
      <c r="BQ13" t="str">
        <f t="shared" si="6"/>
        <v>Economic and Livelihood Loss</v>
      </c>
      <c r="BR13">
        <f t="shared" si="7"/>
        <v>9</v>
      </c>
      <c r="BS13" t="s">
        <v>924</v>
      </c>
      <c r="BU13" s="274" t="s">
        <v>924</v>
      </c>
    </row>
    <row r="14" spans="1:74" x14ac:dyDescent="0.25">
      <c r="A14" s="203" t="s">
        <v>197</v>
      </c>
      <c r="B14" s="205">
        <f>COUNTIFS(tbl_data[12. Consultation Group of],$A$2,tbl_data[1:T1C],$A14,tbl_data[T1],$A$3)</f>
        <v>0</v>
      </c>
      <c r="C14" s="198">
        <f>COUNTIFS(tbl_data[12. Consultation Group of],$A$2,tbl_data[2:T1C],$A14,tbl_data[T1],$A$3)</f>
        <v>0</v>
      </c>
      <c r="D14" s="198">
        <f>COUNTIFS(tbl_data[12. Consultation Group of],$A$2,tbl_data[3:T1C],$A14,tbl_data[T1],$A$3)</f>
        <v>1</v>
      </c>
      <c r="E14" s="198">
        <f>COUNTIFS(tbl_data[12. Consultation Group of],$A$2,tbl_data[1:T2C],$A14,tbl_data[T2],$A$3)</f>
        <v>0</v>
      </c>
      <c r="F14" s="198">
        <f>COUNTIFS(tbl_data[12. Consultation Group of],$A$2,tbl_data[2:T2C],$A14,tbl_data[T2],$A$3)</f>
        <v>0</v>
      </c>
      <c r="G14" s="198">
        <f>COUNTIFS(tbl_data[12. Consultation Group of],$A$2,tbl_data[3:T2C],$A14,tbl_data[T2],$A$3)</f>
        <v>0</v>
      </c>
      <c r="H14" s="198">
        <f>COUNTIFS(tbl_data[12. Consultation Group of],$A$2,tbl_data[1:T3C],$A14,tbl_data[T3],$A$3)</f>
        <v>0</v>
      </c>
      <c r="I14" s="198">
        <f>COUNTIFS(tbl_data[12. Consultation Group of],$A$2,tbl_data[2:T3C],$A14,tbl_data[T3],$A$3)</f>
        <v>0</v>
      </c>
      <c r="J14" s="198">
        <f>COUNTIFS(tbl_data[12. Consultation Group of],$A$2,tbl_data[3:T3C],$A14,tbl_data[T3],$A$3)</f>
        <v>0</v>
      </c>
      <c r="K14" s="198">
        <f t="shared" si="0"/>
        <v>1</v>
      </c>
      <c r="L14" s="199" t="str">
        <f t="shared" si="8"/>
        <v>Injury (1)</v>
      </c>
      <c r="M14" s="205">
        <f>COUNTIFS(tbl_data[12. Consultation Group of],$B$2,tbl_data[1:T1C],$A14,tbl_data[T1],$B$3)</f>
        <v>0</v>
      </c>
      <c r="N14" s="198">
        <f>COUNTIFS(tbl_data[12. Consultation Group of],$B$2,tbl_data[2:T1C],$A14,tbl_data[T1],$B$3)</f>
        <v>0</v>
      </c>
      <c r="O14" s="198">
        <f>COUNTIFS(tbl_data[12. Consultation Group of],$B$2,tbl_data[3:T1C],$A14,tbl_data[T1],$B$3)</f>
        <v>0</v>
      </c>
      <c r="P14" s="198">
        <f>COUNTIFS(tbl_data[12. Consultation Group of],$B$2,tbl_data[1:T2C],$A14,tbl_data[T2],$B$3)</f>
        <v>0</v>
      </c>
      <c r="Q14" s="198">
        <f>COUNTIFS(tbl_data[12. Consultation Group of],$B$2,tbl_data[2:T2C],$A14,tbl_data[T2],$B$3)</f>
        <v>0</v>
      </c>
      <c r="R14" s="198">
        <f>COUNTIFS(tbl_data[12. Consultation Group of],$B$2,tbl_data[3:T2C],$A14,tbl_data[T2],$B$3)</f>
        <v>0</v>
      </c>
      <c r="S14" s="198">
        <f>COUNTIFS(tbl_data[12. Consultation Group of],$B$2,tbl_data[1:T3C],$A14,tbl_data[T3],$B$3)</f>
        <v>0</v>
      </c>
      <c r="T14" s="198">
        <f>COUNTIFS(tbl_data[12. Consultation Group of],$B$2,tbl_data[2:T3C],$A14,tbl_data[T3],$B$3)</f>
        <v>0</v>
      </c>
      <c r="U14" s="198">
        <f>COUNTIFS(tbl_data[12. Consultation Group of],$B$2,tbl_data[3:T3C],$A14,tbl_data[T3],$B$3)</f>
        <v>0</v>
      </c>
      <c r="V14" s="198">
        <f t="shared" si="1"/>
        <v>0</v>
      </c>
      <c r="W14" s="199" t="str">
        <f t="shared" si="9"/>
        <v>Injury (0)</v>
      </c>
      <c r="X14" s="205">
        <f>COUNTIFS(tbl_data[12. Consultation Group of],$C$2,tbl_data[1:T1C],$A14,tbl_data[T1],$C$3)</f>
        <v>0</v>
      </c>
      <c r="Y14" s="198">
        <f>COUNTIFS(tbl_data[12. Consultation Group of],$C$2,tbl_data[2:T1C],$A14,tbl_data[T1],$C$3)</f>
        <v>0</v>
      </c>
      <c r="Z14" s="198">
        <f>COUNTIFS(tbl_data[12. Consultation Group of],$C$2,tbl_data[3:T1C],$A14,tbl_data[T1],$C$3)</f>
        <v>0</v>
      </c>
      <c r="AA14" s="198">
        <f>COUNTIFS(tbl_data[12. Consultation Group of],$C$2,tbl_data[1:T2C],$A14,tbl_data[T2],$C$3)</f>
        <v>0</v>
      </c>
      <c r="AB14" s="198">
        <f>COUNTIFS(tbl_data[12. Consultation Group of],$C$2,tbl_data[2:T2C],$A14,tbl_data[T2],$C$3)</f>
        <v>0</v>
      </c>
      <c r="AC14" s="198">
        <f>COUNTIFS(tbl_data[12. Consultation Group of],$C$2,tbl_data[3:T2C],$A14,tbl_data[T2],$C$3)</f>
        <v>0</v>
      </c>
      <c r="AD14" s="198">
        <f>COUNTIFS(tbl_data[12. Consultation Group of],$C$2,tbl_data[1:T3C],$A14,tbl_data[T3],$C$3)</f>
        <v>0</v>
      </c>
      <c r="AE14" s="198">
        <f>COUNTIFS(tbl_data[12. Consultation Group of],$C$2,tbl_data[2:T3C],$A14,tbl_data[T3],$C$3)</f>
        <v>0</v>
      </c>
      <c r="AF14" s="198">
        <f>COUNTIFS(tbl_data[12. Consultation Group of],$C$2,tbl_data[3:T3C],$A14,tbl_data[T3],$C$3)</f>
        <v>0</v>
      </c>
      <c r="AG14" s="198">
        <f t="shared" si="2"/>
        <v>0</v>
      </c>
      <c r="AH14" s="199" t="str">
        <f t="shared" si="10"/>
        <v>Injury (0)</v>
      </c>
      <c r="AI14" s="205">
        <f>COUNTIFS(tbl_data[12. Consultation Group of],$D$2,tbl_data[1:T1C],$A14,tbl_data[T1],$D$3)</f>
        <v>0</v>
      </c>
      <c r="AJ14" s="198">
        <f>COUNTIFS(tbl_data[12. Consultation Group of],$D$2,tbl_data[2:T1C],$A14,tbl_data[T1],$D$3)</f>
        <v>0</v>
      </c>
      <c r="AK14" s="198">
        <f>COUNTIFS(tbl_data[12. Consultation Group of],$D$2,tbl_data[3:T1C],$A14,tbl_data[T1],$D$3)</f>
        <v>0</v>
      </c>
      <c r="AL14" s="198">
        <f>COUNTIFS(tbl_data[12. Consultation Group of],$D$2,tbl_data[1:T2C],$A14,tbl_data[T2],$D$3)</f>
        <v>0</v>
      </c>
      <c r="AM14" s="198">
        <f>COUNTIFS(tbl_data[12. Consultation Group of],$D$2,tbl_data[2:T2C],$A14,tbl_data[T2],$D$3)</f>
        <v>0</v>
      </c>
      <c r="AN14" s="198">
        <f>COUNTIFS(tbl_data[12. Consultation Group of],$D$2,tbl_data[3:T2C],$A14,tbl_data[T2],$D$3)</f>
        <v>0</v>
      </c>
      <c r="AO14" s="198">
        <f>COUNTIFS(tbl_data[12. Consultation Group of],$D$2,tbl_data[1:T3C],$A14,tbl_data[T3],$D$3)</f>
        <v>0</v>
      </c>
      <c r="AP14" s="198">
        <f>COUNTIFS(tbl_data[12. Consultation Group of],$D$2,tbl_data[2:T3C],$A14,tbl_data[T3],$D$3)</f>
        <v>0</v>
      </c>
      <c r="AQ14" s="198">
        <f>COUNTIFS(tbl_data[12. Consultation Group of],$D$2,tbl_data[3:T3C],$A14,tbl_data[T3],$D$3)</f>
        <v>0</v>
      </c>
      <c r="AR14" s="198">
        <f t="shared" si="3"/>
        <v>0</v>
      </c>
      <c r="AS14" s="199" t="str">
        <f t="shared" si="11"/>
        <v>Injury (0)</v>
      </c>
      <c r="AT14" s="205">
        <f>COUNTIFS(tbl_data[12. Consultation Group of],$E$2,tbl_data[1:T1C],$A14,tbl_data[T1],$E$3)</f>
        <v>0</v>
      </c>
      <c r="AU14" s="198">
        <f>COUNTIFS(tbl_data[12. Consultation Group of],$E$2,tbl_data[2:T1C],$A14,tbl_data[T1],$E$3)</f>
        <v>0</v>
      </c>
      <c r="AV14" s="198">
        <f>COUNTIFS(tbl_data[12. Consultation Group of],$E$2,tbl_data[3:T1C],$A14,tbl_data[T1],$E$3)</f>
        <v>0</v>
      </c>
      <c r="AW14" s="198">
        <f>COUNTIFS(tbl_data[12. Consultation Group of],$E$2,tbl_data[1:T2C],$A14,tbl_data[T2],$E$3)</f>
        <v>0</v>
      </c>
      <c r="AX14" s="198">
        <f>COUNTIFS(tbl_data[12. Consultation Group of],$E$2,tbl_data[2:T2C],$A14,tbl_data[T2],$E$3)</f>
        <v>0</v>
      </c>
      <c r="AY14" s="198">
        <f>COUNTIFS(tbl_data[12. Consultation Group of],$E$2,tbl_data[3:T2C],$A14,tbl_data[T2],$E$3)</f>
        <v>0</v>
      </c>
      <c r="AZ14" s="198">
        <f>COUNTIFS(tbl_data[12. Consultation Group of],$E$2,tbl_data[1:T3C],$A14,tbl_data[T3],$E$3)</f>
        <v>0</v>
      </c>
      <c r="BA14" s="198">
        <f>COUNTIFS(tbl_data[12. Consultation Group of],$E$2,tbl_data[2:T3C],$A14,tbl_data[T3],$E$3)</f>
        <v>0</v>
      </c>
      <c r="BB14" s="198">
        <f>COUNTIFS(tbl_data[12. Consultation Group of],$E$2,tbl_data[3:T3C],$A14,tbl_data[T3],$E$3)</f>
        <v>0</v>
      </c>
      <c r="BC14" s="198">
        <f t="shared" si="4"/>
        <v>0</v>
      </c>
      <c r="BD14" s="199" t="str">
        <f t="shared" si="12"/>
        <v>Injury (0)</v>
      </c>
      <c r="BE14" s="205">
        <f>COUNTIFS(tbl_data[1:T1C],$A14,tbl_data[T1],$F$3)</f>
        <v>0</v>
      </c>
      <c r="BF14" s="198">
        <f>COUNTIFS(tbl_data[2:T1C],$A14,tbl_data[T1],$F$3)</f>
        <v>0</v>
      </c>
      <c r="BG14" s="198">
        <f>COUNTIFS(tbl_data[3:T1C],$A14,tbl_data[T1],$F$3)</f>
        <v>0</v>
      </c>
      <c r="BH14" s="198">
        <f>COUNTIFS(tbl_data[1:T2C],$A14,tbl_data[T2],$F$3)</f>
        <v>0</v>
      </c>
      <c r="BI14" s="198">
        <f>COUNTIFS(tbl_data[2:T2C],$A14,tbl_data[T2],$F$3)</f>
        <v>0</v>
      </c>
      <c r="BJ14" s="198">
        <f>COUNTIFS(tbl_data[3:T2C],$A14,tbl_data[T2],$F$3)</f>
        <v>0</v>
      </c>
      <c r="BK14" s="198">
        <f>COUNTIFS(tbl_data[1:T3C],$A14,tbl_data[T3],$F$3)</f>
        <v>0</v>
      </c>
      <c r="BL14" s="198">
        <f>COUNTIFS(tbl_data[2:T3C],$A14,tbl_data[T3],$F$3)</f>
        <v>0</v>
      </c>
      <c r="BM14" s="198">
        <f>COUNTIFS(tbl_data[3:T3C],$A14,tbl_data[T3],$F$3)</f>
        <v>0</v>
      </c>
      <c r="BN14" s="198">
        <f t="shared" si="5"/>
        <v>0</v>
      </c>
      <c r="BO14" s="199" t="str">
        <f t="shared" si="13"/>
        <v>Injury (0)</v>
      </c>
      <c r="BQ14" t="str">
        <f t="shared" si="6"/>
        <v>Injury</v>
      </c>
      <c r="BR14">
        <f t="shared" si="7"/>
        <v>1</v>
      </c>
      <c r="BS14" t="s">
        <v>922</v>
      </c>
      <c r="BU14" s="275" t="s">
        <v>922</v>
      </c>
    </row>
    <row r="15" spans="1:74" x14ac:dyDescent="0.25">
      <c r="A15" s="203" t="s">
        <v>198</v>
      </c>
      <c r="B15" s="205">
        <f>COUNTIFS(tbl_data[12. Consultation Group of],$A$2,tbl_data[1:T1C],$A15,tbl_data[T1],$A$3)</f>
        <v>0</v>
      </c>
      <c r="C15" s="198">
        <f>COUNTIFS(tbl_data[12. Consultation Group of],$A$2,tbl_data[2:T1C],$A15,tbl_data[T1],$A$3)</f>
        <v>0</v>
      </c>
      <c r="D15" s="198">
        <f>COUNTIFS(tbl_data[12. Consultation Group of],$A$2,tbl_data[3:T1C],$A15,tbl_data[T1],$A$3)</f>
        <v>0</v>
      </c>
      <c r="E15" s="198">
        <f>COUNTIFS(tbl_data[12. Consultation Group of],$A$2,tbl_data[1:T2C],$A15,tbl_data[T2],$A$3)</f>
        <v>0</v>
      </c>
      <c r="F15" s="198">
        <f>COUNTIFS(tbl_data[12. Consultation Group of],$A$2,tbl_data[2:T2C],$A15,tbl_data[T2],$A$3)</f>
        <v>0</v>
      </c>
      <c r="G15" s="198">
        <f>COUNTIFS(tbl_data[12. Consultation Group of],$A$2,tbl_data[3:T2C],$A15,tbl_data[T2],$A$3)</f>
        <v>0</v>
      </c>
      <c r="H15" s="198">
        <f>COUNTIFS(tbl_data[12. Consultation Group of],$A$2,tbl_data[1:T3C],$A15,tbl_data[T3],$A$3)</f>
        <v>0</v>
      </c>
      <c r="I15" s="198">
        <f>COUNTIFS(tbl_data[12. Consultation Group of],$A$2,tbl_data[2:T3C],$A15,tbl_data[T3],$A$3)</f>
        <v>0</v>
      </c>
      <c r="J15" s="198">
        <f>COUNTIFS(tbl_data[12. Consultation Group of],$A$2,tbl_data[3:T3C],$A15,tbl_data[T3],$A$3)</f>
        <v>0</v>
      </c>
      <c r="K15" s="198">
        <f t="shared" si="0"/>
        <v>0</v>
      </c>
      <c r="L15" s="199" t="str">
        <f t="shared" si="8"/>
        <v>Loss of Life (0)</v>
      </c>
      <c r="M15" s="205">
        <f>COUNTIFS(tbl_data[12. Consultation Group of],$B$2,tbl_data[1:T1C],$A15,tbl_data[T1],$B$3)</f>
        <v>0</v>
      </c>
      <c r="N15" s="198">
        <f>COUNTIFS(tbl_data[12. Consultation Group of],$B$2,tbl_data[2:T1C],$A15,tbl_data[T1],$B$3)</f>
        <v>1</v>
      </c>
      <c r="O15" s="198">
        <f>COUNTIFS(tbl_data[12. Consultation Group of],$B$2,tbl_data[3:T1C],$A15,tbl_data[T1],$B$3)</f>
        <v>0</v>
      </c>
      <c r="P15" s="198">
        <f>COUNTIFS(tbl_data[12. Consultation Group of],$B$2,tbl_data[1:T2C],$A15,tbl_data[T2],$B$3)</f>
        <v>0</v>
      </c>
      <c r="Q15" s="198">
        <f>COUNTIFS(tbl_data[12. Consultation Group of],$B$2,tbl_data[2:T2C],$A15,tbl_data[T2],$B$3)</f>
        <v>0</v>
      </c>
      <c r="R15" s="198">
        <f>COUNTIFS(tbl_data[12. Consultation Group of],$B$2,tbl_data[3:T2C],$A15,tbl_data[T2],$B$3)</f>
        <v>0</v>
      </c>
      <c r="S15" s="198">
        <f>COUNTIFS(tbl_data[12. Consultation Group of],$B$2,tbl_data[1:T3C],$A15,tbl_data[T3],$B$3)</f>
        <v>0</v>
      </c>
      <c r="T15" s="198">
        <f>COUNTIFS(tbl_data[12. Consultation Group of],$B$2,tbl_data[2:T3C],$A15,tbl_data[T3],$B$3)</f>
        <v>0</v>
      </c>
      <c r="U15" s="198">
        <f>COUNTIFS(tbl_data[12. Consultation Group of],$B$2,tbl_data[3:T3C],$A15,tbl_data[T3],$B$3)</f>
        <v>0</v>
      </c>
      <c r="V15" s="198">
        <f t="shared" si="1"/>
        <v>1</v>
      </c>
      <c r="W15" s="199" t="str">
        <f t="shared" si="9"/>
        <v>Loss of Life (1)</v>
      </c>
      <c r="X15" s="205">
        <f>COUNTIFS(tbl_data[12. Consultation Group of],$C$2,tbl_data[1:T1C],$A15,tbl_data[T1],$C$3)</f>
        <v>0</v>
      </c>
      <c r="Y15" s="198">
        <f>COUNTIFS(tbl_data[12. Consultation Group of],$C$2,tbl_data[2:T1C],$A15,tbl_data[T1],$C$3)</f>
        <v>0</v>
      </c>
      <c r="Z15" s="198">
        <f>COUNTIFS(tbl_data[12. Consultation Group of],$C$2,tbl_data[3:T1C],$A15,tbl_data[T1],$C$3)</f>
        <v>0</v>
      </c>
      <c r="AA15" s="198">
        <f>COUNTIFS(tbl_data[12. Consultation Group of],$C$2,tbl_data[1:T2C],$A15,tbl_data[T2],$C$3)</f>
        <v>0</v>
      </c>
      <c r="AB15" s="198">
        <f>COUNTIFS(tbl_data[12. Consultation Group of],$C$2,tbl_data[2:T2C],$A15,tbl_data[T2],$C$3)</f>
        <v>0</v>
      </c>
      <c r="AC15" s="198">
        <f>COUNTIFS(tbl_data[12. Consultation Group of],$C$2,tbl_data[3:T2C],$A15,tbl_data[T2],$C$3)</f>
        <v>0</v>
      </c>
      <c r="AD15" s="198">
        <f>COUNTIFS(tbl_data[12. Consultation Group of],$C$2,tbl_data[1:T3C],$A15,tbl_data[T3],$C$3)</f>
        <v>0</v>
      </c>
      <c r="AE15" s="198">
        <f>COUNTIFS(tbl_data[12. Consultation Group of],$C$2,tbl_data[2:T3C],$A15,tbl_data[T3],$C$3)</f>
        <v>0</v>
      </c>
      <c r="AF15" s="198">
        <f>COUNTIFS(tbl_data[12. Consultation Group of],$C$2,tbl_data[3:T3C],$A15,tbl_data[T3],$C$3)</f>
        <v>0</v>
      </c>
      <c r="AG15" s="198">
        <f t="shared" si="2"/>
        <v>0</v>
      </c>
      <c r="AH15" s="199" t="str">
        <f t="shared" si="10"/>
        <v>Loss of Life (0)</v>
      </c>
      <c r="AI15" s="205">
        <f>COUNTIFS(tbl_data[12. Consultation Group of],$D$2,tbl_data[1:T1C],$A15,tbl_data[T1],$D$3)</f>
        <v>0</v>
      </c>
      <c r="AJ15" s="198">
        <f>COUNTIFS(tbl_data[12. Consultation Group of],$D$2,tbl_data[2:T1C],$A15,tbl_data[T1],$D$3)</f>
        <v>0</v>
      </c>
      <c r="AK15" s="198">
        <f>COUNTIFS(tbl_data[12. Consultation Group of],$D$2,tbl_data[3:T1C],$A15,tbl_data[T1],$D$3)</f>
        <v>0</v>
      </c>
      <c r="AL15" s="198">
        <f>COUNTIFS(tbl_data[12. Consultation Group of],$D$2,tbl_data[1:T2C],$A15,tbl_data[T2],$D$3)</f>
        <v>0</v>
      </c>
      <c r="AM15" s="198">
        <f>COUNTIFS(tbl_data[12. Consultation Group of],$D$2,tbl_data[2:T2C],$A15,tbl_data[T2],$D$3)</f>
        <v>0</v>
      </c>
      <c r="AN15" s="198">
        <f>COUNTIFS(tbl_data[12. Consultation Group of],$D$2,tbl_data[3:T2C],$A15,tbl_data[T2],$D$3)</f>
        <v>0</v>
      </c>
      <c r="AO15" s="198">
        <f>COUNTIFS(tbl_data[12. Consultation Group of],$D$2,tbl_data[1:T3C],$A15,tbl_data[T3],$D$3)</f>
        <v>0</v>
      </c>
      <c r="AP15" s="198">
        <f>COUNTIFS(tbl_data[12. Consultation Group of],$D$2,tbl_data[2:T3C],$A15,tbl_data[T3],$D$3)</f>
        <v>0</v>
      </c>
      <c r="AQ15" s="198">
        <f>COUNTIFS(tbl_data[12. Consultation Group of],$D$2,tbl_data[3:T3C],$A15,tbl_data[T3],$D$3)</f>
        <v>0</v>
      </c>
      <c r="AR15" s="198">
        <f t="shared" si="3"/>
        <v>0</v>
      </c>
      <c r="AS15" s="199" t="str">
        <f t="shared" si="11"/>
        <v>Loss of Life (0)</v>
      </c>
      <c r="AT15" s="205">
        <f>COUNTIFS(tbl_data[12. Consultation Group of],$E$2,tbl_data[1:T1C],$A15,tbl_data[T1],$E$3)</f>
        <v>0</v>
      </c>
      <c r="AU15" s="198">
        <f>COUNTIFS(tbl_data[12. Consultation Group of],$E$2,tbl_data[2:T1C],$A15,tbl_data[T1],$E$3)</f>
        <v>0</v>
      </c>
      <c r="AV15" s="198">
        <f>COUNTIFS(tbl_data[12. Consultation Group of],$E$2,tbl_data[3:T1C],$A15,tbl_data[T1],$E$3)</f>
        <v>0</v>
      </c>
      <c r="AW15" s="198">
        <f>COUNTIFS(tbl_data[12. Consultation Group of],$E$2,tbl_data[1:T2C],$A15,tbl_data[T2],$E$3)</f>
        <v>0</v>
      </c>
      <c r="AX15" s="198">
        <f>COUNTIFS(tbl_data[12. Consultation Group of],$E$2,tbl_data[2:T2C],$A15,tbl_data[T2],$E$3)</f>
        <v>0</v>
      </c>
      <c r="AY15" s="198">
        <f>COUNTIFS(tbl_data[12. Consultation Group of],$E$2,tbl_data[3:T2C],$A15,tbl_data[T2],$E$3)</f>
        <v>0</v>
      </c>
      <c r="AZ15" s="198">
        <f>COUNTIFS(tbl_data[12. Consultation Group of],$E$2,tbl_data[1:T3C],$A15,tbl_data[T3],$E$3)</f>
        <v>0</v>
      </c>
      <c r="BA15" s="198">
        <f>COUNTIFS(tbl_data[12. Consultation Group of],$E$2,tbl_data[2:T3C],$A15,tbl_data[T3],$E$3)</f>
        <v>0</v>
      </c>
      <c r="BB15" s="198">
        <f>COUNTIFS(tbl_data[12. Consultation Group of],$E$2,tbl_data[3:T3C],$A15,tbl_data[T3],$E$3)</f>
        <v>0</v>
      </c>
      <c r="BC15" s="198">
        <f t="shared" si="4"/>
        <v>0</v>
      </c>
      <c r="BD15" s="199" t="str">
        <f t="shared" si="12"/>
        <v>Loss of Life (0)</v>
      </c>
      <c r="BE15" s="205">
        <f>COUNTIFS(tbl_data[1:T1C],$A15,tbl_data[T1],$F$3)</f>
        <v>0</v>
      </c>
      <c r="BF15" s="198">
        <f>COUNTIFS(tbl_data[2:T1C],$A15,tbl_data[T1],$F$3)</f>
        <v>0</v>
      </c>
      <c r="BG15" s="198">
        <f>COUNTIFS(tbl_data[3:T1C],$A15,tbl_data[T1],$F$3)</f>
        <v>0</v>
      </c>
      <c r="BH15" s="198">
        <f>COUNTIFS(tbl_data[1:T2C],$A15,tbl_data[T2],$F$3)</f>
        <v>0</v>
      </c>
      <c r="BI15" s="198">
        <f>COUNTIFS(tbl_data[2:T2C],$A15,tbl_data[T2],$F$3)</f>
        <v>0</v>
      </c>
      <c r="BJ15" s="198">
        <f>COUNTIFS(tbl_data[3:T2C],$A15,tbl_data[T2],$F$3)</f>
        <v>0</v>
      </c>
      <c r="BK15" s="198">
        <f>COUNTIFS(tbl_data[1:T3C],$A15,tbl_data[T3],$F$3)</f>
        <v>0</v>
      </c>
      <c r="BL15" s="198">
        <f>COUNTIFS(tbl_data[2:T3C],$A15,tbl_data[T3],$F$3)</f>
        <v>0</v>
      </c>
      <c r="BM15" s="198">
        <f>COUNTIFS(tbl_data[3:T3C],$A15,tbl_data[T3],$F$3)</f>
        <v>0</v>
      </c>
      <c r="BN15" s="198">
        <f t="shared" si="5"/>
        <v>0</v>
      </c>
      <c r="BO15" s="199" t="str">
        <f t="shared" si="13"/>
        <v>Loss of Life (0)</v>
      </c>
      <c r="BQ15" t="str">
        <f t="shared" si="6"/>
        <v>Loss of Life</v>
      </c>
      <c r="BR15">
        <f t="shared" si="7"/>
        <v>1</v>
      </c>
      <c r="BS15" t="s">
        <v>922</v>
      </c>
      <c r="BU15" s="275" t="s">
        <v>922</v>
      </c>
    </row>
    <row r="16" spans="1:74" x14ac:dyDescent="0.25">
      <c r="A16" s="203" t="s">
        <v>229</v>
      </c>
      <c r="B16" s="205">
        <f>COUNTIFS(tbl_data[12. Consultation Group of],$A$2,tbl_data[1:T1C],$A16,tbl_data[T1],$A$3)</f>
        <v>1</v>
      </c>
      <c r="C16" s="198">
        <f>COUNTIFS(tbl_data[12. Consultation Group of],$A$2,tbl_data[2:T1C],$A16,tbl_data[T1],$A$3)</f>
        <v>1</v>
      </c>
      <c r="D16" s="198">
        <f>COUNTIFS(tbl_data[12. Consultation Group of],$A$2,tbl_data[3:T1C],$A16,tbl_data[T1],$A$3)</f>
        <v>0</v>
      </c>
      <c r="E16" s="198">
        <f>COUNTIFS(tbl_data[12. Consultation Group of],$A$2,tbl_data[1:T2C],$A16,tbl_data[T2],$A$3)</f>
        <v>0</v>
      </c>
      <c r="F16" s="198">
        <f>COUNTIFS(tbl_data[12. Consultation Group of],$A$2,tbl_data[2:T2C],$A16,tbl_data[T2],$A$3)</f>
        <v>0</v>
      </c>
      <c r="G16" s="198">
        <f>COUNTIFS(tbl_data[12. Consultation Group of],$A$2,tbl_data[3:T2C],$A16,tbl_data[T2],$A$3)</f>
        <v>1</v>
      </c>
      <c r="H16" s="198">
        <f>COUNTIFS(tbl_data[12. Consultation Group of],$A$2,tbl_data[1:T3C],$A16,tbl_data[T3],$A$3)</f>
        <v>0</v>
      </c>
      <c r="I16" s="198">
        <f>COUNTIFS(tbl_data[12. Consultation Group of],$A$2,tbl_data[2:T3C],$A16,tbl_data[T3],$A$3)</f>
        <v>0</v>
      </c>
      <c r="J16" s="198">
        <f>COUNTIFS(tbl_data[12. Consultation Group of],$A$2,tbl_data[3:T3C],$A16,tbl_data[T3],$A$3)</f>
        <v>0</v>
      </c>
      <c r="K16" s="198">
        <f t="shared" si="0"/>
        <v>3</v>
      </c>
      <c r="L16" s="199" t="str">
        <f t="shared" si="8"/>
        <v>Disease/Health Effects (3)</v>
      </c>
      <c r="M16" s="205">
        <f>COUNTIFS(tbl_data[12. Consultation Group of],$B$2,tbl_data[1:T1C],$A16,tbl_data[T1],$B$3)</f>
        <v>0</v>
      </c>
      <c r="N16" s="198">
        <f>COUNTIFS(tbl_data[12. Consultation Group of],$B$2,tbl_data[2:T1C],$A16,tbl_data[T1],$B$3)</f>
        <v>0</v>
      </c>
      <c r="O16" s="198">
        <f>COUNTIFS(tbl_data[12. Consultation Group of],$B$2,tbl_data[3:T1C],$A16,tbl_data[T1],$B$3)</f>
        <v>0</v>
      </c>
      <c r="P16" s="198">
        <f>COUNTIFS(tbl_data[12. Consultation Group of],$B$2,tbl_data[1:T2C],$A16,tbl_data[T2],$B$3)</f>
        <v>0</v>
      </c>
      <c r="Q16" s="198">
        <f>COUNTIFS(tbl_data[12. Consultation Group of],$B$2,tbl_data[2:T2C],$A16,tbl_data[T2],$B$3)</f>
        <v>0</v>
      </c>
      <c r="R16" s="198">
        <f>COUNTIFS(tbl_data[12. Consultation Group of],$B$2,tbl_data[3:T2C],$A16,tbl_data[T2],$B$3)</f>
        <v>0</v>
      </c>
      <c r="S16" s="198">
        <f>COUNTIFS(tbl_data[12. Consultation Group of],$B$2,tbl_data[1:T3C],$A16,tbl_data[T3],$B$3)</f>
        <v>0</v>
      </c>
      <c r="T16" s="198">
        <f>COUNTIFS(tbl_data[12. Consultation Group of],$B$2,tbl_data[2:T3C],$A16,tbl_data[T3],$B$3)</f>
        <v>0</v>
      </c>
      <c r="U16" s="198">
        <f>COUNTIFS(tbl_data[12. Consultation Group of],$B$2,tbl_data[3:T3C],$A16,tbl_data[T3],$B$3)</f>
        <v>0</v>
      </c>
      <c r="V16" s="198">
        <f t="shared" si="1"/>
        <v>0</v>
      </c>
      <c r="W16" s="199" t="str">
        <f t="shared" si="9"/>
        <v>Disease/Health Effects (0)</v>
      </c>
      <c r="X16" s="205">
        <f>COUNTIFS(tbl_data[12. Consultation Group of],$C$2,tbl_data[1:T1C],$A16,tbl_data[T1],$C$3)</f>
        <v>0</v>
      </c>
      <c r="Y16" s="198">
        <f>COUNTIFS(tbl_data[12. Consultation Group of],$C$2,tbl_data[2:T1C],$A16,tbl_data[T1],$C$3)</f>
        <v>0</v>
      </c>
      <c r="Z16" s="198">
        <f>COUNTIFS(tbl_data[12. Consultation Group of],$C$2,tbl_data[3:T1C],$A16,tbl_data[T1],$C$3)</f>
        <v>0</v>
      </c>
      <c r="AA16" s="198">
        <f>COUNTIFS(tbl_data[12. Consultation Group of],$C$2,tbl_data[1:T2C],$A16,tbl_data[T2],$C$3)</f>
        <v>0</v>
      </c>
      <c r="AB16" s="198">
        <f>COUNTIFS(tbl_data[12. Consultation Group of],$C$2,tbl_data[2:T2C],$A16,tbl_data[T2],$C$3)</f>
        <v>0</v>
      </c>
      <c r="AC16" s="198">
        <f>COUNTIFS(tbl_data[12. Consultation Group of],$C$2,tbl_data[3:T2C],$A16,tbl_data[T2],$C$3)</f>
        <v>0</v>
      </c>
      <c r="AD16" s="198">
        <f>COUNTIFS(tbl_data[12. Consultation Group of],$C$2,tbl_data[1:T3C],$A16,tbl_data[T3],$C$3)</f>
        <v>0</v>
      </c>
      <c r="AE16" s="198">
        <f>COUNTIFS(tbl_data[12. Consultation Group of],$C$2,tbl_data[2:T3C],$A16,tbl_data[T3],$C$3)</f>
        <v>0</v>
      </c>
      <c r="AF16" s="198">
        <f>COUNTIFS(tbl_data[12. Consultation Group of],$C$2,tbl_data[3:T3C],$A16,tbl_data[T3],$C$3)</f>
        <v>0</v>
      </c>
      <c r="AG16" s="198">
        <f t="shared" si="2"/>
        <v>0</v>
      </c>
      <c r="AH16" s="199" t="str">
        <f t="shared" si="10"/>
        <v>Disease/Health Effects (0)</v>
      </c>
      <c r="AI16" s="205">
        <f>COUNTIFS(tbl_data[12. Consultation Group of],$D$2,tbl_data[1:T1C],$A16,tbl_data[T1],$D$3)</f>
        <v>0</v>
      </c>
      <c r="AJ16" s="198">
        <f>COUNTIFS(tbl_data[12. Consultation Group of],$D$2,tbl_data[2:T1C],$A16,tbl_data[T1],$D$3)</f>
        <v>0</v>
      </c>
      <c r="AK16" s="198">
        <f>COUNTIFS(tbl_data[12. Consultation Group of],$D$2,tbl_data[3:T1C],$A16,tbl_data[T1],$D$3)</f>
        <v>0</v>
      </c>
      <c r="AL16" s="198">
        <f>COUNTIFS(tbl_data[12. Consultation Group of],$D$2,tbl_data[1:T2C],$A16,tbl_data[T2],$D$3)</f>
        <v>0</v>
      </c>
      <c r="AM16" s="198">
        <f>COUNTIFS(tbl_data[12. Consultation Group of],$D$2,tbl_data[2:T2C],$A16,tbl_data[T2],$D$3)</f>
        <v>0</v>
      </c>
      <c r="AN16" s="198">
        <f>COUNTIFS(tbl_data[12. Consultation Group of],$D$2,tbl_data[3:T2C],$A16,tbl_data[T2],$D$3)</f>
        <v>0</v>
      </c>
      <c r="AO16" s="198">
        <f>COUNTIFS(tbl_data[12. Consultation Group of],$D$2,tbl_data[1:T3C],$A16,tbl_data[T3],$D$3)</f>
        <v>0</v>
      </c>
      <c r="AP16" s="198">
        <f>COUNTIFS(tbl_data[12. Consultation Group of],$D$2,tbl_data[2:T3C],$A16,tbl_data[T3],$D$3)</f>
        <v>0</v>
      </c>
      <c r="AQ16" s="198">
        <f>COUNTIFS(tbl_data[12. Consultation Group of],$D$2,tbl_data[3:T3C],$A16,tbl_data[T3],$D$3)</f>
        <v>0</v>
      </c>
      <c r="AR16" s="198">
        <f t="shared" si="3"/>
        <v>0</v>
      </c>
      <c r="AS16" s="199" t="str">
        <f t="shared" si="11"/>
        <v>Disease/Health Effects (0)</v>
      </c>
      <c r="AT16" s="205">
        <f>COUNTIFS(tbl_data[12. Consultation Group of],$E$2,tbl_data[1:T1C],$A16,tbl_data[T1],$E$3)</f>
        <v>1</v>
      </c>
      <c r="AU16" s="198">
        <f>COUNTIFS(tbl_data[12. Consultation Group of],$E$2,tbl_data[2:T1C],$A16,tbl_data[T1],$E$3)</f>
        <v>1</v>
      </c>
      <c r="AV16" s="198">
        <f>COUNTIFS(tbl_data[12. Consultation Group of],$E$2,tbl_data[3:T1C],$A16,tbl_data[T1],$E$3)</f>
        <v>0</v>
      </c>
      <c r="AW16" s="198">
        <f>COUNTIFS(tbl_data[12. Consultation Group of],$E$2,tbl_data[1:T2C],$A16,tbl_data[T2],$E$3)</f>
        <v>0</v>
      </c>
      <c r="AX16" s="198">
        <f>COUNTIFS(tbl_data[12. Consultation Group of],$E$2,tbl_data[2:T2C],$A16,tbl_data[T2],$E$3)</f>
        <v>0</v>
      </c>
      <c r="AY16" s="198">
        <f>COUNTIFS(tbl_data[12. Consultation Group of],$E$2,tbl_data[3:T2C],$A16,tbl_data[T2],$E$3)</f>
        <v>0</v>
      </c>
      <c r="AZ16" s="198">
        <f>COUNTIFS(tbl_data[12. Consultation Group of],$E$2,tbl_data[1:T3C],$A16,tbl_data[T3],$E$3)</f>
        <v>0</v>
      </c>
      <c r="BA16" s="198">
        <f>COUNTIFS(tbl_data[12. Consultation Group of],$E$2,tbl_data[2:T3C],$A16,tbl_data[T3],$E$3)</f>
        <v>0</v>
      </c>
      <c r="BB16" s="198">
        <f>COUNTIFS(tbl_data[12. Consultation Group of],$E$2,tbl_data[3:T3C],$A16,tbl_data[T3],$E$3)</f>
        <v>0</v>
      </c>
      <c r="BC16" s="198">
        <f t="shared" si="4"/>
        <v>2</v>
      </c>
      <c r="BD16" s="199" t="str">
        <f t="shared" si="12"/>
        <v>Disease/Health Effects (2)</v>
      </c>
      <c r="BE16" s="205">
        <f>COUNTIFS(tbl_data[1:T1C],$A16,tbl_data[T1],$F$3)</f>
        <v>0</v>
      </c>
      <c r="BF16" s="198">
        <f>COUNTIFS(tbl_data[2:T1C],$A16,tbl_data[T1],$F$3)</f>
        <v>1</v>
      </c>
      <c r="BG16" s="198">
        <f>COUNTIFS(tbl_data[3:T1C],$A16,tbl_data[T1],$F$3)</f>
        <v>0</v>
      </c>
      <c r="BH16" s="198">
        <f>COUNTIFS(tbl_data[1:T2C],$A16,tbl_data[T2],$F$3)</f>
        <v>0</v>
      </c>
      <c r="BI16" s="198">
        <f>COUNTIFS(tbl_data[2:T2C],$A16,tbl_data[T2],$F$3)</f>
        <v>0</v>
      </c>
      <c r="BJ16" s="198">
        <f>COUNTIFS(tbl_data[3:T2C],$A16,tbl_data[T2],$F$3)</f>
        <v>0</v>
      </c>
      <c r="BK16" s="198">
        <f>COUNTIFS(tbl_data[1:T3C],$A16,tbl_data[T3],$F$3)</f>
        <v>0</v>
      </c>
      <c r="BL16" s="198">
        <f>COUNTIFS(tbl_data[2:T3C],$A16,tbl_data[T3],$F$3)</f>
        <v>0</v>
      </c>
      <c r="BM16" s="198">
        <f>COUNTIFS(tbl_data[3:T3C],$A16,tbl_data[T3],$F$3)</f>
        <v>0</v>
      </c>
      <c r="BN16" s="198">
        <f t="shared" si="5"/>
        <v>1</v>
      </c>
      <c r="BO16" s="199" t="str">
        <f t="shared" si="13"/>
        <v>Disease/Health Effects (1)</v>
      </c>
      <c r="BQ16" t="str">
        <f t="shared" si="6"/>
        <v>Disease/Health Effects</v>
      </c>
      <c r="BR16">
        <f t="shared" si="7"/>
        <v>6</v>
      </c>
      <c r="BS16" t="s">
        <v>922</v>
      </c>
      <c r="BU16" s="275" t="s">
        <v>922</v>
      </c>
    </row>
    <row r="17" spans="1:74" x14ac:dyDescent="0.25">
      <c r="A17" s="203" t="s">
        <v>211</v>
      </c>
      <c r="B17" s="205">
        <f>COUNTIFS(tbl_data[12. Consultation Group of],$A$2,tbl_data[1:T1C],$A17,tbl_data[T1],$A$3)</f>
        <v>0</v>
      </c>
      <c r="C17" s="198">
        <f>COUNTIFS(tbl_data[12. Consultation Group of],$A$2,tbl_data[2:T1C],$A17,tbl_data[T1],$A$3)</f>
        <v>0</v>
      </c>
      <c r="D17" s="198">
        <f>COUNTIFS(tbl_data[12. Consultation Group of],$A$2,tbl_data[3:T1C],$A17,tbl_data[T1],$A$3)</f>
        <v>0</v>
      </c>
      <c r="E17" s="198">
        <f>COUNTIFS(tbl_data[12. Consultation Group of],$A$2,tbl_data[1:T2C],$A17,tbl_data[T2],$A$3)</f>
        <v>0</v>
      </c>
      <c r="F17" s="198">
        <f>COUNTIFS(tbl_data[12. Consultation Group of],$A$2,tbl_data[2:T2C],$A17,tbl_data[T2],$A$3)</f>
        <v>0</v>
      </c>
      <c r="G17" s="198">
        <f>COUNTIFS(tbl_data[12. Consultation Group of],$A$2,tbl_data[3:T2C],$A17,tbl_data[T2],$A$3)</f>
        <v>0</v>
      </c>
      <c r="H17" s="198">
        <f>COUNTIFS(tbl_data[12. Consultation Group of],$A$2,tbl_data[1:T3C],$A17,tbl_data[T3],$A$3)</f>
        <v>0</v>
      </c>
      <c r="I17" s="198">
        <f>COUNTIFS(tbl_data[12. Consultation Group of],$A$2,tbl_data[2:T3C],$A17,tbl_data[T3],$A$3)</f>
        <v>0</v>
      </c>
      <c r="J17" s="198">
        <f>COUNTIFS(tbl_data[12. Consultation Group of],$A$2,tbl_data[3:T3C],$A17,tbl_data[T3],$A$3)</f>
        <v>0</v>
      </c>
      <c r="K17" s="198">
        <f t="shared" si="0"/>
        <v>0</v>
      </c>
      <c r="L17" s="199" t="str">
        <f t="shared" si="8"/>
        <v>Psychological Effects (0)</v>
      </c>
      <c r="M17" s="205">
        <f>COUNTIFS(tbl_data[12. Consultation Group of],$B$2,tbl_data[1:T1C],$A17,tbl_data[T1],$B$3)</f>
        <v>0</v>
      </c>
      <c r="N17" s="198">
        <f>COUNTIFS(tbl_data[12. Consultation Group of],$B$2,tbl_data[2:T1C],$A17,tbl_data[T1],$B$3)</f>
        <v>0</v>
      </c>
      <c r="O17" s="198">
        <f>COUNTIFS(tbl_data[12. Consultation Group of],$B$2,tbl_data[3:T1C],$A17,tbl_data[T1],$B$3)</f>
        <v>0</v>
      </c>
      <c r="P17" s="198">
        <f>COUNTIFS(tbl_data[12. Consultation Group of],$B$2,tbl_data[1:T2C],$A17,tbl_data[T2],$B$3)</f>
        <v>0</v>
      </c>
      <c r="Q17" s="198">
        <f>COUNTIFS(tbl_data[12. Consultation Group of],$B$2,tbl_data[2:T2C],$A17,tbl_data[T2],$B$3)</f>
        <v>0</v>
      </c>
      <c r="R17" s="198">
        <f>COUNTIFS(tbl_data[12. Consultation Group of],$B$2,tbl_data[3:T2C],$A17,tbl_data[T2],$B$3)</f>
        <v>0</v>
      </c>
      <c r="S17" s="198">
        <f>COUNTIFS(tbl_data[12. Consultation Group of],$B$2,tbl_data[1:T3C],$A17,tbl_data[T3],$B$3)</f>
        <v>0</v>
      </c>
      <c r="T17" s="198">
        <f>COUNTIFS(tbl_data[12. Consultation Group of],$B$2,tbl_data[2:T3C],$A17,tbl_data[T3],$B$3)</f>
        <v>0</v>
      </c>
      <c r="U17" s="198">
        <f>COUNTIFS(tbl_data[12. Consultation Group of],$B$2,tbl_data[3:T3C],$A17,tbl_data[T3],$B$3)</f>
        <v>0</v>
      </c>
      <c r="V17" s="198">
        <f t="shared" si="1"/>
        <v>0</v>
      </c>
      <c r="W17" s="199" t="str">
        <f t="shared" si="9"/>
        <v>Psychological Effects (0)</v>
      </c>
      <c r="X17" s="205">
        <f>COUNTIFS(tbl_data[12. Consultation Group of],$C$2,tbl_data[1:T1C],$A17,tbl_data[T1],$C$3)</f>
        <v>0</v>
      </c>
      <c r="Y17" s="198">
        <f>COUNTIFS(tbl_data[12. Consultation Group of],$C$2,tbl_data[2:T1C],$A17,tbl_data[T1],$C$3)</f>
        <v>0</v>
      </c>
      <c r="Z17" s="198">
        <f>COUNTIFS(tbl_data[12. Consultation Group of],$C$2,tbl_data[3:T1C],$A17,tbl_data[T1],$C$3)</f>
        <v>0</v>
      </c>
      <c r="AA17" s="198">
        <f>COUNTIFS(tbl_data[12. Consultation Group of],$C$2,tbl_data[1:T2C],$A17,tbl_data[T2],$C$3)</f>
        <v>0</v>
      </c>
      <c r="AB17" s="198">
        <f>COUNTIFS(tbl_data[12. Consultation Group of],$C$2,tbl_data[2:T2C],$A17,tbl_data[T2],$C$3)</f>
        <v>0</v>
      </c>
      <c r="AC17" s="198">
        <f>COUNTIFS(tbl_data[12. Consultation Group of],$C$2,tbl_data[3:T2C],$A17,tbl_data[T2],$C$3)</f>
        <v>0</v>
      </c>
      <c r="AD17" s="198">
        <f>COUNTIFS(tbl_data[12. Consultation Group of],$C$2,tbl_data[1:T3C],$A17,tbl_data[T3],$C$3)</f>
        <v>0</v>
      </c>
      <c r="AE17" s="198">
        <f>COUNTIFS(tbl_data[12. Consultation Group of],$C$2,tbl_data[2:T3C],$A17,tbl_data[T3],$C$3)</f>
        <v>0</v>
      </c>
      <c r="AF17" s="198">
        <f>COUNTIFS(tbl_data[12. Consultation Group of],$C$2,tbl_data[3:T3C],$A17,tbl_data[T3],$C$3)</f>
        <v>0</v>
      </c>
      <c r="AG17" s="198">
        <f t="shared" si="2"/>
        <v>0</v>
      </c>
      <c r="AH17" s="199" t="str">
        <f t="shared" si="10"/>
        <v>Psychological Effects (0)</v>
      </c>
      <c r="AI17" s="205">
        <f>COUNTIFS(tbl_data[12. Consultation Group of],$D$2,tbl_data[1:T1C],$A17,tbl_data[T1],$D$3)</f>
        <v>0</v>
      </c>
      <c r="AJ17" s="198">
        <f>COUNTIFS(tbl_data[12. Consultation Group of],$D$2,tbl_data[2:T1C],$A17,tbl_data[T1],$D$3)</f>
        <v>0</v>
      </c>
      <c r="AK17" s="198">
        <f>COUNTIFS(tbl_data[12. Consultation Group of],$D$2,tbl_data[3:T1C],$A17,tbl_data[T1],$D$3)</f>
        <v>0</v>
      </c>
      <c r="AL17" s="198">
        <f>COUNTIFS(tbl_data[12. Consultation Group of],$D$2,tbl_data[1:T2C],$A17,tbl_data[T2],$D$3)</f>
        <v>0</v>
      </c>
      <c r="AM17" s="198">
        <f>COUNTIFS(tbl_data[12. Consultation Group of],$D$2,tbl_data[2:T2C],$A17,tbl_data[T2],$D$3)</f>
        <v>0</v>
      </c>
      <c r="AN17" s="198">
        <f>COUNTIFS(tbl_data[12. Consultation Group of],$D$2,tbl_data[3:T2C],$A17,tbl_data[T2],$D$3)</f>
        <v>0</v>
      </c>
      <c r="AO17" s="198">
        <f>COUNTIFS(tbl_data[12. Consultation Group of],$D$2,tbl_data[1:T3C],$A17,tbl_data[T3],$D$3)</f>
        <v>0</v>
      </c>
      <c r="AP17" s="198">
        <f>COUNTIFS(tbl_data[12. Consultation Group of],$D$2,tbl_data[2:T3C],$A17,tbl_data[T3],$D$3)</f>
        <v>0</v>
      </c>
      <c r="AQ17" s="198">
        <f>COUNTIFS(tbl_data[12. Consultation Group of],$D$2,tbl_data[3:T3C],$A17,tbl_data[T3],$D$3)</f>
        <v>0</v>
      </c>
      <c r="AR17" s="198">
        <f t="shared" si="3"/>
        <v>0</v>
      </c>
      <c r="AS17" s="199" t="str">
        <f t="shared" si="11"/>
        <v>Psychological Effects (0)</v>
      </c>
      <c r="AT17" s="205">
        <f>COUNTIFS(tbl_data[12. Consultation Group of],$E$2,tbl_data[1:T1C],$A17,tbl_data[T1],$E$3)</f>
        <v>0</v>
      </c>
      <c r="AU17" s="198">
        <f>COUNTIFS(tbl_data[12. Consultation Group of],$E$2,tbl_data[2:T1C],$A17,tbl_data[T1],$E$3)</f>
        <v>0</v>
      </c>
      <c r="AV17" s="198">
        <f>COUNTIFS(tbl_data[12. Consultation Group of],$E$2,tbl_data[3:T1C],$A17,tbl_data[T1],$E$3)</f>
        <v>0</v>
      </c>
      <c r="AW17" s="198">
        <f>COUNTIFS(tbl_data[12. Consultation Group of],$E$2,tbl_data[1:T2C],$A17,tbl_data[T2],$E$3)</f>
        <v>0</v>
      </c>
      <c r="AX17" s="198">
        <f>COUNTIFS(tbl_data[12. Consultation Group of],$E$2,tbl_data[2:T2C],$A17,tbl_data[T2],$E$3)</f>
        <v>0</v>
      </c>
      <c r="AY17" s="198">
        <f>COUNTIFS(tbl_data[12. Consultation Group of],$E$2,tbl_data[3:T2C],$A17,tbl_data[T2],$E$3)</f>
        <v>0</v>
      </c>
      <c r="AZ17" s="198">
        <f>COUNTIFS(tbl_data[12. Consultation Group of],$E$2,tbl_data[1:T3C],$A17,tbl_data[T3],$E$3)</f>
        <v>0</v>
      </c>
      <c r="BA17" s="198">
        <f>COUNTIFS(tbl_data[12. Consultation Group of],$E$2,tbl_data[2:T3C],$A17,tbl_data[T3],$E$3)</f>
        <v>0</v>
      </c>
      <c r="BB17" s="198">
        <f>COUNTIFS(tbl_data[12. Consultation Group of],$E$2,tbl_data[3:T3C],$A17,tbl_data[T3],$E$3)</f>
        <v>0</v>
      </c>
      <c r="BC17" s="198">
        <f t="shared" si="4"/>
        <v>0</v>
      </c>
      <c r="BD17" s="199" t="str">
        <f t="shared" si="12"/>
        <v>Psychological Effects (0)</v>
      </c>
      <c r="BE17" s="205">
        <f>COUNTIFS(tbl_data[1:T1C],$A17,tbl_data[T1],$F$3)</f>
        <v>0</v>
      </c>
      <c r="BF17" s="198">
        <f>COUNTIFS(tbl_data[2:T1C],$A17,tbl_data[T1],$F$3)</f>
        <v>0</v>
      </c>
      <c r="BG17" s="198">
        <f>COUNTIFS(tbl_data[3:T1C],$A17,tbl_data[T1],$F$3)</f>
        <v>0</v>
      </c>
      <c r="BH17" s="198">
        <f>COUNTIFS(tbl_data[1:T2C],$A17,tbl_data[T2],$F$3)</f>
        <v>0</v>
      </c>
      <c r="BI17" s="198">
        <f>COUNTIFS(tbl_data[2:T2C],$A17,tbl_data[T2],$F$3)</f>
        <v>0</v>
      </c>
      <c r="BJ17" s="198">
        <f>COUNTIFS(tbl_data[3:T2C],$A17,tbl_data[T2],$F$3)</f>
        <v>0</v>
      </c>
      <c r="BK17" s="198">
        <f>COUNTIFS(tbl_data[1:T3C],$A17,tbl_data[T3],$F$3)</f>
        <v>0</v>
      </c>
      <c r="BL17" s="198">
        <f>COUNTIFS(tbl_data[2:T3C],$A17,tbl_data[T3],$F$3)</f>
        <v>0</v>
      </c>
      <c r="BM17" s="198">
        <f>COUNTIFS(tbl_data[3:T3C],$A17,tbl_data[T3],$F$3)</f>
        <v>0</v>
      </c>
      <c r="BN17" s="198">
        <f t="shared" si="5"/>
        <v>0</v>
      </c>
      <c r="BO17" s="199" t="str">
        <f t="shared" si="13"/>
        <v>Psychological Effects (0)</v>
      </c>
      <c r="BQ17" t="str">
        <f t="shared" si="6"/>
        <v>Psychological Effects</v>
      </c>
      <c r="BR17">
        <f t="shared" si="7"/>
        <v>0</v>
      </c>
    </row>
    <row r="18" spans="1:74" x14ac:dyDescent="0.25">
      <c r="A18" s="203" t="s">
        <v>253</v>
      </c>
      <c r="B18" s="205">
        <f>COUNTIFS(tbl_data[12. Consultation Group of],$A$2,tbl_data[1:T1C],$A18,tbl_data[T1],$A$3)</f>
        <v>0</v>
      </c>
      <c r="C18" s="198">
        <f>COUNTIFS(tbl_data[12. Consultation Group of],$A$2,tbl_data[2:T1C],$A18,tbl_data[T1],$A$3)</f>
        <v>0</v>
      </c>
      <c r="D18" s="198">
        <f>COUNTIFS(tbl_data[12. Consultation Group of],$A$2,tbl_data[3:T1C],$A18,tbl_data[T1],$A$3)</f>
        <v>0</v>
      </c>
      <c r="E18" s="198">
        <f>COUNTIFS(tbl_data[12. Consultation Group of],$A$2,tbl_data[1:T2C],$A18,tbl_data[T2],$A$3)</f>
        <v>0</v>
      </c>
      <c r="F18" s="198">
        <f>COUNTIFS(tbl_data[12. Consultation Group of],$A$2,tbl_data[2:T2C],$A18,tbl_data[T2],$A$3)</f>
        <v>0</v>
      </c>
      <c r="G18" s="198">
        <f>COUNTIFS(tbl_data[12. Consultation Group of],$A$2,tbl_data[3:T2C],$A18,tbl_data[T2],$A$3)</f>
        <v>0</v>
      </c>
      <c r="H18" s="198">
        <f>COUNTIFS(tbl_data[12. Consultation Group of],$A$2,tbl_data[1:T3C],$A18,tbl_data[T3],$A$3)</f>
        <v>0</v>
      </c>
      <c r="I18" s="198">
        <f>COUNTIFS(tbl_data[12. Consultation Group of],$A$2,tbl_data[2:T3C],$A18,tbl_data[T3],$A$3)</f>
        <v>0</v>
      </c>
      <c r="J18" s="198">
        <f>COUNTIFS(tbl_data[12. Consultation Group of],$A$2,tbl_data[3:T3C],$A18,tbl_data[T3],$A$3)</f>
        <v>0</v>
      </c>
      <c r="K18" s="198">
        <f t="shared" si="0"/>
        <v>0</v>
      </c>
      <c r="L18" s="199" t="str">
        <f t="shared" si="8"/>
        <v>Food Insecurity (0)</v>
      </c>
      <c r="M18" s="205">
        <f>COUNTIFS(tbl_data[12. Consultation Group of],$B$2,tbl_data[1:T1C],$A18,tbl_data[T1],$B$3)</f>
        <v>0</v>
      </c>
      <c r="N18" s="198">
        <f>COUNTIFS(tbl_data[12. Consultation Group of],$B$2,tbl_data[2:T1C],$A18,tbl_data[T1],$B$3)</f>
        <v>0</v>
      </c>
      <c r="O18" s="198">
        <f>COUNTIFS(tbl_data[12. Consultation Group of],$B$2,tbl_data[3:T1C],$A18,tbl_data[T1],$B$3)</f>
        <v>0</v>
      </c>
      <c r="P18" s="198">
        <f>COUNTIFS(tbl_data[12. Consultation Group of],$B$2,tbl_data[1:T2C],$A18,tbl_data[T2],$B$3)</f>
        <v>0</v>
      </c>
      <c r="Q18" s="198">
        <f>COUNTIFS(tbl_data[12. Consultation Group of],$B$2,tbl_data[2:T2C],$A18,tbl_data[T2],$B$3)</f>
        <v>0</v>
      </c>
      <c r="R18" s="198">
        <f>COUNTIFS(tbl_data[12. Consultation Group of],$B$2,tbl_data[3:T2C],$A18,tbl_data[T2],$B$3)</f>
        <v>0</v>
      </c>
      <c r="S18" s="198">
        <f>COUNTIFS(tbl_data[12. Consultation Group of],$B$2,tbl_data[1:T3C],$A18,tbl_data[T3],$B$3)</f>
        <v>0</v>
      </c>
      <c r="T18" s="198">
        <f>COUNTIFS(tbl_data[12. Consultation Group of],$B$2,tbl_data[2:T3C],$A18,tbl_data[T3],$B$3)</f>
        <v>0</v>
      </c>
      <c r="U18" s="198">
        <f>COUNTIFS(tbl_data[12. Consultation Group of],$B$2,tbl_data[3:T3C],$A18,tbl_data[T3],$B$3)</f>
        <v>0</v>
      </c>
      <c r="V18" s="198">
        <f t="shared" si="1"/>
        <v>0</v>
      </c>
      <c r="W18" s="199" t="str">
        <f t="shared" si="9"/>
        <v>Food Insecurity (0)</v>
      </c>
      <c r="X18" s="205">
        <f>COUNTIFS(tbl_data[12. Consultation Group of],$C$2,tbl_data[1:T1C],$A18,tbl_data[T1],$C$3)</f>
        <v>0</v>
      </c>
      <c r="Y18" s="198">
        <f>COUNTIFS(tbl_data[12. Consultation Group of],$C$2,tbl_data[2:T1C],$A18,tbl_data[T1],$C$3)</f>
        <v>0</v>
      </c>
      <c r="Z18" s="198">
        <f>COUNTIFS(tbl_data[12. Consultation Group of],$C$2,tbl_data[3:T1C],$A18,tbl_data[T1],$C$3)</f>
        <v>0</v>
      </c>
      <c r="AA18" s="198">
        <f>COUNTIFS(tbl_data[12. Consultation Group of],$C$2,tbl_data[1:T2C],$A18,tbl_data[T2],$C$3)</f>
        <v>0</v>
      </c>
      <c r="AB18" s="198">
        <f>COUNTIFS(tbl_data[12. Consultation Group of],$C$2,tbl_data[2:T2C],$A18,tbl_data[T2],$C$3)</f>
        <v>0</v>
      </c>
      <c r="AC18" s="198">
        <f>COUNTIFS(tbl_data[12. Consultation Group of],$C$2,tbl_data[3:T2C],$A18,tbl_data[T2],$C$3)</f>
        <v>0</v>
      </c>
      <c r="AD18" s="198">
        <f>COUNTIFS(tbl_data[12. Consultation Group of],$C$2,tbl_data[1:T3C],$A18,tbl_data[T3],$C$3)</f>
        <v>0</v>
      </c>
      <c r="AE18" s="198">
        <f>COUNTIFS(tbl_data[12. Consultation Group of],$C$2,tbl_data[2:T3C],$A18,tbl_data[T3],$C$3)</f>
        <v>0</v>
      </c>
      <c r="AF18" s="198">
        <f>COUNTIFS(tbl_data[12. Consultation Group of],$C$2,tbl_data[3:T3C],$A18,tbl_data[T3],$C$3)</f>
        <v>0</v>
      </c>
      <c r="AG18" s="198">
        <f t="shared" si="2"/>
        <v>0</v>
      </c>
      <c r="AH18" s="199" t="str">
        <f t="shared" si="10"/>
        <v>Food Insecurity (0)</v>
      </c>
      <c r="AI18" s="205">
        <f>COUNTIFS(tbl_data[12. Consultation Group of],$D$2,tbl_data[1:T1C],$A18,tbl_data[T1],$D$3)</f>
        <v>1</v>
      </c>
      <c r="AJ18" s="198">
        <f>COUNTIFS(tbl_data[12. Consultation Group of],$D$2,tbl_data[2:T1C],$A18,tbl_data[T1],$D$3)</f>
        <v>0</v>
      </c>
      <c r="AK18" s="198">
        <f>COUNTIFS(tbl_data[12. Consultation Group of],$D$2,tbl_data[3:T1C],$A18,tbl_data[T1],$D$3)</f>
        <v>0</v>
      </c>
      <c r="AL18" s="198">
        <f>COUNTIFS(tbl_data[12. Consultation Group of],$D$2,tbl_data[1:T2C],$A18,tbl_data[T2],$D$3)</f>
        <v>0</v>
      </c>
      <c r="AM18" s="198">
        <f>COUNTIFS(tbl_data[12. Consultation Group of],$D$2,tbl_data[2:T2C],$A18,tbl_data[T2],$D$3)</f>
        <v>0</v>
      </c>
      <c r="AN18" s="198">
        <f>COUNTIFS(tbl_data[12. Consultation Group of],$D$2,tbl_data[3:T2C],$A18,tbl_data[T2],$D$3)</f>
        <v>0</v>
      </c>
      <c r="AO18" s="198">
        <f>COUNTIFS(tbl_data[12. Consultation Group of],$D$2,tbl_data[1:T3C],$A18,tbl_data[T3],$D$3)</f>
        <v>0</v>
      </c>
      <c r="AP18" s="198">
        <f>COUNTIFS(tbl_data[12. Consultation Group of],$D$2,tbl_data[2:T3C],$A18,tbl_data[T3],$D$3)</f>
        <v>0</v>
      </c>
      <c r="AQ18" s="198">
        <f>COUNTIFS(tbl_data[12. Consultation Group of],$D$2,tbl_data[3:T3C],$A18,tbl_data[T3],$D$3)</f>
        <v>0</v>
      </c>
      <c r="AR18" s="198">
        <f t="shared" si="3"/>
        <v>1</v>
      </c>
      <c r="AS18" s="199" t="str">
        <f t="shared" si="11"/>
        <v>Food Insecurity (1)</v>
      </c>
      <c r="AT18" s="205">
        <f>COUNTIFS(tbl_data[12. Consultation Group of],$E$2,tbl_data[1:T1C],$A18,tbl_data[T1],$E$3)</f>
        <v>0</v>
      </c>
      <c r="AU18" s="198">
        <f>COUNTIFS(tbl_data[12. Consultation Group of],$E$2,tbl_data[2:T1C],$A18,tbl_data[T1],$E$3)</f>
        <v>0</v>
      </c>
      <c r="AV18" s="198">
        <f>COUNTIFS(tbl_data[12. Consultation Group of],$E$2,tbl_data[3:T1C],$A18,tbl_data[T1],$E$3)</f>
        <v>0</v>
      </c>
      <c r="AW18" s="198">
        <f>COUNTIFS(tbl_data[12. Consultation Group of],$E$2,tbl_data[1:T2C],$A18,tbl_data[T2],$E$3)</f>
        <v>0</v>
      </c>
      <c r="AX18" s="198">
        <f>COUNTIFS(tbl_data[12. Consultation Group of],$E$2,tbl_data[2:T2C],$A18,tbl_data[T2],$E$3)</f>
        <v>0</v>
      </c>
      <c r="AY18" s="198">
        <f>COUNTIFS(tbl_data[12. Consultation Group of],$E$2,tbl_data[3:T2C],$A18,tbl_data[T2],$E$3)</f>
        <v>0</v>
      </c>
      <c r="AZ18" s="198">
        <f>COUNTIFS(tbl_data[12. Consultation Group of],$E$2,tbl_data[1:T3C],$A18,tbl_data[T3],$E$3)</f>
        <v>0</v>
      </c>
      <c r="BA18" s="198">
        <f>COUNTIFS(tbl_data[12. Consultation Group of],$E$2,tbl_data[2:T3C],$A18,tbl_data[T3],$E$3)</f>
        <v>0</v>
      </c>
      <c r="BB18" s="198">
        <f>COUNTIFS(tbl_data[12. Consultation Group of],$E$2,tbl_data[3:T3C],$A18,tbl_data[T3],$E$3)</f>
        <v>0</v>
      </c>
      <c r="BC18" s="198">
        <f t="shared" si="4"/>
        <v>0</v>
      </c>
      <c r="BD18" s="199" t="str">
        <f t="shared" si="12"/>
        <v>Food Insecurity (0)</v>
      </c>
      <c r="BE18" s="205">
        <f>COUNTIFS(tbl_data[1:T1C],$A18,tbl_data[T1],$F$3)</f>
        <v>1</v>
      </c>
      <c r="BF18" s="198">
        <f>COUNTIFS(tbl_data[2:T1C],$A18,tbl_data[T1],$F$3)</f>
        <v>0</v>
      </c>
      <c r="BG18" s="198">
        <f>COUNTIFS(tbl_data[3:T1C],$A18,tbl_data[T1],$F$3)</f>
        <v>0</v>
      </c>
      <c r="BH18" s="198">
        <f>COUNTIFS(tbl_data[1:T2C],$A18,tbl_data[T2],$F$3)</f>
        <v>0</v>
      </c>
      <c r="BI18" s="198">
        <f>COUNTIFS(tbl_data[2:T2C],$A18,tbl_data[T2],$F$3)</f>
        <v>0</v>
      </c>
      <c r="BJ18" s="198">
        <f>COUNTIFS(tbl_data[3:T2C],$A18,tbl_data[T2],$F$3)</f>
        <v>0</v>
      </c>
      <c r="BK18" s="198">
        <f>COUNTIFS(tbl_data[1:T3C],$A18,tbl_data[T3],$F$3)</f>
        <v>0</v>
      </c>
      <c r="BL18" s="198">
        <f>COUNTIFS(tbl_data[2:T3C],$A18,tbl_data[T3],$F$3)</f>
        <v>0</v>
      </c>
      <c r="BM18" s="198">
        <f>COUNTIFS(tbl_data[3:T3C],$A18,tbl_data[T3],$F$3)</f>
        <v>0</v>
      </c>
      <c r="BN18" s="198">
        <f t="shared" si="5"/>
        <v>1</v>
      </c>
      <c r="BO18" s="199" t="str">
        <f t="shared" si="13"/>
        <v>Food Insecurity (1)</v>
      </c>
      <c r="BQ18" t="str">
        <f t="shared" si="6"/>
        <v>Food Insecurity</v>
      </c>
      <c r="BR18">
        <f t="shared" si="7"/>
        <v>2</v>
      </c>
      <c r="BS18" t="s">
        <v>922</v>
      </c>
      <c r="BU18" s="275" t="s">
        <v>922</v>
      </c>
    </row>
    <row r="19" spans="1:74" x14ac:dyDescent="0.25">
      <c r="A19" s="203" t="s">
        <v>254</v>
      </c>
      <c r="B19" s="205">
        <f>COUNTIFS(tbl_data[12. Consultation Group of],$A$2,tbl_data[1:T1C],$A19,tbl_data[T1],$A$3)</f>
        <v>0</v>
      </c>
      <c r="C19" s="198">
        <f>COUNTIFS(tbl_data[12. Consultation Group of],$A$2,tbl_data[2:T1C],$A19,tbl_data[T1],$A$3)</f>
        <v>0</v>
      </c>
      <c r="D19" s="198">
        <f>COUNTIFS(tbl_data[12. Consultation Group of],$A$2,tbl_data[3:T1C],$A19,tbl_data[T1],$A$3)</f>
        <v>0</v>
      </c>
      <c r="E19" s="198">
        <f>COUNTIFS(tbl_data[12. Consultation Group of],$A$2,tbl_data[1:T2C],$A19,tbl_data[T2],$A$3)</f>
        <v>0</v>
      </c>
      <c r="F19" s="198">
        <f>COUNTIFS(tbl_data[12. Consultation Group of],$A$2,tbl_data[2:T2C],$A19,tbl_data[T2],$A$3)</f>
        <v>0</v>
      </c>
      <c r="G19" s="198">
        <f>COUNTIFS(tbl_data[12. Consultation Group of],$A$2,tbl_data[3:T2C],$A19,tbl_data[T2],$A$3)</f>
        <v>0</v>
      </c>
      <c r="H19" s="198">
        <f>COUNTIFS(tbl_data[12. Consultation Group of],$A$2,tbl_data[1:T3C],$A19,tbl_data[T3],$A$3)</f>
        <v>0</v>
      </c>
      <c r="I19" s="198">
        <f>COUNTIFS(tbl_data[12. Consultation Group of],$A$2,tbl_data[2:T3C],$A19,tbl_data[T3],$A$3)</f>
        <v>0</v>
      </c>
      <c r="J19" s="198">
        <f>COUNTIFS(tbl_data[12. Consultation Group of],$A$2,tbl_data[3:T3C],$A19,tbl_data[T3],$A$3)</f>
        <v>0</v>
      </c>
      <c r="K19" s="198">
        <f t="shared" si="0"/>
        <v>0</v>
      </c>
      <c r="L19" s="199" t="str">
        <f t="shared" si="8"/>
        <v>Hunger (0)</v>
      </c>
      <c r="M19" s="205">
        <f>COUNTIFS(tbl_data[12. Consultation Group of],$B$2,tbl_data[1:T1C],$A19,tbl_data[T1],$B$3)</f>
        <v>0</v>
      </c>
      <c r="N19" s="198">
        <f>COUNTIFS(tbl_data[12. Consultation Group of],$B$2,tbl_data[2:T1C],$A19,tbl_data[T1],$B$3)</f>
        <v>0</v>
      </c>
      <c r="O19" s="198">
        <f>COUNTIFS(tbl_data[12. Consultation Group of],$B$2,tbl_data[3:T1C],$A19,tbl_data[T1],$B$3)</f>
        <v>0</v>
      </c>
      <c r="P19" s="198">
        <f>COUNTIFS(tbl_data[12. Consultation Group of],$B$2,tbl_data[1:T2C],$A19,tbl_data[T2],$B$3)</f>
        <v>0</v>
      </c>
      <c r="Q19" s="198">
        <f>COUNTIFS(tbl_data[12. Consultation Group of],$B$2,tbl_data[2:T2C],$A19,tbl_data[T2],$B$3)</f>
        <v>0</v>
      </c>
      <c r="R19" s="198">
        <f>COUNTIFS(tbl_data[12. Consultation Group of],$B$2,tbl_data[3:T2C],$A19,tbl_data[T2],$B$3)</f>
        <v>0</v>
      </c>
      <c r="S19" s="198">
        <f>COUNTIFS(tbl_data[12. Consultation Group of],$B$2,tbl_data[1:T3C],$A19,tbl_data[T3],$B$3)</f>
        <v>0</v>
      </c>
      <c r="T19" s="198">
        <f>COUNTIFS(tbl_data[12. Consultation Group of],$B$2,tbl_data[2:T3C],$A19,tbl_data[T3],$B$3)</f>
        <v>0</v>
      </c>
      <c r="U19" s="198">
        <f>COUNTIFS(tbl_data[12. Consultation Group of],$B$2,tbl_data[3:T3C],$A19,tbl_data[T3],$B$3)</f>
        <v>0</v>
      </c>
      <c r="V19" s="198">
        <f t="shared" si="1"/>
        <v>0</v>
      </c>
      <c r="W19" s="199" t="str">
        <f t="shared" si="9"/>
        <v>Hunger (0)</v>
      </c>
      <c r="X19" s="205">
        <f>COUNTIFS(tbl_data[12. Consultation Group of],$C$2,tbl_data[1:T1C],$A19,tbl_data[T1],$C$3)</f>
        <v>0</v>
      </c>
      <c r="Y19" s="198">
        <f>COUNTIFS(tbl_data[12. Consultation Group of],$C$2,tbl_data[2:T1C],$A19,tbl_data[T1],$C$3)</f>
        <v>0</v>
      </c>
      <c r="Z19" s="198">
        <f>COUNTIFS(tbl_data[12. Consultation Group of],$C$2,tbl_data[3:T1C],$A19,tbl_data[T1],$C$3)</f>
        <v>0</v>
      </c>
      <c r="AA19" s="198">
        <f>COUNTIFS(tbl_data[12. Consultation Group of],$C$2,tbl_data[1:T2C],$A19,tbl_data[T2],$C$3)</f>
        <v>0</v>
      </c>
      <c r="AB19" s="198">
        <f>COUNTIFS(tbl_data[12. Consultation Group of],$C$2,tbl_data[2:T2C],$A19,tbl_data[T2],$C$3)</f>
        <v>0</v>
      </c>
      <c r="AC19" s="198">
        <f>COUNTIFS(tbl_data[12. Consultation Group of],$C$2,tbl_data[3:T2C],$A19,tbl_data[T2],$C$3)</f>
        <v>0</v>
      </c>
      <c r="AD19" s="198">
        <f>COUNTIFS(tbl_data[12. Consultation Group of],$C$2,tbl_data[1:T3C],$A19,tbl_data[T3],$C$3)</f>
        <v>0</v>
      </c>
      <c r="AE19" s="198">
        <f>COUNTIFS(tbl_data[12. Consultation Group of],$C$2,tbl_data[2:T3C],$A19,tbl_data[T3],$C$3)</f>
        <v>0</v>
      </c>
      <c r="AF19" s="198">
        <f>COUNTIFS(tbl_data[12. Consultation Group of],$C$2,tbl_data[3:T3C],$A19,tbl_data[T3],$C$3)</f>
        <v>0</v>
      </c>
      <c r="AG19" s="198">
        <f t="shared" si="2"/>
        <v>0</v>
      </c>
      <c r="AH19" s="199" t="str">
        <f t="shared" si="10"/>
        <v>Hunger (0)</v>
      </c>
      <c r="AI19" s="205">
        <f>COUNTIFS(tbl_data[12. Consultation Group of],$D$2,tbl_data[1:T1C],$A19,tbl_data[T1],$D$3)</f>
        <v>0</v>
      </c>
      <c r="AJ19" s="198">
        <f>COUNTIFS(tbl_data[12. Consultation Group of],$D$2,tbl_data[2:T1C],$A19,tbl_data[T1],$D$3)</f>
        <v>0</v>
      </c>
      <c r="AK19" s="198">
        <f>COUNTIFS(tbl_data[12. Consultation Group of],$D$2,tbl_data[3:T1C],$A19,tbl_data[T1],$D$3)</f>
        <v>0</v>
      </c>
      <c r="AL19" s="198">
        <f>COUNTIFS(tbl_data[12. Consultation Group of],$D$2,tbl_data[1:T2C],$A19,tbl_data[T2],$D$3)</f>
        <v>0</v>
      </c>
      <c r="AM19" s="198">
        <f>COUNTIFS(tbl_data[12. Consultation Group of],$D$2,tbl_data[2:T2C],$A19,tbl_data[T2],$D$3)</f>
        <v>0</v>
      </c>
      <c r="AN19" s="198">
        <f>COUNTIFS(tbl_data[12. Consultation Group of],$D$2,tbl_data[3:T2C],$A19,tbl_data[T2],$D$3)</f>
        <v>0</v>
      </c>
      <c r="AO19" s="198">
        <f>COUNTIFS(tbl_data[12. Consultation Group of],$D$2,tbl_data[1:T3C],$A19,tbl_data[T3],$D$3)</f>
        <v>0</v>
      </c>
      <c r="AP19" s="198">
        <f>COUNTIFS(tbl_data[12. Consultation Group of],$D$2,tbl_data[2:T3C],$A19,tbl_data[T3],$D$3)</f>
        <v>0</v>
      </c>
      <c r="AQ19" s="198">
        <f>COUNTIFS(tbl_data[12. Consultation Group of],$D$2,tbl_data[3:T3C],$A19,tbl_data[T3],$D$3)</f>
        <v>0</v>
      </c>
      <c r="AR19" s="198">
        <f t="shared" si="3"/>
        <v>0</v>
      </c>
      <c r="AS19" s="199" t="str">
        <f t="shared" si="11"/>
        <v>Hunger (0)</v>
      </c>
      <c r="AT19" s="205">
        <f>COUNTIFS(tbl_data[12. Consultation Group of],$E$2,tbl_data[1:T1C],$A19,tbl_data[T1],$E$3)</f>
        <v>0</v>
      </c>
      <c r="AU19" s="198">
        <f>COUNTIFS(tbl_data[12. Consultation Group of],$E$2,tbl_data[2:T1C],$A19,tbl_data[T1],$E$3)</f>
        <v>0</v>
      </c>
      <c r="AV19" s="198">
        <f>COUNTIFS(tbl_data[12. Consultation Group of],$E$2,tbl_data[3:T1C],$A19,tbl_data[T1],$E$3)</f>
        <v>0</v>
      </c>
      <c r="AW19" s="198">
        <f>COUNTIFS(tbl_data[12. Consultation Group of],$E$2,tbl_data[1:T2C],$A19,tbl_data[T2],$E$3)</f>
        <v>0</v>
      </c>
      <c r="AX19" s="198">
        <f>COUNTIFS(tbl_data[12. Consultation Group of],$E$2,tbl_data[2:T2C],$A19,tbl_data[T2],$E$3)</f>
        <v>0</v>
      </c>
      <c r="AY19" s="198">
        <f>COUNTIFS(tbl_data[12. Consultation Group of],$E$2,tbl_data[3:T2C],$A19,tbl_data[T2],$E$3)</f>
        <v>0</v>
      </c>
      <c r="AZ19" s="198">
        <f>COUNTIFS(tbl_data[12. Consultation Group of],$E$2,tbl_data[1:T3C],$A19,tbl_data[T3],$E$3)</f>
        <v>0</v>
      </c>
      <c r="BA19" s="198">
        <f>COUNTIFS(tbl_data[12. Consultation Group of],$E$2,tbl_data[2:T3C],$A19,tbl_data[T3],$E$3)</f>
        <v>0</v>
      </c>
      <c r="BB19" s="198">
        <f>COUNTIFS(tbl_data[12. Consultation Group of],$E$2,tbl_data[3:T3C],$A19,tbl_data[T3],$E$3)</f>
        <v>0</v>
      </c>
      <c r="BC19" s="198">
        <f t="shared" si="4"/>
        <v>0</v>
      </c>
      <c r="BD19" s="199" t="str">
        <f t="shared" si="12"/>
        <v>Hunger (0)</v>
      </c>
      <c r="BE19" s="205">
        <f>COUNTIFS(tbl_data[1:T1C],$A19,tbl_data[T1],$F$3)</f>
        <v>0</v>
      </c>
      <c r="BF19" s="198">
        <f>COUNTIFS(tbl_data[2:T1C],$A19,tbl_data[T1],$F$3)</f>
        <v>0</v>
      </c>
      <c r="BG19" s="198">
        <f>COUNTIFS(tbl_data[3:T1C],$A19,tbl_data[T1],$F$3)</f>
        <v>0</v>
      </c>
      <c r="BH19" s="198">
        <f>COUNTIFS(tbl_data[1:T2C],$A19,tbl_data[T2],$F$3)</f>
        <v>0</v>
      </c>
      <c r="BI19" s="198">
        <f>COUNTIFS(tbl_data[2:T2C],$A19,tbl_data[T2],$F$3)</f>
        <v>0</v>
      </c>
      <c r="BJ19" s="198">
        <f>COUNTIFS(tbl_data[3:T2C],$A19,tbl_data[T2],$F$3)</f>
        <v>0</v>
      </c>
      <c r="BK19" s="198">
        <f>COUNTIFS(tbl_data[1:T3C],$A19,tbl_data[T3],$F$3)</f>
        <v>0</v>
      </c>
      <c r="BL19" s="198">
        <f>COUNTIFS(tbl_data[2:T3C],$A19,tbl_data[T3],$F$3)</f>
        <v>0</v>
      </c>
      <c r="BM19" s="198">
        <f>COUNTIFS(tbl_data[3:T3C],$A19,tbl_data[T3],$F$3)</f>
        <v>0</v>
      </c>
      <c r="BN19" s="198">
        <f t="shared" si="5"/>
        <v>0</v>
      </c>
      <c r="BO19" s="199" t="str">
        <f t="shared" si="13"/>
        <v>Hunger (0)</v>
      </c>
      <c r="BQ19" t="str">
        <f t="shared" si="6"/>
        <v>Hunger</v>
      </c>
      <c r="BR19">
        <f t="shared" si="7"/>
        <v>0</v>
      </c>
    </row>
    <row r="20" spans="1:74" x14ac:dyDescent="0.25">
      <c r="A20" s="203" t="s">
        <v>275</v>
      </c>
      <c r="B20" s="205">
        <f>COUNTIFS(tbl_data[12. Consultation Group of],$A$2,tbl_data[1:T1C],$A20,tbl_data[T1],$A$3)</f>
        <v>0</v>
      </c>
      <c r="C20" s="198">
        <f>COUNTIFS(tbl_data[12. Consultation Group of],$A$2,tbl_data[2:T1C],$A20,tbl_data[T1],$A$3)</f>
        <v>0</v>
      </c>
      <c r="D20" s="198">
        <f>COUNTIFS(tbl_data[12. Consultation Group of],$A$2,tbl_data[3:T1C],$A20,tbl_data[T1],$A$3)</f>
        <v>0</v>
      </c>
      <c r="E20" s="198">
        <f>COUNTIFS(tbl_data[12. Consultation Group of],$A$2,tbl_data[1:T2C],$A20,tbl_data[T2],$A$3)</f>
        <v>0</v>
      </c>
      <c r="F20" s="198">
        <f>COUNTIFS(tbl_data[12. Consultation Group of],$A$2,tbl_data[2:T2C],$A20,tbl_data[T2],$A$3)</f>
        <v>0</v>
      </c>
      <c r="G20" s="198">
        <f>COUNTIFS(tbl_data[12. Consultation Group of],$A$2,tbl_data[3:T2C],$A20,tbl_data[T2],$A$3)</f>
        <v>0</v>
      </c>
      <c r="H20" s="198">
        <f>COUNTIFS(tbl_data[12. Consultation Group of],$A$2,tbl_data[1:T3C],$A20,tbl_data[T3],$A$3)</f>
        <v>0</v>
      </c>
      <c r="I20" s="198">
        <f>COUNTIFS(tbl_data[12. Consultation Group of],$A$2,tbl_data[2:T3C],$A20,tbl_data[T3],$A$3)</f>
        <v>0</v>
      </c>
      <c r="J20" s="198">
        <f>COUNTIFS(tbl_data[12. Consultation Group of],$A$2,tbl_data[3:T3C],$A20,tbl_data[T3],$A$3)</f>
        <v>0</v>
      </c>
      <c r="K20" s="198">
        <f t="shared" si="0"/>
        <v>0</v>
      </c>
      <c r="L20" s="199" t="str">
        <f t="shared" si="8"/>
        <v>Loss of Assets (0)</v>
      </c>
      <c r="M20" s="205">
        <f>COUNTIFS(tbl_data[12. Consultation Group of],$B$2,tbl_data[1:T1C],$A20,tbl_data[T1],$B$3)</f>
        <v>0</v>
      </c>
      <c r="N20" s="198">
        <f>COUNTIFS(tbl_data[12. Consultation Group of],$B$2,tbl_data[2:T1C],$A20,tbl_data[T1],$B$3)</f>
        <v>0</v>
      </c>
      <c r="O20" s="198">
        <f>COUNTIFS(tbl_data[12. Consultation Group of],$B$2,tbl_data[3:T1C],$A20,tbl_data[T1],$B$3)</f>
        <v>0</v>
      </c>
      <c r="P20" s="198">
        <f>COUNTIFS(tbl_data[12. Consultation Group of],$B$2,tbl_data[1:T2C],$A20,tbl_data[T2],$B$3)</f>
        <v>0</v>
      </c>
      <c r="Q20" s="198">
        <f>COUNTIFS(tbl_data[12. Consultation Group of],$B$2,tbl_data[2:T2C],$A20,tbl_data[T2],$B$3)</f>
        <v>0</v>
      </c>
      <c r="R20" s="198">
        <f>COUNTIFS(tbl_data[12. Consultation Group of],$B$2,tbl_data[3:T2C],$A20,tbl_data[T2],$B$3)</f>
        <v>0</v>
      </c>
      <c r="S20" s="198">
        <f>COUNTIFS(tbl_data[12. Consultation Group of],$B$2,tbl_data[1:T3C],$A20,tbl_data[T3],$B$3)</f>
        <v>0</v>
      </c>
      <c r="T20" s="198">
        <f>COUNTIFS(tbl_data[12. Consultation Group of],$B$2,tbl_data[2:T3C],$A20,tbl_data[T3],$B$3)</f>
        <v>0</v>
      </c>
      <c r="U20" s="198">
        <f>COUNTIFS(tbl_data[12. Consultation Group of],$B$2,tbl_data[3:T3C],$A20,tbl_data[T3],$B$3)</f>
        <v>0</v>
      </c>
      <c r="V20" s="198">
        <f t="shared" si="1"/>
        <v>0</v>
      </c>
      <c r="W20" s="199" t="str">
        <f t="shared" si="9"/>
        <v>Loss of Assets (0)</v>
      </c>
      <c r="X20" s="205">
        <f>COUNTIFS(tbl_data[12. Consultation Group of],$C$2,tbl_data[1:T1C],$A20,tbl_data[T1],$C$3)</f>
        <v>0</v>
      </c>
      <c r="Y20" s="198">
        <f>COUNTIFS(tbl_data[12. Consultation Group of],$C$2,tbl_data[2:T1C],$A20,tbl_data[T1],$C$3)</f>
        <v>0</v>
      </c>
      <c r="Z20" s="198">
        <f>COUNTIFS(tbl_data[12. Consultation Group of],$C$2,tbl_data[3:T1C],$A20,tbl_data[T1],$C$3)</f>
        <v>0</v>
      </c>
      <c r="AA20" s="198">
        <f>COUNTIFS(tbl_data[12. Consultation Group of],$C$2,tbl_data[1:T2C],$A20,tbl_data[T2],$C$3)</f>
        <v>0</v>
      </c>
      <c r="AB20" s="198">
        <f>COUNTIFS(tbl_data[12. Consultation Group of],$C$2,tbl_data[2:T2C],$A20,tbl_data[T2],$C$3)</f>
        <v>0</v>
      </c>
      <c r="AC20" s="198">
        <f>COUNTIFS(tbl_data[12. Consultation Group of],$C$2,tbl_data[3:T2C],$A20,tbl_data[T2],$C$3)</f>
        <v>0</v>
      </c>
      <c r="AD20" s="198">
        <f>COUNTIFS(tbl_data[12. Consultation Group of],$C$2,tbl_data[1:T3C],$A20,tbl_data[T3],$C$3)</f>
        <v>0</v>
      </c>
      <c r="AE20" s="198">
        <f>COUNTIFS(tbl_data[12. Consultation Group of],$C$2,tbl_data[2:T3C],$A20,tbl_data[T3],$C$3)</f>
        <v>0</v>
      </c>
      <c r="AF20" s="198">
        <f>COUNTIFS(tbl_data[12. Consultation Group of],$C$2,tbl_data[3:T3C],$A20,tbl_data[T3],$C$3)</f>
        <v>0</v>
      </c>
      <c r="AG20" s="198">
        <f t="shared" si="2"/>
        <v>0</v>
      </c>
      <c r="AH20" s="199" t="str">
        <f t="shared" si="10"/>
        <v>Loss of Assets (0)</v>
      </c>
      <c r="AI20" s="205">
        <f>COUNTIFS(tbl_data[12. Consultation Group of],$D$2,tbl_data[1:T1C],$A20,tbl_data[T1],$D$3)</f>
        <v>0</v>
      </c>
      <c r="AJ20" s="198">
        <f>COUNTIFS(tbl_data[12. Consultation Group of],$D$2,tbl_data[2:T1C],$A20,tbl_data[T1],$D$3)</f>
        <v>0</v>
      </c>
      <c r="AK20" s="198">
        <f>COUNTIFS(tbl_data[12. Consultation Group of],$D$2,tbl_data[3:T1C],$A20,tbl_data[T1],$D$3)</f>
        <v>0</v>
      </c>
      <c r="AL20" s="198">
        <f>COUNTIFS(tbl_data[12. Consultation Group of],$D$2,tbl_data[1:T2C],$A20,tbl_data[T2],$D$3)</f>
        <v>0</v>
      </c>
      <c r="AM20" s="198">
        <f>COUNTIFS(tbl_data[12. Consultation Group of],$D$2,tbl_data[2:T2C],$A20,tbl_data[T2],$D$3)</f>
        <v>0</v>
      </c>
      <c r="AN20" s="198">
        <f>COUNTIFS(tbl_data[12. Consultation Group of],$D$2,tbl_data[3:T2C],$A20,tbl_data[T2],$D$3)</f>
        <v>0</v>
      </c>
      <c r="AO20" s="198">
        <f>COUNTIFS(tbl_data[12. Consultation Group of],$D$2,tbl_data[1:T3C],$A20,tbl_data[T3],$D$3)</f>
        <v>0</v>
      </c>
      <c r="AP20" s="198">
        <f>COUNTIFS(tbl_data[12. Consultation Group of],$D$2,tbl_data[2:T3C],$A20,tbl_data[T3],$D$3)</f>
        <v>0</v>
      </c>
      <c r="AQ20" s="198">
        <f>COUNTIFS(tbl_data[12. Consultation Group of],$D$2,tbl_data[3:T3C],$A20,tbl_data[T3],$D$3)</f>
        <v>0</v>
      </c>
      <c r="AR20" s="198">
        <f t="shared" si="3"/>
        <v>0</v>
      </c>
      <c r="AS20" s="199" t="str">
        <f t="shared" si="11"/>
        <v>Loss of Assets (0)</v>
      </c>
      <c r="AT20" s="205">
        <f>COUNTIFS(tbl_data[12. Consultation Group of],$E$2,tbl_data[1:T1C],$A20,tbl_data[T1],$E$3)</f>
        <v>0</v>
      </c>
      <c r="AU20" s="198">
        <f>COUNTIFS(tbl_data[12. Consultation Group of],$E$2,tbl_data[2:T1C],$A20,tbl_data[T1],$E$3)</f>
        <v>0</v>
      </c>
      <c r="AV20" s="198">
        <f>COUNTIFS(tbl_data[12. Consultation Group of],$E$2,tbl_data[3:T1C],$A20,tbl_data[T1],$E$3)</f>
        <v>0</v>
      </c>
      <c r="AW20" s="198">
        <f>COUNTIFS(tbl_data[12. Consultation Group of],$E$2,tbl_data[1:T2C],$A20,tbl_data[T2],$E$3)</f>
        <v>0</v>
      </c>
      <c r="AX20" s="198">
        <f>COUNTIFS(tbl_data[12. Consultation Group of],$E$2,tbl_data[2:T2C],$A20,tbl_data[T2],$E$3)</f>
        <v>0</v>
      </c>
      <c r="AY20" s="198">
        <f>COUNTIFS(tbl_data[12. Consultation Group of],$E$2,tbl_data[3:T2C],$A20,tbl_data[T2],$E$3)</f>
        <v>0</v>
      </c>
      <c r="AZ20" s="198">
        <f>COUNTIFS(tbl_data[12. Consultation Group of],$E$2,tbl_data[1:T3C],$A20,tbl_data[T3],$E$3)</f>
        <v>0</v>
      </c>
      <c r="BA20" s="198">
        <f>COUNTIFS(tbl_data[12. Consultation Group of],$E$2,tbl_data[2:T3C],$A20,tbl_data[T3],$E$3)</f>
        <v>0</v>
      </c>
      <c r="BB20" s="198">
        <f>COUNTIFS(tbl_data[12. Consultation Group of],$E$2,tbl_data[3:T3C],$A20,tbl_data[T3],$E$3)</f>
        <v>0</v>
      </c>
      <c r="BC20" s="198">
        <f t="shared" si="4"/>
        <v>0</v>
      </c>
      <c r="BD20" s="199" t="str">
        <f t="shared" si="12"/>
        <v>Loss of Assets (0)</v>
      </c>
      <c r="BE20" s="205">
        <f>COUNTIFS(tbl_data[1:T1C],$A20,tbl_data[T1],$F$3)</f>
        <v>0</v>
      </c>
      <c r="BF20" s="198">
        <f>COUNTIFS(tbl_data[2:T1C],$A20,tbl_data[T1],$F$3)</f>
        <v>0</v>
      </c>
      <c r="BG20" s="198">
        <f>COUNTIFS(tbl_data[3:T1C],$A20,tbl_data[T1],$F$3)</f>
        <v>0</v>
      </c>
      <c r="BH20" s="198">
        <f>COUNTIFS(tbl_data[1:T2C],$A20,tbl_data[T2],$F$3)</f>
        <v>0</v>
      </c>
      <c r="BI20" s="198">
        <f>COUNTIFS(tbl_data[2:T2C],$A20,tbl_data[T2],$F$3)</f>
        <v>0</v>
      </c>
      <c r="BJ20" s="198">
        <f>COUNTIFS(tbl_data[3:T2C],$A20,tbl_data[T2],$F$3)</f>
        <v>0</v>
      </c>
      <c r="BK20" s="198">
        <f>COUNTIFS(tbl_data[1:T3C],$A20,tbl_data[T3],$F$3)</f>
        <v>0</v>
      </c>
      <c r="BL20" s="198">
        <f>COUNTIFS(tbl_data[2:T3C],$A20,tbl_data[T3],$F$3)</f>
        <v>0</v>
      </c>
      <c r="BM20" s="198">
        <f>COUNTIFS(tbl_data[3:T3C],$A20,tbl_data[T3],$F$3)</f>
        <v>0</v>
      </c>
      <c r="BN20" s="198">
        <f t="shared" si="5"/>
        <v>0</v>
      </c>
      <c r="BO20" s="199" t="str">
        <f t="shared" si="13"/>
        <v>Loss of Assets (0)</v>
      </c>
      <c r="BQ20" t="str">
        <f t="shared" si="6"/>
        <v>Loss of Assets</v>
      </c>
      <c r="BR20">
        <f t="shared" si="7"/>
        <v>0</v>
      </c>
    </row>
    <row r="21" spans="1:74" x14ac:dyDescent="0.25">
      <c r="A21" s="203" t="s">
        <v>287</v>
      </c>
      <c r="B21" s="205">
        <f>COUNTIFS(tbl_data[12. Consultation Group of],$A$2,tbl_data[1:T1C],$A21,tbl_data[T1],$A$3)</f>
        <v>0</v>
      </c>
      <c r="C21" s="198">
        <f>COUNTIFS(tbl_data[12. Consultation Group of],$A$2,tbl_data[2:T1C],$A21,tbl_data[T1],$A$3)</f>
        <v>1</v>
      </c>
      <c r="D21" s="198">
        <f>COUNTIFS(tbl_data[12. Consultation Group of],$A$2,tbl_data[3:T1C],$A21,tbl_data[T1],$A$3)</f>
        <v>0</v>
      </c>
      <c r="E21" s="198">
        <f>COUNTIFS(tbl_data[12. Consultation Group of],$A$2,tbl_data[1:T2C],$A21,tbl_data[T2],$A$3)</f>
        <v>0</v>
      </c>
      <c r="F21" s="198">
        <f>COUNTIFS(tbl_data[12. Consultation Group of],$A$2,tbl_data[2:T2C],$A21,tbl_data[T2],$A$3)</f>
        <v>0</v>
      </c>
      <c r="G21" s="198">
        <f>COUNTIFS(tbl_data[12. Consultation Group of],$A$2,tbl_data[3:T2C],$A21,tbl_data[T2],$A$3)</f>
        <v>0</v>
      </c>
      <c r="H21" s="198">
        <f>COUNTIFS(tbl_data[12. Consultation Group of],$A$2,tbl_data[1:T3C],$A21,tbl_data[T3],$A$3)</f>
        <v>0</v>
      </c>
      <c r="I21" s="198">
        <f>COUNTIFS(tbl_data[12. Consultation Group of],$A$2,tbl_data[2:T3C],$A21,tbl_data[T3],$A$3)</f>
        <v>0</v>
      </c>
      <c r="J21" s="198">
        <f>COUNTIFS(tbl_data[12. Consultation Group of],$A$2,tbl_data[3:T3C],$A21,tbl_data[T3],$A$3)</f>
        <v>0</v>
      </c>
      <c r="K21" s="198">
        <f t="shared" si="0"/>
        <v>1</v>
      </c>
      <c r="L21" s="199" t="str">
        <f t="shared" si="8"/>
        <v>Crop Damage (1)</v>
      </c>
      <c r="M21" s="205">
        <f>COUNTIFS(tbl_data[12. Consultation Group of],$B$2,tbl_data[1:T1C],$A21,tbl_data[T1],$B$3)</f>
        <v>0</v>
      </c>
      <c r="N21" s="198">
        <f>COUNTIFS(tbl_data[12. Consultation Group of],$B$2,tbl_data[2:T1C],$A21,tbl_data[T1],$B$3)</f>
        <v>0</v>
      </c>
      <c r="O21" s="198">
        <f>COUNTIFS(tbl_data[12. Consultation Group of],$B$2,tbl_data[3:T1C],$A21,tbl_data[T1],$B$3)</f>
        <v>0</v>
      </c>
      <c r="P21" s="198">
        <f>COUNTIFS(tbl_data[12. Consultation Group of],$B$2,tbl_data[1:T2C],$A21,tbl_data[T2],$B$3)</f>
        <v>0</v>
      </c>
      <c r="Q21" s="198">
        <f>COUNTIFS(tbl_data[12. Consultation Group of],$B$2,tbl_data[2:T2C],$A21,tbl_data[T2],$B$3)</f>
        <v>0</v>
      </c>
      <c r="R21" s="198">
        <f>COUNTIFS(tbl_data[12. Consultation Group of],$B$2,tbl_data[3:T2C],$A21,tbl_data[T2],$B$3)</f>
        <v>0</v>
      </c>
      <c r="S21" s="198">
        <f>COUNTIFS(tbl_data[12. Consultation Group of],$B$2,tbl_data[1:T3C],$A21,tbl_data[T3],$B$3)</f>
        <v>1</v>
      </c>
      <c r="T21" s="198">
        <f>COUNTIFS(tbl_data[12. Consultation Group of],$B$2,tbl_data[2:T3C],$A21,tbl_data[T3],$B$3)</f>
        <v>0</v>
      </c>
      <c r="U21" s="198">
        <f>COUNTIFS(tbl_data[12. Consultation Group of],$B$2,tbl_data[3:T3C],$A21,tbl_data[T3],$B$3)</f>
        <v>0</v>
      </c>
      <c r="V21" s="198">
        <f t="shared" si="1"/>
        <v>1</v>
      </c>
      <c r="W21" s="199" t="str">
        <f t="shared" si="9"/>
        <v>Crop Damage (1)</v>
      </c>
      <c r="X21" s="205">
        <f>COUNTIFS(tbl_data[12. Consultation Group of],$C$2,tbl_data[1:T1C],$A21,tbl_data[T1],$C$3)</f>
        <v>2</v>
      </c>
      <c r="Y21" s="198">
        <f>COUNTIFS(tbl_data[12. Consultation Group of],$C$2,tbl_data[2:T1C],$A21,tbl_data[T1],$C$3)</f>
        <v>0</v>
      </c>
      <c r="Z21" s="198">
        <f>COUNTIFS(tbl_data[12. Consultation Group of],$C$2,tbl_data[3:T1C],$A21,tbl_data[T1],$C$3)</f>
        <v>0</v>
      </c>
      <c r="AA21" s="198">
        <f>COUNTIFS(tbl_data[12. Consultation Group of],$C$2,tbl_data[1:T2C],$A21,tbl_data[T2],$C$3)</f>
        <v>0</v>
      </c>
      <c r="AB21" s="198">
        <f>COUNTIFS(tbl_data[12. Consultation Group of],$C$2,tbl_data[2:T2C],$A21,tbl_data[T2],$C$3)</f>
        <v>0</v>
      </c>
      <c r="AC21" s="198">
        <f>COUNTIFS(tbl_data[12. Consultation Group of],$C$2,tbl_data[3:T2C],$A21,tbl_data[T2],$C$3)</f>
        <v>0</v>
      </c>
      <c r="AD21" s="198">
        <f>COUNTIFS(tbl_data[12. Consultation Group of],$C$2,tbl_data[1:T3C],$A21,tbl_data[T3],$C$3)</f>
        <v>0</v>
      </c>
      <c r="AE21" s="198">
        <f>COUNTIFS(tbl_data[12. Consultation Group of],$C$2,tbl_data[2:T3C],$A21,tbl_data[T3],$C$3)</f>
        <v>0</v>
      </c>
      <c r="AF21" s="198">
        <f>COUNTIFS(tbl_data[12. Consultation Group of],$C$2,tbl_data[3:T3C],$A21,tbl_data[T3],$C$3)</f>
        <v>0</v>
      </c>
      <c r="AG21" s="198">
        <f t="shared" si="2"/>
        <v>2</v>
      </c>
      <c r="AH21" s="199" t="str">
        <f t="shared" si="10"/>
        <v>Crop Damage (2)</v>
      </c>
      <c r="AI21" s="205">
        <f>COUNTIFS(tbl_data[12. Consultation Group of],$D$2,tbl_data[1:T1C],$A21,tbl_data[T1],$D$3)</f>
        <v>2</v>
      </c>
      <c r="AJ21" s="198">
        <f>COUNTIFS(tbl_data[12. Consultation Group of],$D$2,tbl_data[2:T1C],$A21,tbl_data[T1],$D$3)</f>
        <v>1</v>
      </c>
      <c r="AK21" s="198">
        <f>COUNTIFS(tbl_data[12. Consultation Group of],$D$2,tbl_data[3:T1C],$A21,tbl_data[T1],$D$3)</f>
        <v>1</v>
      </c>
      <c r="AL21" s="198">
        <f>COUNTIFS(tbl_data[12. Consultation Group of],$D$2,tbl_data[1:T2C],$A21,tbl_data[T2],$D$3)</f>
        <v>0</v>
      </c>
      <c r="AM21" s="198">
        <f>COUNTIFS(tbl_data[12. Consultation Group of],$D$2,tbl_data[2:T2C],$A21,tbl_data[T2],$D$3)</f>
        <v>0</v>
      </c>
      <c r="AN21" s="198">
        <f>COUNTIFS(tbl_data[12. Consultation Group of],$D$2,tbl_data[3:T2C],$A21,tbl_data[T2],$D$3)</f>
        <v>0</v>
      </c>
      <c r="AO21" s="198">
        <f>COUNTIFS(tbl_data[12. Consultation Group of],$D$2,tbl_data[1:T3C],$A21,tbl_data[T3],$D$3)</f>
        <v>0</v>
      </c>
      <c r="AP21" s="198">
        <f>COUNTIFS(tbl_data[12. Consultation Group of],$D$2,tbl_data[2:T3C],$A21,tbl_data[T3],$D$3)</f>
        <v>0</v>
      </c>
      <c r="AQ21" s="198">
        <f>COUNTIFS(tbl_data[12. Consultation Group of],$D$2,tbl_data[3:T3C],$A21,tbl_data[T3],$D$3)</f>
        <v>0</v>
      </c>
      <c r="AR21" s="198">
        <f t="shared" si="3"/>
        <v>4</v>
      </c>
      <c r="AS21" s="199" t="str">
        <f t="shared" si="11"/>
        <v>Crop Damage (4)</v>
      </c>
      <c r="AT21" s="205">
        <f>COUNTIFS(tbl_data[12. Consultation Group of],$E$2,tbl_data[1:T1C],$A21,tbl_data[T1],$E$3)</f>
        <v>0</v>
      </c>
      <c r="AU21" s="198">
        <f>COUNTIFS(tbl_data[12. Consultation Group of],$E$2,tbl_data[2:T1C],$A21,tbl_data[T1],$E$3)</f>
        <v>0</v>
      </c>
      <c r="AV21" s="198">
        <f>COUNTIFS(tbl_data[12. Consultation Group of],$E$2,tbl_data[3:T1C],$A21,tbl_data[T1],$E$3)</f>
        <v>1</v>
      </c>
      <c r="AW21" s="198">
        <f>COUNTIFS(tbl_data[12. Consultation Group of],$E$2,tbl_data[1:T2C],$A21,tbl_data[T2],$E$3)</f>
        <v>0</v>
      </c>
      <c r="AX21" s="198">
        <f>COUNTIFS(tbl_data[12. Consultation Group of],$E$2,tbl_data[2:T2C],$A21,tbl_data[T2],$E$3)</f>
        <v>0</v>
      </c>
      <c r="AY21" s="198">
        <f>COUNTIFS(tbl_data[12. Consultation Group of],$E$2,tbl_data[3:T2C],$A21,tbl_data[T2],$E$3)</f>
        <v>0</v>
      </c>
      <c r="AZ21" s="198">
        <f>COUNTIFS(tbl_data[12. Consultation Group of],$E$2,tbl_data[1:T3C],$A21,tbl_data[T3],$E$3)</f>
        <v>0</v>
      </c>
      <c r="BA21" s="198">
        <f>COUNTIFS(tbl_data[12. Consultation Group of],$E$2,tbl_data[2:T3C],$A21,tbl_data[T3],$E$3)</f>
        <v>0</v>
      </c>
      <c r="BB21" s="198">
        <f>COUNTIFS(tbl_data[12. Consultation Group of],$E$2,tbl_data[3:T3C],$A21,tbl_data[T3],$E$3)</f>
        <v>0</v>
      </c>
      <c r="BC21" s="198">
        <f t="shared" si="4"/>
        <v>1</v>
      </c>
      <c r="BD21" s="199" t="str">
        <f t="shared" si="12"/>
        <v>Crop Damage (1)</v>
      </c>
      <c r="BE21" s="205">
        <f>COUNTIFS(tbl_data[1:T1C],$A21,tbl_data[T1],$F$3)</f>
        <v>5</v>
      </c>
      <c r="BF21" s="198">
        <f>COUNTIFS(tbl_data[2:T1C],$A21,tbl_data[T1],$F$3)</f>
        <v>3</v>
      </c>
      <c r="BG21" s="198">
        <f>COUNTIFS(tbl_data[3:T1C],$A21,tbl_data[T1],$F$3)</f>
        <v>1</v>
      </c>
      <c r="BH21" s="198">
        <f>COUNTIFS(tbl_data[1:T2C],$A21,tbl_data[T2],$F$3)</f>
        <v>0</v>
      </c>
      <c r="BI21" s="198">
        <f>COUNTIFS(tbl_data[2:T2C],$A21,tbl_data[T2],$F$3)</f>
        <v>1</v>
      </c>
      <c r="BJ21" s="198">
        <f>COUNTIFS(tbl_data[3:T2C],$A21,tbl_data[T2],$F$3)</f>
        <v>0</v>
      </c>
      <c r="BK21" s="198">
        <f>COUNTIFS(tbl_data[1:T3C],$A21,tbl_data[T3],$F$3)</f>
        <v>0</v>
      </c>
      <c r="BL21" s="198">
        <f>COUNTIFS(tbl_data[2:T3C],$A21,tbl_data[T3],$F$3)</f>
        <v>0</v>
      </c>
      <c r="BM21" s="198">
        <f>COUNTIFS(tbl_data[3:T3C],$A21,tbl_data[T3],$F$3)</f>
        <v>0</v>
      </c>
      <c r="BN21" s="198">
        <f t="shared" si="5"/>
        <v>10</v>
      </c>
      <c r="BO21" s="199" t="str">
        <f t="shared" si="13"/>
        <v>Crop Damage (10)</v>
      </c>
      <c r="BQ21" t="str">
        <f t="shared" si="6"/>
        <v>Crop Damage</v>
      </c>
      <c r="BR21">
        <f t="shared" si="7"/>
        <v>19</v>
      </c>
      <c r="BS21" t="s">
        <v>923</v>
      </c>
      <c r="BU21" s="39" t="s">
        <v>923</v>
      </c>
    </row>
    <row r="22" spans="1:74" x14ac:dyDescent="0.25">
      <c r="A22" s="203" t="s">
        <v>352</v>
      </c>
      <c r="B22" s="205">
        <f>COUNTIFS(tbl_data[12. Consultation Group of],$A$2,tbl_data[1:T1C],$A22,tbl_data[T1],$A$3)</f>
        <v>1</v>
      </c>
      <c r="C22" s="198">
        <f>COUNTIFS(tbl_data[12. Consultation Group of],$A$2,tbl_data[2:T1C],$A22,tbl_data[T1],$A$3)</f>
        <v>0</v>
      </c>
      <c r="D22" s="198">
        <f>COUNTIFS(tbl_data[12. Consultation Group of],$A$2,tbl_data[3:T1C],$A22,tbl_data[T1],$A$3)</f>
        <v>0</v>
      </c>
      <c r="E22" s="198">
        <f>COUNTIFS(tbl_data[12. Consultation Group of],$A$2,tbl_data[1:T2C],$A22,tbl_data[T2],$A$3)</f>
        <v>0</v>
      </c>
      <c r="F22" s="198">
        <f>COUNTIFS(tbl_data[12. Consultation Group of],$A$2,tbl_data[2:T2C],$A22,tbl_data[T2],$A$3)</f>
        <v>0</v>
      </c>
      <c r="G22" s="198">
        <f>COUNTIFS(tbl_data[12. Consultation Group of],$A$2,tbl_data[3:T2C],$A22,tbl_data[T2],$A$3)</f>
        <v>0</v>
      </c>
      <c r="H22" s="198">
        <f>COUNTIFS(tbl_data[12. Consultation Group of],$A$2,tbl_data[1:T3C],$A22,tbl_data[T3],$A$3)</f>
        <v>0</v>
      </c>
      <c r="I22" s="198">
        <f>COUNTIFS(tbl_data[12. Consultation Group of],$A$2,tbl_data[2:T3C],$A22,tbl_data[T3],$A$3)</f>
        <v>0</v>
      </c>
      <c r="J22" s="198">
        <f>COUNTIFS(tbl_data[12. Consultation Group of],$A$2,tbl_data[3:T3C],$A22,tbl_data[T3],$A$3)</f>
        <v>0</v>
      </c>
      <c r="K22" s="198">
        <f t="shared" si="0"/>
        <v>1</v>
      </c>
      <c r="L22" s="199" t="str">
        <f t="shared" si="8"/>
        <v>Infrastructure Damage (1)</v>
      </c>
      <c r="M22" s="205">
        <f>COUNTIFS(tbl_data[12. Consultation Group of],$B$2,tbl_data[1:T1C],$A22,tbl_data[T1],$B$3)</f>
        <v>0</v>
      </c>
      <c r="N22" s="198">
        <f>COUNTIFS(tbl_data[12. Consultation Group of],$B$2,tbl_data[2:T1C],$A22,tbl_data[T1],$B$3)</f>
        <v>0</v>
      </c>
      <c r="O22" s="198">
        <f>COUNTIFS(tbl_data[12. Consultation Group of],$B$2,tbl_data[3:T1C],$A22,tbl_data[T1],$B$3)</f>
        <v>0</v>
      </c>
      <c r="P22" s="198">
        <f>COUNTIFS(tbl_data[12. Consultation Group of],$B$2,tbl_data[1:T2C],$A22,tbl_data[T2],$B$3)</f>
        <v>0</v>
      </c>
      <c r="Q22" s="198">
        <f>COUNTIFS(tbl_data[12. Consultation Group of],$B$2,tbl_data[2:T2C],$A22,tbl_data[T2],$B$3)</f>
        <v>0</v>
      </c>
      <c r="R22" s="198">
        <f>COUNTIFS(tbl_data[12. Consultation Group of],$B$2,tbl_data[3:T2C],$A22,tbl_data[T2],$B$3)</f>
        <v>0</v>
      </c>
      <c r="S22" s="198">
        <f>COUNTIFS(tbl_data[12. Consultation Group of],$B$2,tbl_data[1:T3C],$A22,tbl_data[T3],$B$3)</f>
        <v>0</v>
      </c>
      <c r="T22" s="198">
        <f>COUNTIFS(tbl_data[12. Consultation Group of],$B$2,tbl_data[2:T3C],$A22,tbl_data[T3],$B$3)</f>
        <v>0</v>
      </c>
      <c r="U22" s="198">
        <f>COUNTIFS(tbl_data[12. Consultation Group of],$B$2,tbl_data[3:T3C],$A22,tbl_data[T3],$B$3)</f>
        <v>0</v>
      </c>
      <c r="V22" s="198">
        <f t="shared" si="1"/>
        <v>0</v>
      </c>
      <c r="W22" s="199" t="str">
        <f t="shared" si="9"/>
        <v>Infrastructure Damage (0)</v>
      </c>
      <c r="X22" s="205">
        <f>COUNTIFS(tbl_data[12. Consultation Group of],$C$2,tbl_data[1:T1C],$A22,tbl_data[T1],$C$3)</f>
        <v>0</v>
      </c>
      <c r="Y22" s="198">
        <f>COUNTIFS(tbl_data[12. Consultation Group of],$C$2,tbl_data[2:T1C],$A22,tbl_data[T1],$C$3)</f>
        <v>0</v>
      </c>
      <c r="Z22" s="198">
        <f>COUNTIFS(tbl_data[12. Consultation Group of],$C$2,tbl_data[3:T1C],$A22,tbl_data[T1],$C$3)</f>
        <v>0</v>
      </c>
      <c r="AA22" s="198">
        <f>COUNTIFS(tbl_data[12. Consultation Group of],$C$2,tbl_data[1:T2C],$A22,tbl_data[T2],$C$3)</f>
        <v>0</v>
      </c>
      <c r="AB22" s="198">
        <f>COUNTIFS(tbl_data[12. Consultation Group of],$C$2,tbl_data[2:T2C],$A22,tbl_data[T2],$C$3)</f>
        <v>0</v>
      </c>
      <c r="AC22" s="198">
        <f>COUNTIFS(tbl_data[12. Consultation Group of],$C$2,tbl_data[3:T2C],$A22,tbl_data[T2],$C$3)</f>
        <v>0</v>
      </c>
      <c r="AD22" s="198">
        <f>COUNTIFS(tbl_data[12. Consultation Group of],$C$2,tbl_data[1:T3C],$A22,tbl_data[T3],$C$3)</f>
        <v>0</v>
      </c>
      <c r="AE22" s="198">
        <f>COUNTIFS(tbl_data[12. Consultation Group of],$C$2,tbl_data[2:T3C],$A22,tbl_data[T3],$C$3)</f>
        <v>0</v>
      </c>
      <c r="AF22" s="198">
        <f>COUNTIFS(tbl_data[12. Consultation Group of],$C$2,tbl_data[3:T3C],$A22,tbl_data[T3],$C$3)</f>
        <v>0</v>
      </c>
      <c r="AG22" s="198">
        <f t="shared" si="2"/>
        <v>0</v>
      </c>
      <c r="AH22" s="199" t="str">
        <f t="shared" si="10"/>
        <v>Infrastructure Damage (0)</v>
      </c>
      <c r="AI22" s="205">
        <f>COUNTIFS(tbl_data[12. Consultation Group of],$D$2,tbl_data[1:T1C],$A22,tbl_data[T1],$D$3)</f>
        <v>0</v>
      </c>
      <c r="AJ22" s="198">
        <f>COUNTIFS(tbl_data[12. Consultation Group of],$D$2,tbl_data[2:T1C],$A22,tbl_data[T1],$D$3)</f>
        <v>2</v>
      </c>
      <c r="AK22" s="198">
        <f>COUNTIFS(tbl_data[12. Consultation Group of],$D$2,tbl_data[3:T1C],$A22,tbl_data[T1],$D$3)</f>
        <v>1</v>
      </c>
      <c r="AL22" s="198">
        <f>COUNTIFS(tbl_data[12. Consultation Group of],$D$2,tbl_data[1:T2C],$A22,tbl_data[T2],$D$3)</f>
        <v>0</v>
      </c>
      <c r="AM22" s="198">
        <f>COUNTIFS(tbl_data[12. Consultation Group of],$D$2,tbl_data[2:T2C],$A22,tbl_data[T2],$D$3)</f>
        <v>0</v>
      </c>
      <c r="AN22" s="198">
        <f>COUNTIFS(tbl_data[12. Consultation Group of],$D$2,tbl_data[3:T2C],$A22,tbl_data[T2],$D$3)</f>
        <v>0</v>
      </c>
      <c r="AO22" s="198">
        <f>COUNTIFS(tbl_data[12. Consultation Group of],$D$2,tbl_data[1:T3C],$A22,tbl_data[T3],$D$3)</f>
        <v>0</v>
      </c>
      <c r="AP22" s="198">
        <f>COUNTIFS(tbl_data[12. Consultation Group of],$D$2,tbl_data[2:T3C],$A22,tbl_data[T3],$D$3)</f>
        <v>1</v>
      </c>
      <c r="AQ22" s="198">
        <f>COUNTIFS(tbl_data[12. Consultation Group of],$D$2,tbl_data[3:T3C],$A22,tbl_data[T3],$D$3)</f>
        <v>0</v>
      </c>
      <c r="AR22" s="198">
        <f t="shared" si="3"/>
        <v>4</v>
      </c>
      <c r="AS22" s="199" t="str">
        <f t="shared" si="11"/>
        <v>Infrastructure Damage (4)</v>
      </c>
      <c r="AT22" s="205">
        <f>COUNTIFS(tbl_data[12. Consultation Group of],$E$2,tbl_data[1:T1C],$A22,tbl_data[T1],$E$3)</f>
        <v>0</v>
      </c>
      <c r="AU22" s="198">
        <f>COUNTIFS(tbl_data[12. Consultation Group of],$E$2,tbl_data[2:T1C],$A22,tbl_data[T1],$E$3)</f>
        <v>0</v>
      </c>
      <c r="AV22" s="198">
        <f>COUNTIFS(tbl_data[12. Consultation Group of],$E$2,tbl_data[3:T1C],$A22,tbl_data[T1],$E$3)</f>
        <v>0</v>
      </c>
      <c r="AW22" s="198">
        <f>COUNTIFS(tbl_data[12. Consultation Group of],$E$2,tbl_data[1:T2C],$A22,tbl_data[T2],$E$3)</f>
        <v>0</v>
      </c>
      <c r="AX22" s="198">
        <f>COUNTIFS(tbl_data[12. Consultation Group of],$E$2,tbl_data[2:T2C],$A22,tbl_data[T2],$E$3)</f>
        <v>0</v>
      </c>
      <c r="AY22" s="198">
        <f>COUNTIFS(tbl_data[12. Consultation Group of],$E$2,tbl_data[3:T2C],$A22,tbl_data[T2],$E$3)</f>
        <v>0</v>
      </c>
      <c r="AZ22" s="198">
        <f>COUNTIFS(tbl_data[12. Consultation Group of],$E$2,tbl_data[1:T3C],$A22,tbl_data[T3],$E$3)</f>
        <v>0</v>
      </c>
      <c r="BA22" s="198">
        <f>COUNTIFS(tbl_data[12. Consultation Group of],$E$2,tbl_data[2:T3C],$A22,tbl_data[T3],$E$3)</f>
        <v>0</v>
      </c>
      <c r="BB22" s="198">
        <f>COUNTIFS(tbl_data[12. Consultation Group of],$E$2,tbl_data[3:T3C],$A22,tbl_data[T3],$E$3)</f>
        <v>0</v>
      </c>
      <c r="BC22" s="198">
        <f t="shared" si="4"/>
        <v>0</v>
      </c>
      <c r="BD22" s="199" t="str">
        <f t="shared" si="12"/>
        <v>Infrastructure Damage (0)</v>
      </c>
      <c r="BE22" s="205">
        <f>COUNTIFS(tbl_data[1:T1C],$A22,tbl_data[T1],$F$3)</f>
        <v>3</v>
      </c>
      <c r="BF22" s="198">
        <f>COUNTIFS(tbl_data[2:T1C],$A22,tbl_data[T1],$F$3)</f>
        <v>2</v>
      </c>
      <c r="BG22" s="198">
        <f>COUNTIFS(tbl_data[3:T1C],$A22,tbl_data[T1],$F$3)</f>
        <v>3</v>
      </c>
      <c r="BH22" s="198">
        <f>COUNTIFS(tbl_data[1:T2C],$A22,tbl_data[T2],$F$3)</f>
        <v>1</v>
      </c>
      <c r="BI22" s="198">
        <f>COUNTIFS(tbl_data[2:T2C],$A22,tbl_data[T2],$F$3)</f>
        <v>0</v>
      </c>
      <c r="BJ22" s="198">
        <f>COUNTIFS(tbl_data[3:T2C],$A22,tbl_data[T2],$F$3)</f>
        <v>0</v>
      </c>
      <c r="BK22" s="198">
        <f>COUNTIFS(tbl_data[1:T3C],$A22,tbl_data[T3],$F$3)</f>
        <v>0</v>
      </c>
      <c r="BL22" s="198">
        <f>COUNTIFS(tbl_data[2:T3C],$A22,tbl_data[T3],$F$3)</f>
        <v>1</v>
      </c>
      <c r="BM22" s="198">
        <f>COUNTIFS(tbl_data[3:T3C],$A22,tbl_data[T3],$F$3)</f>
        <v>0</v>
      </c>
      <c r="BN22" s="198">
        <f t="shared" si="5"/>
        <v>10</v>
      </c>
      <c r="BO22" s="199" t="str">
        <f t="shared" si="13"/>
        <v>Infrastructure Damage (10)</v>
      </c>
      <c r="BQ22" t="str">
        <f t="shared" si="6"/>
        <v>Infrastructure Damage</v>
      </c>
      <c r="BR22">
        <f t="shared" si="7"/>
        <v>15</v>
      </c>
      <c r="BS22" t="s">
        <v>924</v>
      </c>
      <c r="BU22" s="274" t="s">
        <v>924</v>
      </c>
    </row>
    <row r="23" spans="1:74" x14ac:dyDescent="0.25">
      <c r="A23" s="203" t="s">
        <v>215</v>
      </c>
      <c r="B23" s="205">
        <f>COUNTIFS(tbl_data[12. Consultation Group of],$A$2,tbl_data[1:T1C],$A23,tbl_data[T1],$A$3)</f>
        <v>0</v>
      </c>
      <c r="C23" s="198">
        <f>COUNTIFS(tbl_data[12. Consultation Group of],$A$2,tbl_data[2:T1C],$A23,tbl_data[T1],$A$3)</f>
        <v>1</v>
      </c>
      <c r="D23" s="198">
        <f>COUNTIFS(tbl_data[12. Consultation Group of],$A$2,tbl_data[3:T1C],$A23,tbl_data[T1],$A$3)</f>
        <v>0</v>
      </c>
      <c r="E23" s="198">
        <f>COUNTIFS(tbl_data[12. Consultation Group of],$A$2,tbl_data[1:T2C],$A23,tbl_data[T2],$A$3)</f>
        <v>0</v>
      </c>
      <c r="F23" s="198">
        <f>COUNTIFS(tbl_data[12. Consultation Group of],$A$2,tbl_data[2:T2C],$A23,tbl_data[T2],$A$3)</f>
        <v>0</v>
      </c>
      <c r="G23" s="198">
        <f>COUNTIFS(tbl_data[12. Consultation Group of],$A$2,tbl_data[3:T2C],$A23,tbl_data[T2],$A$3)</f>
        <v>0</v>
      </c>
      <c r="H23" s="198">
        <f>COUNTIFS(tbl_data[12. Consultation Group of],$A$2,tbl_data[1:T3C],$A23,tbl_data[T3],$A$3)</f>
        <v>0</v>
      </c>
      <c r="I23" s="198">
        <f>COUNTIFS(tbl_data[12. Consultation Group of],$A$2,tbl_data[2:T3C],$A23,tbl_data[T3],$A$3)</f>
        <v>0</v>
      </c>
      <c r="J23" s="198">
        <f>COUNTIFS(tbl_data[12. Consultation Group of],$A$2,tbl_data[3:T3C],$A23,tbl_data[T3],$A$3)</f>
        <v>0</v>
      </c>
      <c r="K23" s="198">
        <f t="shared" si="0"/>
        <v>1</v>
      </c>
      <c r="L23" s="199" t="str">
        <f t="shared" si="8"/>
        <v>Reduction In Irrigation (1)</v>
      </c>
      <c r="M23" s="205">
        <f>COUNTIFS(tbl_data[12. Consultation Group of],$B$2,tbl_data[1:T1C],$A23,tbl_data[T1],$B$3)</f>
        <v>0</v>
      </c>
      <c r="N23" s="198">
        <f>COUNTIFS(tbl_data[12. Consultation Group of],$B$2,tbl_data[2:T1C],$A23,tbl_data[T1],$B$3)</f>
        <v>0</v>
      </c>
      <c r="O23" s="198">
        <f>COUNTIFS(tbl_data[12. Consultation Group of],$B$2,tbl_data[3:T1C],$A23,tbl_data[T1],$B$3)</f>
        <v>0</v>
      </c>
      <c r="P23" s="198">
        <f>COUNTIFS(tbl_data[12. Consultation Group of],$B$2,tbl_data[1:T2C],$A23,tbl_data[T2],$B$3)</f>
        <v>0</v>
      </c>
      <c r="Q23" s="198">
        <f>COUNTIFS(tbl_data[12. Consultation Group of],$B$2,tbl_data[2:T2C],$A23,tbl_data[T2],$B$3)</f>
        <v>0</v>
      </c>
      <c r="R23" s="198">
        <f>COUNTIFS(tbl_data[12. Consultation Group of],$B$2,tbl_data[3:T2C],$A23,tbl_data[T2],$B$3)</f>
        <v>0</v>
      </c>
      <c r="S23" s="198">
        <f>COUNTIFS(tbl_data[12. Consultation Group of],$B$2,tbl_data[1:T3C],$A23,tbl_data[T3],$B$3)</f>
        <v>0</v>
      </c>
      <c r="T23" s="198">
        <f>COUNTIFS(tbl_data[12. Consultation Group of],$B$2,tbl_data[2:T3C],$A23,tbl_data[T3],$B$3)</f>
        <v>0</v>
      </c>
      <c r="U23" s="198">
        <f>COUNTIFS(tbl_data[12. Consultation Group of],$B$2,tbl_data[3:T3C],$A23,tbl_data[T3],$B$3)</f>
        <v>0</v>
      </c>
      <c r="V23" s="198">
        <f t="shared" si="1"/>
        <v>0</v>
      </c>
      <c r="W23" s="199" t="str">
        <f t="shared" si="9"/>
        <v>Reduction In Irrigation (0)</v>
      </c>
      <c r="X23" s="205">
        <f>COUNTIFS(tbl_data[12. Consultation Group of],$C$2,tbl_data[1:T1C],$A23,tbl_data[T1],$C$3)</f>
        <v>0</v>
      </c>
      <c r="Y23" s="198">
        <f>COUNTIFS(tbl_data[12. Consultation Group of],$C$2,tbl_data[2:T1C],$A23,tbl_data[T1],$C$3)</f>
        <v>0</v>
      </c>
      <c r="Z23" s="198">
        <f>COUNTIFS(tbl_data[12. Consultation Group of],$C$2,tbl_data[3:T1C],$A23,tbl_data[T1],$C$3)</f>
        <v>0</v>
      </c>
      <c r="AA23" s="198">
        <f>COUNTIFS(tbl_data[12. Consultation Group of],$C$2,tbl_data[1:T2C],$A23,tbl_data[T2],$C$3)</f>
        <v>0</v>
      </c>
      <c r="AB23" s="198">
        <f>COUNTIFS(tbl_data[12. Consultation Group of],$C$2,tbl_data[2:T2C],$A23,tbl_data[T2],$C$3)</f>
        <v>0</v>
      </c>
      <c r="AC23" s="198">
        <f>COUNTIFS(tbl_data[12. Consultation Group of],$C$2,tbl_data[3:T2C],$A23,tbl_data[T2],$C$3)</f>
        <v>0</v>
      </c>
      <c r="AD23" s="198">
        <f>COUNTIFS(tbl_data[12. Consultation Group of],$C$2,tbl_data[1:T3C],$A23,tbl_data[T3],$C$3)</f>
        <v>0</v>
      </c>
      <c r="AE23" s="198">
        <f>COUNTIFS(tbl_data[12. Consultation Group of],$C$2,tbl_data[2:T3C],$A23,tbl_data[T3],$C$3)</f>
        <v>0</v>
      </c>
      <c r="AF23" s="198">
        <f>COUNTIFS(tbl_data[12. Consultation Group of],$C$2,tbl_data[3:T3C],$A23,tbl_data[T3],$C$3)</f>
        <v>0</v>
      </c>
      <c r="AG23" s="198">
        <f t="shared" si="2"/>
        <v>0</v>
      </c>
      <c r="AH23" s="199" t="str">
        <f t="shared" si="10"/>
        <v>Reduction In Irrigation (0)</v>
      </c>
      <c r="AI23" s="205">
        <f>COUNTIFS(tbl_data[12. Consultation Group of],$D$2,tbl_data[1:T1C],$A23,tbl_data[T1],$D$3)</f>
        <v>0</v>
      </c>
      <c r="AJ23" s="198">
        <f>COUNTIFS(tbl_data[12. Consultation Group of],$D$2,tbl_data[2:T1C],$A23,tbl_data[T1],$D$3)</f>
        <v>0</v>
      </c>
      <c r="AK23" s="198">
        <f>COUNTIFS(tbl_data[12. Consultation Group of],$D$2,tbl_data[3:T1C],$A23,tbl_data[T1],$D$3)</f>
        <v>0</v>
      </c>
      <c r="AL23" s="198">
        <f>COUNTIFS(tbl_data[12. Consultation Group of],$D$2,tbl_data[1:T2C],$A23,tbl_data[T2],$D$3)</f>
        <v>0</v>
      </c>
      <c r="AM23" s="198">
        <f>COUNTIFS(tbl_data[12. Consultation Group of],$D$2,tbl_data[2:T2C],$A23,tbl_data[T2],$D$3)</f>
        <v>0</v>
      </c>
      <c r="AN23" s="198">
        <f>COUNTIFS(tbl_data[12. Consultation Group of],$D$2,tbl_data[3:T2C],$A23,tbl_data[T2],$D$3)</f>
        <v>0</v>
      </c>
      <c r="AO23" s="198">
        <f>COUNTIFS(tbl_data[12. Consultation Group of],$D$2,tbl_data[1:T3C],$A23,tbl_data[T3],$D$3)</f>
        <v>0</v>
      </c>
      <c r="AP23" s="198">
        <f>COUNTIFS(tbl_data[12. Consultation Group of],$D$2,tbl_data[2:T3C],$A23,tbl_data[T3],$D$3)</f>
        <v>0</v>
      </c>
      <c r="AQ23" s="198">
        <f>COUNTIFS(tbl_data[12. Consultation Group of],$D$2,tbl_data[3:T3C],$A23,tbl_data[T3],$D$3)</f>
        <v>0</v>
      </c>
      <c r="AR23" s="198">
        <f t="shared" si="3"/>
        <v>0</v>
      </c>
      <c r="AS23" s="199" t="str">
        <f t="shared" si="11"/>
        <v>Reduction In Irrigation (0)</v>
      </c>
      <c r="AT23" s="205">
        <f>COUNTIFS(tbl_data[12. Consultation Group of],$E$2,tbl_data[1:T1C],$A23,tbl_data[T1],$E$3)</f>
        <v>0</v>
      </c>
      <c r="AU23" s="198">
        <f>COUNTIFS(tbl_data[12. Consultation Group of],$E$2,tbl_data[2:T1C],$A23,tbl_data[T1],$E$3)</f>
        <v>0</v>
      </c>
      <c r="AV23" s="198">
        <f>COUNTIFS(tbl_data[12. Consultation Group of],$E$2,tbl_data[3:T1C],$A23,tbl_data[T1],$E$3)</f>
        <v>0</v>
      </c>
      <c r="AW23" s="198">
        <f>COUNTIFS(tbl_data[12. Consultation Group of],$E$2,tbl_data[1:T2C],$A23,tbl_data[T2],$E$3)</f>
        <v>0</v>
      </c>
      <c r="AX23" s="198">
        <f>COUNTIFS(tbl_data[12. Consultation Group of],$E$2,tbl_data[2:T2C],$A23,tbl_data[T2],$E$3)</f>
        <v>0</v>
      </c>
      <c r="AY23" s="198">
        <f>COUNTIFS(tbl_data[12. Consultation Group of],$E$2,tbl_data[3:T2C],$A23,tbl_data[T2],$E$3)</f>
        <v>0</v>
      </c>
      <c r="AZ23" s="198">
        <f>COUNTIFS(tbl_data[12. Consultation Group of],$E$2,tbl_data[1:T3C],$A23,tbl_data[T3],$E$3)</f>
        <v>0</v>
      </c>
      <c r="BA23" s="198">
        <f>COUNTIFS(tbl_data[12. Consultation Group of],$E$2,tbl_data[2:T3C],$A23,tbl_data[T3],$E$3)</f>
        <v>0</v>
      </c>
      <c r="BB23" s="198">
        <f>COUNTIFS(tbl_data[12. Consultation Group of],$E$2,tbl_data[3:T3C],$A23,tbl_data[T3],$E$3)</f>
        <v>0</v>
      </c>
      <c r="BC23" s="198">
        <f t="shared" si="4"/>
        <v>0</v>
      </c>
      <c r="BD23" s="199" t="str">
        <f t="shared" si="12"/>
        <v>Reduction In Irrigation (0)</v>
      </c>
      <c r="BE23" s="205">
        <f>COUNTIFS(tbl_data[1:T1C],$A23,tbl_data[T1],$F$3)</f>
        <v>0</v>
      </c>
      <c r="BF23" s="198">
        <f>COUNTIFS(tbl_data[2:T1C],$A23,tbl_data[T1],$F$3)</f>
        <v>1</v>
      </c>
      <c r="BG23" s="198">
        <f>COUNTIFS(tbl_data[3:T1C],$A23,tbl_data[T1],$F$3)</f>
        <v>0</v>
      </c>
      <c r="BH23" s="198">
        <f>COUNTIFS(tbl_data[1:T2C],$A23,tbl_data[T2],$F$3)</f>
        <v>0</v>
      </c>
      <c r="BI23" s="198">
        <f>COUNTIFS(tbl_data[2:T2C],$A23,tbl_data[T2],$F$3)</f>
        <v>0</v>
      </c>
      <c r="BJ23" s="198">
        <f>COUNTIFS(tbl_data[3:T2C],$A23,tbl_data[T2],$F$3)</f>
        <v>0</v>
      </c>
      <c r="BK23" s="198">
        <f>COUNTIFS(tbl_data[1:T3C],$A23,tbl_data[T3],$F$3)</f>
        <v>0</v>
      </c>
      <c r="BL23" s="198">
        <f>COUNTIFS(tbl_data[2:T3C],$A23,tbl_data[T3],$F$3)</f>
        <v>0</v>
      </c>
      <c r="BM23" s="198">
        <f>COUNTIFS(tbl_data[3:T3C],$A23,tbl_data[T3],$F$3)</f>
        <v>0</v>
      </c>
      <c r="BN23" s="198">
        <f t="shared" si="5"/>
        <v>1</v>
      </c>
      <c r="BO23" s="199" t="str">
        <f t="shared" si="13"/>
        <v>Reduction In Irrigation (1)</v>
      </c>
      <c r="BQ23" t="str">
        <f t="shared" si="6"/>
        <v>Reduction In Irrigation</v>
      </c>
      <c r="BR23">
        <f t="shared" si="7"/>
        <v>2</v>
      </c>
      <c r="BS23" t="s">
        <v>923</v>
      </c>
      <c r="BU23" s="39" t="s">
        <v>923</v>
      </c>
    </row>
    <row r="24" spans="1:74" x14ac:dyDescent="0.25">
      <c r="A24" s="203" t="s">
        <v>166</v>
      </c>
      <c r="B24" s="205">
        <f>COUNTIFS(tbl_data[12. Consultation Group of],$A$2,tbl_data[1:T1C],$A24,tbl_data[T1],$A$3)</f>
        <v>0</v>
      </c>
      <c r="C24" s="198">
        <f>COUNTIFS(tbl_data[12. Consultation Group of],$A$2,tbl_data[2:T1C],$A24,tbl_data[T1],$A$3)</f>
        <v>0</v>
      </c>
      <c r="D24" s="198">
        <f>COUNTIFS(tbl_data[12. Consultation Group of],$A$2,tbl_data[3:T1C],$A24,tbl_data[T1],$A$3)</f>
        <v>0</v>
      </c>
      <c r="E24" s="198">
        <f>COUNTIFS(tbl_data[12. Consultation Group of],$A$2,tbl_data[1:T2C],$A24,tbl_data[T2],$A$3)</f>
        <v>0</v>
      </c>
      <c r="F24" s="198">
        <f>COUNTIFS(tbl_data[12. Consultation Group of],$A$2,tbl_data[2:T2C],$A24,tbl_data[T2],$A$3)</f>
        <v>0</v>
      </c>
      <c r="G24" s="198">
        <f>COUNTIFS(tbl_data[12. Consultation Group of],$A$2,tbl_data[3:T2C],$A24,tbl_data[T2],$A$3)</f>
        <v>0</v>
      </c>
      <c r="H24" s="198">
        <f>COUNTIFS(tbl_data[12. Consultation Group of],$A$2,tbl_data[1:T3C],$A24,tbl_data[T3],$A$3)</f>
        <v>0</v>
      </c>
      <c r="I24" s="198">
        <f>COUNTIFS(tbl_data[12. Consultation Group of],$A$2,tbl_data[2:T3C],$A24,tbl_data[T3],$A$3)</f>
        <v>0</v>
      </c>
      <c r="J24" s="198">
        <f>COUNTIFS(tbl_data[12. Consultation Group of],$A$2,tbl_data[3:T3C],$A24,tbl_data[T3],$A$3)</f>
        <v>0</v>
      </c>
      <c r="K24" s="198">
        <f t="shared" si="0"/>
        <v>0</v>
      </c>
      <c r="L24" s="199" t="str">
        <f t="shared" si="8"/>
        <v>Building Destruction (0)</v>
      </c>
      <c r="M24" s="205">
        <f>COUNTIFS(tbl_data[12. Consultation Group of],$B$2,tbl_data[1:T1C],$A24,tbl_data[T1],$B$3)</f>
        <v>1</v>
      </c>
      <c r="N24" s="198">
        <f>COUNTIFS(tbl_data[12. Consultation Group of],$B$2,tbl_data[2:T1C],$A24,tbl_data[T1],$B$3)</f>
        <v>0</v>
      </c>
      <c r="O24" s="198">
        <f>COUNTIFS(tbl_data[12. Consultation Group of],$B$2,tbl_data[3:T1C],$A24,tbl_data[T1],$B$3)</f>
        <v>0</v>
      </c>
      <c r="P24" s="198">
        <f>COUNTIFS(tbl_data[12. Consultation Group of],$B$2,tbl_data[1:T2C],$A24,tbl_data[T2],$B$3)</f>
        <v>0</v>
      </c>
      <c r="Q24" s="198">
        <f>COUNTIFS(tbl_data[12. Consultation Group of],$B$2,tbl_data[2:T2C],$A24,tbl_data[T2],$B$3)</f>
        <v>0</v>
      </c>
      <c r="R24" s="198">
        <f>COUNTIFS(tbl_data[12. Consultation Group of],$B$2,tbl_data[3:T2C],$A24,tbl_data[T2],$B$3)</f>
        <v>0</v>
      </c>
      <c r="S24" s="198">
        <f>COUNTIFS(tbl_data[12. Consultation Group of],$B$2,tbl_data[1:T3C],$A24,tbl_data[T3],$B$3)</f>
        <v>0</v>
      </c>
      <c r="T24" s="198">
        <f>COUNTIFS(tbl_data[12. Consultation Group of],$B$2,tbl_data[2:T3C],$A24,tbl_data[T3],$B$3)</f>
        <v>0</v>
      </c>
      <c r="U24" s="198">
        <f>COUNTIFS(tbl_data[12. Consultation Group of],$B$2,tbl_data[3:T3C],$A24,tbl_data[T3],$B$3)</f>
        <v>0</v>
      </c>
      <c r="V24" s="198">
        <f t="shared" si="1"/>
        <v>1</v>
      </c>
      <c r="W24" s="199" t="str">
        <f t="shared" si="9"/>
        <v>Building Destruction (1)</v>
      </c>
      <c r="X24" s="205">
        <f>COUNTIFS(tbl_data[12. Consultation Group of],$C$2,tbl_data[1:T1C],$A24,tbl_data[T1],$C$3)</f>
        <v>0</v>
      </c>
      <c r="Y24" s="198">
        <f>COUNTIFS(tbl_data[12. Consultation Group of],$C$2,tbl_data[2:T1C],$A24,tbl_data[T1],$C$3)</f>
        <v>0</v>
      </c>
      <c r="Z24" s="198">
        <f>COUNTIFS(tbl_data[12. Consultation Group of],$C$2,tbl_data[3:T1C],$A24,tbl_data[T1],$C$3)</f>
        <v>0</v>
      </c>
      <c r="AA24" s="198">
        <f>COUNTIFS(tbl_data[12. Consultation Group of],$C$2,tbl_data[1:T2C],$A24,tbl_data[T2],$C$3)</f>
        <v>0</v>
      </c>
      <c r="AB24" s="198">
        <f>COUNTIFS(tbl_data[12. Consultation Group of],$C$2,tbl_data[2:T2C],$A24,tbl_data[T2],$C$3)</f>
        <v>0</v>
      </c>
      <c r="AC24" s="198">
        <f>COUNTIFS(tbl_data[12. Consultation Group of],$C$2,tbl_data[3:T2C],$A24,tbl_data[T2],$C$3)</f>
        <v>0</v>
      </c>
      <c r="AD24" s="198">
        <f>COUNTIFS(tbl_data[12. Consultation Group of],$C$2,tbl_data[1:T3C],$A24,tbl_data[T3],$C$3)</f>
        <v>0</v>
      </c>
      <c r="AE24" s="198">
        <f>COUNTIFS(tbl_data[12. Consultation Group of],$C$2,tbl_data[2:T3C],$A24,tbl_data[T3],$C$3)</f>
        <v>0</v>
      </c>
      <c r="AF24" s="198">
        <f>COUNTIFS(tbl_data[12. Consultation Group of],$C$2,tbl_data[3:T3C],$A24,tbl_data[T3],$C$3)</f>
        <v>0</v>
      </c>
      <c r="AG24" s="198">
        <f t="shared" si="2"/>
        <v>0</v>
      </c>
      <c r="AH24" s="199" t="str">
        <f t="shared" si="10"/>
        <v>Building Destruction (0)</v>
      </c>
      <c r="AI24" s="205">
        <f>COUNTIFS(tbl_data[12. Consultation Group of],$D$2,tbl_data[1:T1C],$A24,tbl_data[T1],$D$3)</f>
        <v>1</v>
      </c>
      <c r="AJ24" s="198">
        <f>COUNTIFS(tbl_data[12. Consultation Group of],$D$2,tbl_data[2:T1C],$A24,tbl_data[T1],$D$3)</f>
        <v>1</v>
      </c>
      <c r="AK24" s="198">
        <f>COUNTIFS(tbl_data[12. Consultation Group of],$D$2,tbl_data[3:T1C],$A24,tbl_data[T1],$D$3)</f>
        <v>0</v>
      </c>
      <c r="AL24" s="198">
        <f>COUNTIFS(tbl_data[12. Consultation Group of],$D$2,tbl_data[1:T2C],$A24,tbl_data[T2],$D$3)</f>
        <v>0</v>
      </c>
      <c r="AM24" s="198">
        <f>COUNTIFS(tbl_data[12. Consultation Group of],$D$2,tbl_data[2:T2C],$A24,tbl_data[T2],$D$3)</f>
        <v>0</v>
      </c>
      <c r="AN24" s="198">
        <f>COUNTIFS(tbl_data[12. Consultation Group of],$D$2,tbl_data[3:T2C],$A24,tbl_data[T2],$D$3)</f>
        <v>0</v>
      </c>
      <c r="AO24" s="198">
        <f>COUNTIFS(tbl_data[12. Consultation Group of],$D$2,tbl_data[1:T3C],$A24,tbl_data[T3],$D$3)</f>
        <v>0</v>
      </c>
      <c r="AP24" s="198">
        <f>COUNTIFS(tbl_data[12. Consultation Group of],$D$2,tbl_data[2:T3C],$A24,tbl_data[T3],$D$3)</f>
        <v>0</v>
      </c>
      <c r="AQ24" s="198">
        <f>COUNTIFS(tbl_data[12. Consultation Group of],$D$2,tbl_data[3:T3C],$A24,tbl_data[T3],$D$3)</f>
        <v>0</v>
      </c>
      <c r="AR24" s="198">
        <f t="shared" si="3"/>
        <v>2</v>
      </c>
      <c r="AS24" s="199" t="str">
        <f t="shared" si="11"/>
        <v>Building Destruction (2)</v>
      </c>
      <c r="AT24" s="205">
        <f>COUNTIFS(tbl_data[12. Consultation Group of],$E$2,tbl_data[1:T1C],$A24,tbl_data[T1],$E$3)</f>
        <v>0</v>
      </c>
      <c r="AU24" s="198">
        <f>COUNTIFS(tbl_data[12. Consultation Group of],$E$2,tbl_data[2:T1C],$A24,tbl_data[T1],$E$3)</f>
        <v>0</v>
      </c>
      <c r="AV24" s="198">
        <f>COUNTIFS(tbl_data[12. Consultation Group of],$E$2,tbl_data[3:T1C],$A24,tbl_data[T1],$E$3)</f>
        <v>0</v>
      </c>
      <c r="AW24" s="198">
        <f>COUNTIFS(tbl_data[12. Consultation Group of],$E$2,tbl_data[1:T2C],$A24,tbl_data[T2],$E$3)</f>
        <v>0</v>
      </c>
      <c r="AX24" s="198">
        <f>COUNTIFS(tbl_data[12. Consultation Group of],$E$2,tbl_data[2:T2C],$A24,tbl_data[T2],$E$3)</f>
        <v>0</v>
      </c>
      <c r="AY24" s="198">
        <f>COUNTIFS(tbl_data[12. Consultation Group of],$E$2,tbl_data[3:T2C],$A24,tbl_data[T2],$E$3)</f>
        <v>0</v>
      </c>
      <c r="AZ24" s="198">
        <f>COUNTIFS(tbl_data[12. Consultation Group of],$E$2,tbl_data[1:T3C],$A24,tbl_data[T3],$E$3)</f>
        <v>0</v>
      </c>
      <c r="BA24" s="198">
        <f>COUNTIFS(tbl_data[12. Consultation Group of],$E$2,tbl_data[2:T3C],$A24,tbl_data[T3],$E$3)</f>
        <v>0</v>
      </c>
      <c r="BB24" s="198">
        <f>COUNTIFS(tbl_data[12. Consultation Group of],$E$2,tbl_data[3:T3C],$A24,tbl_data[T3],$E$3)</f>
        <v>0</v>
      </c>
      <c r="BC24" s="198">
        <f t="shared" si="4"/>
        <v>0</v>
      </c>
      <c r="BD24" s="199" t="str">
        <f t="shared" si="12"/>
        <v>Building Destruction (0)</v>
      </c>
      <c r="BE24" s="205">
        <f>COUNTIFS(tbl_data[1:T1C],$A24,tbl_data[T1],$F$3)</f>
        <v>2</v>
      </c>
      <c r="BF24" s="198">
        <f>COUNTIFS(tbl_data[2:T1C],$A24,tbl_data[T1],$F$3)</f>
        <v>1</v>
      </c>
      <c r="BG24" s="198">
        <f>COUNTIFS(tbl_data[3:T1C],$A24,tbl_data[T1],$F$3)</f>
        <v>0</v>
      </c>
      <c r="BH24" s="198">
        <f>COUNTIFS(tbl_data[1:T2C],$A24,tbl_data[T2],$F$3)</f>
        <v>0</v>
      </c>
      <c r="BI24" s="198">
        <f>COUNTIFS(tbl_data[2:T2C],$A24,tbl_data[T2],$F$3)</f>
        <v>0</v>
      </c>
      <c r="BJ24" s="198">
        <f>COUNTIFS(tbl_data[3:T2C],$A24,tbl_data[T2],$F$3)</f>
        <v>0</v>
      </c>
      <c r="BK24" s="198">
        <f>COUNTIFS(tbl_data[1:T3C],$A24,tbl_data[T3],$F$3)</f>
        <v>0</v>
      </c>
      <c r="BL24" s="198">
        <f>COUNTIFS(tbl_data[2:T3C],$A24,tbl_data[T3],$F$3)</f>
        <v>0</v>
      </c>
      <c r="BM24" s="198">
        <f>COUNTIFS(tbl_data[3:T3C],$A24,tbl_data[T3],$F$3)</f>
        <v>0</v>
      </c>
      <c r="BN24" s="198">
        <f t="shared" si="5"/>
        <v>3</v>
      </c>
      <c r="BO24" s="199" t="str">
        <f t="shared" si="13"/>
        <v>Building Destruction (3)</v>
      </c>
      <c r="BQ24" t="str">
        <f t="shared" si="6"/>
        <v>Building Destruction</v>
      </c>
      <c r="BR24">
        <f t="shared" si="7"/>
        <v>6</v>
      </c>
      <c r="BS24" t="s">
        <v>924</v>
      </c>
      <c r="BU24" s="274" t="s">
        <v>924</v>
      </c>
    </row>
    <row r="25" spans="1:74" x14ac:dyDescent="0.25">
      <c r="A25" s="203" t="s">
        <v>260</v>
      </c>
      <c r="B25" s="205">
        <f>COUNTIFS(tbl_data[12. Consultation Group of],$A$2,tbl_data[1:T1C],$A25,tbl_data[T1],$A$3)</f>
        <v>0</v>
      </c>
      <c r="C25" s="198">
        <f>COUNTIFS(tbl_data[12. Consultation Group of],$A$2,tbl_data[2:T1C],$A25,tbl_data[T1],$A$3)</f>
        <v>0</v>
      </c>
      <c r="D25" s="198">
        <f>COUNTIFS(tbl_data[12. Consultation Group of],$A$2,tbl_data[3:T1C],$A25,tbl_data[T1],$A$3)</f>
        <v>0</v>
      </c>
      <c r="E25" s="198">
        <f>COUNTIFS(tbl_data[12. Consultation Group of],$A$2,tbl_data[1:T2C],$A25,tbl_data[T2],$A$3)</f>
        <v>0</v>
      </c>
      <c r="F25" s="198">
        <f>COUNTIFS(tbl_data[12. Consultation Group of],$A$2,tbl_data[2:T2C],$A25,tbl_data[T2],$A$3)</f>
        <v>0</v>
      </c>
      <c r="G25" s="198">
        <f>COUNTIFS(tbl_data[12. Consultation Group of],$A$2,tbl_data[3:T2C],$A25,tbl_data[T2],$A$3)</f>
        <v>0</v>
      </c>
      <c r="H25" s="198">
        <f>COUNTIFS(tbl_data[12. Consultation Group of],$A$2,tbl_data[1:T3C],$A25,tbl_data[T3],$A$3)</f>
        <v>0</v>
      </c>
      <c r="I25" s="198">
        <f>COUNTIFS(tbl_data[12. Consultation Group of],$A$2,tbl_data[2:T3C],$A25,tbl_data[T3],$A$3)</f>
        <v>0</v>
      </c>
      <c r="J25" s="198">
        <f>COUNTIFS(tbl_data[12. Consultation Group of],$A$2,tbl_data[3:T3C],$A25,tbl_data[T3],$A$3)</f>
        <v>0</v>
      </c>
      <c r="K25" s="198">
        <f t="shared" si="0"/>
        <v>0</v>
      </c>
      <c r="L25" s="199" t="str">
        <f t="shared" si="8"/>
        <v>Livestock Loss (0)</v>
      </c>
      <c r="M25" s="205">
        <f>COUNTIFS(tbl_data[12. Consultation Group of],$B$2,tbl_data[1:T1C],$A25,tbl_data[T1],$B$3)</f>
        <v>0</v>
      </c>
      <c r="N25" s="198">
        <f>COUNTIFS(tbl_data[12. Consultation Group of],$B$2,tbl_data[2:T1C],$A25,tbl_data[T1],$B$3)</f>
        <v>0</v>
      </c>
      <c r="O25" s="198">
        <f>COUNTIFS(tbl_data[12. Consultation Group of],$B$2,tbl_data[3:T1C],$A25,tbl_data[T1],$B$3)</f>
        <v>0</v>
      </c>
      <c r="P25" s="198">
        <f>COUNTIFS(tbl_data[12. Consultation Group of],$B$2,tbl_data[1:T2C],$A25,tbl_data[T2],$B$3)</f>
        <v>0</v>
      </c>
      <c r="Q25" s="198">
        <f>COUNTIFS(tbl_data[12. Consultation Group of],$B$2,tbl_data[2:T2C],$A25,tbl_data[T2],$B$3)</f>
        <v>0</v>
      </c>
      <c r="R25" s="198">
        <f>COUNTIFS(tbl_data[12. Consultation Group of],$B$2,tbl_data[3:T2C],$A25,tbl_data[T2],$B$3)</f>
        <v>0</v>
      </c>
      <c r="S25" s="198">
        <f>COUNTIFS(tbl_data[12. Consultation Group of],$B$2,tbl_data[1:T3C],$A25,tbl_data[T3],$B$3)</f>
        <v>0</v>
      </c>
      <c r="T25" s="198">
        <f>COUNTIFS(tbl_data[12. Consultation Group of],$B$2,tbl_data[2:T3C],$A25,tbl_data[T3],$B$3)</f>
        <v>0</v>
      </c>
      <c r="U25" s="198">
        <f>COUNTIFS(tbl_data[12. Consultation Group of],$B$2,tbl_data[3:T3C],$A25,tbl_data[T3],$B$3)</f>
        <v>0</v>
      </c>
      <c r="V25" s="198">
        <f t="shared" si="1"/>
        <v>0</v>
      </c>
      <c r="W25" s="199" t="str">
        <f t="shared" si="9"/>
        <v>Livestock Loss (0)</v>
      </c>
      <c r="X25" s="205">
        <f>COUNTIFS(tbl_data[12. Consultation Group of],$C$2,tbl_data[1:T1C],$A25,tbl_data[T1],$C$3)</f>
        <v>0</v>
      </c>
      <c r="Y25" s="198">
        <f>COUNTIFS(tbl_data[12. Consultation Group of],$C$2,tbl_data[2:T1C],$A25,tbl_data[T1],$C$3)</f>
        <v>0</v>
      </c>
      <c r="Z25" s="198">
        <f>COUNTIFS(tbl_data[12. Consultation Group of],$C$2,tbl_data[3:T1C],$A25,tbl_data[T1],$C$3)</f>
        <v>0</v>
      </c>
      <c r="AA25" s="198">
        <f>COUNTIFS(tbl_data[12. Consultation Group of],$C$2,tbl_data[1:T2C],$A25,tbl_data[T2],$C$3)</f>
        <v>0</v>
      </c>
      <c r="AB25" s="198">
        <f>COUNTIFS(tbl_data[12. Consultation Group of],$C$2,tbl_data[2:T2C],$A25,tbl_data[T2],$C$3)</f>
        <v>0</v>
      </c>
      <c r="AC25" s="198">
        <f>COUNTIFS(tbl_data[12. Consultation Group of],$C$2,tbl_data[3:T2C],$A25,tbl_data[T2],$C$3)</f>
        <v>0</v>
      </c>
      <c r="AD25" s="198">
        <f>COUNTIFS(tbl_data[12. Consultation Group of],$C$2,tbl_data[1:T3C],$A25,tbl_data[T3],$C$3)</f>
        <v>0</v>
      </c>
      <c r="AE25" s="198">
        <f>COUNTIFS(tbl_data[12. Consultation Group of],$C$2,tbl_data[2:T3C],$A25,tbl_data[T3],$C$3)</f>
        <v>0</v>
      </c>
      <c r="AF25" s="198">
        <f>COUNTIFS(tbl_data[12. Consultation Group of],$C$2,tbl_data[3:T3C],$A25,tbl_data[T3],$C$3)</f>
        <v>0</v>
      </c>
      <c r="AG25" s="198">
        <f t="shared" si="2"/>
        <v>0</v>
      </c>
      <c r="AH25" s="199" t="str">
        <f t="shared" si="10"/>
        <v>Livestock Loss (0)</v>
      </c>
      <c r="AI25" s="205">
        <f>COUNTIFS(tbl_data[12. Consultation Group of],$D$2,tbl_data[1:T1C],$A25,tbl_data[T1],$D$3)</f>
        <v>0</v>
      </c>
      <c r="AJ25" s="198">
        <f>COUNTIFS(tbl_data[12. Consultation Group of],$D$2,tbl_data[2:T1C],$A25,tbl_data[T1],$D$3)</f>
        <v>0</v>
      </c>
      <c r="AK25" s="198">
        <f>COUNTIFS(tbl_data[12. Consultation Group of],$D$2,tbl_data[3:T1C],$A25,tbl_data[T1],$D$3)</f>
        <v>0</v>
      </c>
      <c r="AL25" s="198">
        <f>COUNTIFS(tbl_data[12. Consultation Group of],$D$2,tbl_data[1:T2C],$A25,tbl_data[T2],$D$3)</f>
        <v>0</v>
      </c>
      <c r="AM25" s="198">
        <f>COUNTIFS(tbl_data[12. Consultation Group of],$D$2,tbl_data[2:T2C],$A25,tbl_data[T2],$D$3)</f>
        <v>0</v>
      </c>
      <c r="AN25" s="198">
        <f>COUNTIFS(tbl_data[12. Consultation Group of],$D$2,tbl_data[3:T2C],$A25,tbl_data[T2],$D$3)</f>
        <v>0</v>
      </c>
      <c r="AO25" s="198">
        <f>COUNTIFS(tbl_data[12. Consultation Group of],$D$2,tbl_data[1:T3C],$A25,tbl_data[T3],$D$3)</f>
        <v>0</v>
      </c>
      <c r="AP25" s="198">
        <f>COUNTIFS(tbl_data[12. Consultation Group of],$D$2,tbl_data[2:T3C],$A25,tbl_data[T3],$D$3)</f>
        <v>0</v>
      </c>
      <c r="AQ25" s="198">
        <f>COUNTIFS(tbl_data[12. Consultation Group of],$D$2,tbl_data[3:T3C],$A25,tbl_data[T3],$D$3)</f>
        <v>0</v>
      </c>
      <c r="AR25" s="198">
        <f t="shared" si="3"/>
        <v>0</v>
      </c>
      <c r="AS25" s="199" t="str">
        <f t="shared" si="11"/>
        <v>Livestock Loss (0)</v>
      </c>
      <c r="AT25" s="205">
        <f>COUNTIFS(tbl_data[12. Consultation Group of],$E$2,tbl_data[1:T1C],$A25,tbl_data[T1],$E$3)</f>
        <v>0</v>
      </c>
      <c r="AU25" s="198">
        <f>COUNTIFS(tbl_data[12. Consultation Group of],$E$2,tbl_data[2:T1C],$A25,tbl_data[T1],$E$3)</f>
        <v>0</v>
      </c>
      <c r="AV25" s="198">
        <f>COUNTIFS(tbl_data[12. Consultation Group of],$E$2,tbl_data[3:T1C],$A25,tbl_data[T1],$E$3)</f>
        <v>0</v>
      </c>
      <c r="AW25" s="198">
        <f>COUNTIFS(tbl_data[12. Consultation Group of],$E$2,tbl_data[1:T2C],$A25,tbl_data[T2],$E$3)</f>
        <v>0</v>
      </c>
      <c r="AX25" s="198">
        <f>COUNTIFS(tbl_data[12. Consultation Group of],$E$2,tbl_data[2:T2C],$A25,tbl_data[T2],$E$3)</f>
        <v>0</v>
      </c>
      <c r="AY25" s="198">
        <f>COUNTIFS(tbl_data[12. Consultation Group of],$E$2,tbl_data[3:T2C],$A25,tbl_data[T2],$E$3)</f>
        <v>0</v>
      </c>
      <c r="AZ25" s="198">
        <f>COUNTIFS(tbl_data[12. Consultation Group of],$E$2,tbl_data[1:T3C],$A25,tbl_data[T3],$E$3)</f>
        <v>0</v>
      </c>
      <c r="BA25" s="198">
        <f>COUNTIFS(tbl_data[12. Consultation Group of],$E$2,tbl_data[2:T3C],$A25,tbl_data[T3],$E$3)</f>
        <v>0</v>
      </c>
      <c r="BB25" s="198">
        <f>COUNTIFS(tbl_data[12. Consultation Group of],$E$2,tbl_data[3:T3C],$A25,tbl_data[T3],$E$3)</f>
        <v>0</v>
      </c>
      <c r="BC25" s="198">
        <f t="shared" si="4"/>
        <v>0</v>
      </c>
      <c r="BD25" s="199" t="str">
        <f t="shared" si="12"/>
        <v>Livestock Loss (0)</v>
      </c>
      <c r="BE25" s="205">
        <f>COUNTIFS(tbl_data[1:T1C],$A25,tbl_data[T1],$F$3)</f>
        <v>0</v>
      </c>
      <c r="BF25" s="198">
        <f>COUNTIFS(tbl_data[2:T1C],$A25,tbl_data[T1],$F$3)</f>
        <v>1</v>
      </c>
      <c r="BG25" s="198">
        <f>COUNTIFS(tbl_data[3:T1C],$A25,tbl_data[T1],$F$3)</f>
        <v>0</v>
      </c>
      <c r="BH25" s="198">
        <f>COUNTIFS(tbl_data[1:T2C],$A25,tbl_data[T2],$F$3)</f>
        <v>0</v>
      </c>
      <c r="BI25" s="198">
        <f>COUNTIFS(tbl_data[2:T2C],$A25,tbl_data[T2],$F$3)</f>
        <v>0</v>
      </c>
      <c r="BJ25" s="198">
        <f>COUNTIFS(tbl_data[3:T2C],$A25,tbl_data[T2],$F$3)</f>
        <v>0</v>
      </c>
      <c r="BK25" s="198">
        <f>COUNTIFS(tbl_data[1:T3C],$A25,tbl_data[T3],$F$3)</f>
        <v>0</v>
      </c>
      <c r="BL25" s="198">
        <f>COUNTIFS(tbl_data[2:T3C],$A25,tbl_data[T3],$F$3)</f>
        <v>0</v>
      </c>
      <c r="BM25" s="198">
        <f>COUNTIFS(tbl_data[3:T3C],$A25,tbl_data[T3],$F$3)</f>
        <v>0</v>
      </c>
      <c r="BN25" s="198">
        <f t="shared" si="5"/>
        <v>1</v>
      </c>
      <c r="BO25" s="199" t="str">
        <f t="shared" si="13"/>
        <v>Livestock Loss (1)</v>
      </c>
      <c r="BQ25" t="str">
        <f t="shared" si="6"/>
        <v>Livestock Loss</v>
      </c>
      <c r="BR25">
        <f t="shared" si="7"/>
        <v>1</v>
      </c>
      <c r="BS25" t="s">
        <v>924</v>
      </c>
      <c r="BU25" s="274" t="s">
        <v>924</v>
      </c>
    </row>
    <row r="26" spans="1:74" x14ac:dyDescent="0.25">
      <c r="A26" s="203" t="s">
        <v>303</v>
      </c>
      <c r="B26" s="205">
        <f>COUNTIFS(tbl_data[12. Consultation Group of],$A$2,tbl_data[1:T1C],$A26,tbl_data[T1],$A$3)</f>
        <v>0</v>
      </c>
      <c r="C26" s="198">
        <f>COUNTIFS(tbl_data[12. Consultation Group of],$A$2,tbl_data[2:T1C],$A26,tbl_data[T1],$A$3)</f>
        <v>0</v>
      </c>
      <c r="D26" s="198">
        <f>COUNTIFS(tbl_data[12. Consultation Group of],$A$2,tbl_data[3:T1C],$A26,tbl_data[T1],$A$3)</f>
        <v>0</v>
      </c>
      <c r="E26" s="198">
        <f>COUNTIFS(tbl_data[12. Consultation Group of],$A$2,tbl_data[1:T2C],$A26,tbl_data[T2],$A$3)</f>
        <v>0</v>
      </c>
      <c r="F26" s="198">
        <f>COUNTIFS(tbl_data[12. Consultation Group of],$A$2,tbl_data[2:T2C],$A26,tbl_data[T2],$A$3)</f>
        <v>0</v>
      </c>
      <c r="G26" s="198">
        <f>COUNTIFS(tbl_data[12. Consultation Group of],$A$2,tbl_data[3:T2C],$A26,tbl_data[T2],$A$3)</f>
        <v>0</v>
      </c>
      <c r="H26" s="198">
        <f>COUNTIFS(tbl_data[12. Consultation Group of],$A$2,tbl_data[1:T3C],$A26,tbl_data[T3],$A$3)</f>
        <v>0</v>
      </c>
      <c r="I26" s="198">
        <f>COUNTIFS(tbl_data[12. Consultation Group of],$A$2,tbl_data[2:T3C],$A26,tbl_data[T3],$A$3)</f>
        <v>0</v>
      </c>
      <c r="J26" s="198">
        <f>COUNTIFS(tbl_data[12. Consultation Group of],$A$2,tbl_data[3:T3C],$A26,tbl_data[T3],$A$3)</f>
        <v>0</v>
      </c>
      <c r="K26" s="198">
        <f t="shared" si="0"/>
        <v>0</v>
      </c>
      <c r="L26" s="199" t="str">
        <f t="shared" si="8"/>
        <v>Flooding (0)</v>
      </c>
      <c r="M26" s="205">
        <f>COUNTIFS(tbl_data[12. Consultation Group of],$B$2,tbl_data[1:T1C],$A26,tbl_data[T1],$B$3)</f>
        <v>0</v>
      </c>
      <c r="N26" s="198">
        <f>COUNTIFS(tbl_data[12. Consultation Group of],$B$2,tbl_data[2:T1C],$A26,tbl_data[T1],$B$3)</f>
        <v>0</v>
      </c>
      <c r="O26" s="198">
        <f>COUNTIFS(tbl_data[12. Consultation Group of],$B$2,tbl_data[3:T1C],$A26,tbl_data[T1],$B$3)</f>
        <v>0</v>
      </c>
      <c r="P26" s="198">
        <f>COUNTIFS(tbl_data[12. Consultation Group of],$B$2,tbl_data[1:T2C],$A26,tbl_data[T2],$B$3)</f>
        <v>0</v>
      </c>
      <c r="Q26" s="198">
        <f>COUNTIFS(tbl_data[12. Consultation Group of],$B$2,tbl_data[2:T2C],$A26,tbl_data[T2],$B$3)</f>
        <v>0</v>
      </c>
      <c r="R26" s="198">
        <f>COUNTIFS(tbl_data[12. Consultation Group of],$B$2,tbl_data[3:T2C],$A26,tbl_data[T2],$B$3)</f>
        <v>0</v>
      </c>
      <c r="S26" s="198">
        <f>COUNTIFS(tbl_data[12. Consultation Group of],$B$2,tbl_data[1:T3C],$A26,tbl_data[T3],$B$3)</f>
        <v>0</v>
      </c>
      <c r="T26" s="198">
        <f>COUNTIFS(tbl_data[12. Consultation Group of],$B$2,tbl_data[2:T3C],$A26,tbl_data[T3],$B$3)</f>
        <v>0</v>
      </c>
      <c r="U26" s="198">
        <f>COUNTIFS(tbl_data[12. Consultation Group of],$B$2,tbl_data[3:T3C],$A26,tbl_data[T3],$B$3)</f>
        <v>0</v>
      </c>
      <c r="V26" s="198">
        <f t="shared" si="1"/>
        <v>0</v>
      </c>
      <c r="W26" s="199" t="str">
        <f t="shared" si="9"/>
        <v>Flooding (0)</v>
      </c>
      <c r="X26" s="205">
        <f>COUNTIFS(tbl_data[12. Consultation Group of],$C$2,tbl_data[1:T1C],$A26,tbl_data[T1],$C$3)</f>
        <v>0</v>
      </c>
      <c r="Y26" s="198">
        <f>COUNTIFS(tbl_data[12. Consultation Group of],$C$2,tbl_data[2:T1C],$A26,tbl_data[T1],$C$3)</f>
        <v>1</v>
      </c>
      <c r="Z26" s="198">
        <f>COUNTIFS(tbl_data[12. Consultation Group of],$C$2,tbl_data[3:T1C],$A26,tbl_data[T1],$C$3)</f>
        <v>0</v>
      </c>
      <c r="AA26" s="198">
        <f>COUNTIFS(tbl_data[12. Consultation Group of],$C$2,tbl_data[1:T2C],$A26,tbl_data[T2],$C$3)</f>
        <v>0</v>
      </c>
      <c r="AB26" s="198">
        <f>COUNTIFS(tbl_data[12. Consultation Group of],$C$2,tbl_data[2:T2C],$A26,tbl_data[T2],$C$3)</f>
        <v>0</v>
      </c>
      <c r="AC26" s="198">
        <f>COUNTIFS(tbl_data[12. Consultation Group of],$C$2,tbl_data[3:T2C],$A26,tbl_data[T2],$C$3)</f>
        <v>0</v>
      </c>
      <c r="AD26" s="198">
        <f>COUNTIFS(tbl_data[12. Consultation Group of],$C$2,tbl_data[1:T3C],$A26,tbl_data[T3],$C$3)</f>
        <v>0</v>
      </c>
      <c r="AE26" s="198">
        <f>COUNTIFS(tbl_data[12. Consultation Group of],$C$2,tbl_data[2:T3C],$A26,tbl_data[T3],$C$3)</f>
        <v>0</v>
      </c>
      <c r="AF26" s="198">
        <f>COUNTIFS(tbl_data[12. Consultation Group of],$C$2,tbl_data[3:T3C],$A26,tbl_data[T3],$C$3)</f>
        <v>0</v>
      </c>
      <c r="AG26" s="198">
        <f t="shared" si="2"/>
        <v>1</v>
      </c>
      <c r="AH26" s="199" t="str">
        <f t="shared" si="10"/>
        <v>Flooding (1)</v>
      </c>
      <c r="AI26" s="205">
        <f>COUNTIFS(tbl_data[12. Consultation Group of],$D$2,tbl_data[1:T1C],$A26,tbl_data[T1],$D$3)</f>
        <v>0</v>
      </c>
      <c r="AJ26" s="198">
        <f>COUNTIFS(tbl_data[12. Consultation Group of],$D$2,tbl_data[2:T1C],$A26,tbl_data[T1],$D$3)</f>
        <v>0</v>
      </c>
      <c r="AK26" s="198">
        <f>COUNTIFS(tbl_data[12. Consultation Group of],$D$2,tbl_data[3:T1C],$A26,tbl_data[T1],$D$3)</f>
        <v>0</v>
      </c>
      <c r="AL26" s="198">
        <f>COUNTIFS(tbl_data[12. Consultation Group of],$D$2,tbl_data[1:T2C],$A26,tbl_data[T2],$D$3)</f>
        <v>0</v>
      </c>
      <c r="AM26" s="198">
        <f>COUNTIFS(tbl_data[12. Consultation Group of],$D$2,tbl_data[2:T2C],$A26,tbl_data[T2],$D$3)</f>
        <v>0</v>
      </c>
      <c r="AN26" s="198">
        <f>COUNTIFS(tbl_data[12. Consultation Group of],$D$2,tbl_data[3:T2C],$A26,tbl_data[T2],$D$3)</f>
        <v>0</v>
      </c>
      <c r="AO26" s="198">
        <f>COUNTIFS(tbl_data[12. Consultation Group of],$D$2,tbl_data[1:T3C],$A26,tbl_data[T3],$D$3)</f>
        <v>0</v>
      </c>
      <c r="AP26" s="198">
        <f>COUNTIFS(tbl_data[12. Consultation Group of],$D$2,tbl_data[2:T3C],$A26,tbl_data[T3],$D$3)</f>
        <v>0</v>
      </c>
      <c r="AQ26" s="198">
        <f>COUNTIFS(tbl_data[12. Consultation Group of],$D$2,tbl_data[3:T3C],$A26,tbl_data[T3],$D$3)</f>
        <v>0</v>
      </c>
      <c r="AR26" s="198">
        <f t="shared" si="3"/>
        <v>0</v>
      </c>
      <c r="AS26" s="199" t="str">
        <f t="shared" si="11"/>
        <v>Flooding (0)</v>
      </c>
      <c r="AT26" s="205">
        <f>COUNTIFS(tbl_data[12. Consultation Group of],$E$2,tbl_data[1:T1C],$A26,tbl_data[T1],$E$3)</f>
        <v>0</v>
      </c>
      <c r="AU26" s="198">
        <f>COUNTIFS(tbl_data[12. Consultation Group of],$E$2,tbl_data[2:T1C],$A26,tbl_data[T1],$E$3)</f>
        <v>0</v>
      </c>
      <c r="AV26" s="198">
        <f>COUNTIFS(tbl_data[12. Consultation Group of],$E$2,tbl_data[3:T1C],$A26,tbl_data[T1],$E$3)</f>
        <v>0</v>
      </c>
      <c r="AW26" s="198">
        <f>COUNTIFS(tbl_data[12. Consultation Group of],$E$2,tbl_data[1:T2C],$A26,tbl_data[T2],$E$3)</f>
        <v>0</v>
      </c>
      <c r="AX26" s="198">
        <f>COUNTIFS(tbl_data[12. Consultation Group of],$E$2,tbl_data[2:T2C],$A26,tbl_data[T2],$E$3)</f>
        <v>0</v>
      </c>
      <c r="AY26" s="198">
        <f>COUNTIFS(tbl_data[12. Consultation Group of],$E$2,tbl_data[3:T2C],$A26,tbl_data[T2],$E$3)</f>
        <v>0</v>
      </c>
      <c r="AZ26" s="198">
        <f>COUNTIFS(tbl_data[12. Consultation Group of],$E$2,tbl_data[1:T3C],$A26,tbl_data[T3],$E$3)</f>
        <v>0</v>
      </c>
      <c r="BA26" s="198">
        <f>COUNTIFS(tbl_data[12. Consultation Group of],$E$2,tbl_data[2:T3C],$A26,tbl_data[T3],$E$3)</f>
        <v>0</v>
      </c>
      <c r="BB26" s="198">
        <f>COUNTIFS(tbl_data[12. Consultation Group of],$E$2,tbl_data[3:T3C],$A26,tbl_data[T3],$E$3)</f>
        <v>0</v>
      </c>
      <c r="BC26" s="198">
        <f t="shared" si="4"/>
        <v>0</v>
      </c>
      <c r="BD26" s="199" t="str">
        <f t="shared" si="12"/>
        <v>Flooding (0)</v>
      </c>
      <c r="BE26" s="205">
        <f>COUNTIFS(tbl_data[1:T1C],$A26,tbl_data[T1],$F$3)</f>
        <v>0</v>
      </c>
      <c r="BF26" s="198">
        <f>COUNTIFS(tbl_data[2:T1C],$A26,tbl_data[T1],$F$3)</f>
        <v>1</v>
      </c>
      <c r="BG26" s="198">
        <f>COUNTIFS(tbl_data[3:T1C],$A26,tbl_data[T1],$F$3)</f>
        <v>0</v>
      </c>
      <c r="BH26" s="198">
        <f>COUNTIFS(tbl_data[1:T2C],$A26,tbl_data[T2],$F$3)</f>
        <v>0</v>
      </c>
      <c r="BI26" s="198">
        <f>COUNTIFS(tbl_data[2:T2C],$A26,tbl_data[T2],$F$3)</f>
        <v>0</v>
      </c>
      <c r="BJ26" s="198">
        <f>COUNTIFS(tbl_data[3:T2C],$A26,tbl_data[T2],$F$3)</f>
        <v>0</v>
      </c>
      <c r="BK26" s="198">
        <f>COUNTIFS(tbl_data[1:T3C],$A26,tbl_data[T3],$F$3)</f>
        <v>0</v>
      </c>
      <c r="BL26" s="198">
        <f>COUNTIFS(tbl_data[2:T3C],$A26,tbl_data[T3],$F$3)</f>
        <v>0</v>
      </c>
      <c r="BM26" s="198">
        <f>COUNTIFS(tbl_data[3:T3C],$A26,tbl_data[T3],$F$3)</f>
        <v>0</v>
      </c>
      <c r="BN26" s="198">
        <f t="shared" si="5"/>
        <v>1</v>
      </c>
      <c r="BO26" s="199" t="str">
        <f t="shared" si="13"/>
        <v>Flooding (1)</v>
      </c>
      <c r="BQ26" s="218" t="str">
        <f t="shared" si="6"/>
        <v>Flooding</v>
      </c>
      <c r="BR26">
        <f t="shared" si="7"/>
        <v>2</v>
      </c>
      <c r="BV26" t="s">
        <v>931</v>
      </c>
    </row>
    <row r="27" spans="1:74" x14ac:dyDescent="0.25">
      <c r="A27" s="203" t="s">
        <v>167</v>
      </c>
      <c r="B27" s="205">
        <f>COUNTIFS(tbl_data[12. Consultation Group of],$A$2,tbl_data[1:T1C],$A27,tbl_data[T1],$A$3)</f>
        <v>0</v>
      </c>
      <c r="C27" s="198">
        <f>COUNTIFS(tbl_data[12. Consultation Group of],$A$2,tbl_data[2:T1C],$A27,tbl_data[T1],$A$3)</f>
        <v>1</v>
      </c>
      <c r="D27" s="198">
        <f>COUNTIFS(tbl_data[12. Consultation Group of],$A$2,tbl_data[3:T1C],$A27,tbl_data[T1],$A$3)</f>
        <v>1</v>
      </c>
      <c r="E27" s="198">
        <f>COUNTIFS(tbl_data[12. Consultation Group of],$A$2,tbl_data[1:T2C],$A27,tbl_data[T2],$A$3)</f>
        <v>0</v>
      </c>
      <c r="F27" s="198">
        <f>COUNTIFS(tbl_data[12. Consultation Group of],$A$2,tbl_data[2:T2C],$A27,tbl_data[T2],$A$3)</f>
        <v>0</v>
      </c>
      <c r="G27" s="198">
        <f>COUNTIFS(tbl_data[12. Consultation Group of],$A$2,tbl_data[3:T2C],$A27,tbl_data[T2],$A$3)</f>
        <v>0</v>
      </c>
      <c r="H27" s="198">
        <f>COUNTIFS(tbl_data[12. Consultation Group of],$A$2,tbl_data[1:T3C],$A27,tbl_data[T3],$A$3)</f>
        <v>0</v>
      </c>
      <c r="I27" s="198">
        <f>COUNTIFS(tbl_data[12. Consultation Group of],$A$2,tbl_data[2:T3C],$A27,tbl_data[T3],$A$3)</f>
        <v>0</v>
      </c>
      <c r="J27" s="198">
        <f>COUNTIFS(tbl_data[12. Consultation Group of],$A$2,tbl_data[3:T3C],$A27,tbl_data[T3],$A$3)</f>
        <v>0</v>
      </c>
      <c r="K27" s="198">
        <f t="shared" si="0"/>
        <v>2</v>
      </c>
      <c r="L27" s="199" t="str">
        <f t="shared" si="8"/>
        <v>Environmental effects (2)</v>
      </c>
      <c r="M27" s="205">
        <f>COUNTIFS(tbl_data[12. Consultation Group of],$B$2,tbl_data[1:T1C],$A27,tbl_data[T1],$B$3)</f>
        <v>0</v>
      </c>
      <c r="N27" s="198">
        <f>COUNTIFS(tbl_data[12. Consultation Group of],$B$2,tbl_data[2:T1C],$A27,tbl_data[T1],$B$3)</f>
        <v>0</v>
      </c>
      <c r="O27" s="198">
        <f>COUNTIFS(tbl_data[12. Consultation Group of],$B$2,tbl_data[3:T1C],$A27,tbl_data[T1],$B$3)</f>
        <v>0</v>
      </c>
      <c r="P27" s="198">
        <f>COUNTIFS(tbl_data[12. Consultation Group of],$B$2,tbl_data[1:T2C],$A27,tbl_data[T2],$B$3)</f>
        <v>0</v>
      </c>
      <c r="Q27" s="198">
        <f>COUNTIFS(tbl_data[12. Consultation Group of],$B$2,tbl_data[2:T2C],$A27,tbl_data[T2],$B$3)</f>
        <v>0</v>
      </c>
      <c r="R27" s="198">
        <f>COUNTIFS(tbl_data[12. Consultation Group of],$B$2,tbl_data[3:T2C],$A27,tbl_data[T2],$B$3)</f>
        <v>0</v>
      </c>
      <c r="S27" s="198">
        <f>COUNTIFS(tbl_data[12. Consultation Group of],$B$2,tbl_data[1:T3C],$A27,tbl_data[T3],$B$3)</f>
        <v>0</v>
      </c>
      <c r="T27" s="198">
        <f>COUNTIFS(tbl_data[12. Consultation Group of],$B$2,tbl_data[2:T3C],$A27,tbl_data[T3],$B$3)</f>
        <v>0</v>
      </c>
      <c r="U27" s="198">
        <f>COUNTIFS(tbl_data[12. Consultation Group of],$B$2,tbl_data[3:T3C],$A27,tbl_data[T3],$B$3)</f>
        <v>0</v>
      </c>
      <c r="V27" s="198">
        <f t="shared" si="1"/>
        <v>0</v>
      </c>
      <c r="W27" s="199" t="str">
        <f t="shared" si="9"/>
        <v>Environmental effects (0)</v>
      </c>
      <c r="X27" s="205">
        <f>COUNTIFS(tbl_data[12. Consultation Group of],$C$2,tbl_data[1:T1C],$A27,tbl_data[T1],$C$3)</f>
        <v>0</v>
      </c>
      <c r="Y27" s="198">
        <f>COUNTIFS(tbl_data[12. Consultation Group of],$C$2,tbl_data[2:T1C],$A27,tbl_data[T1],$C$3)</f>
        <v>2</v>
      </c>
      <c r="Z27" s="198">
        <f>COUNTIFS(tbl_data[12. Consultation Group of],$C$2,tbl_data[3:T1C],$A27,tbl_data[T1],$C$3)</f>
        <v>0</v>
      </c>
      <c r="AA27" s="198">
        <f>COUNTIFS(tbl_data[12. Consultation Group of],$C$2,tbl_data[1:T2C],$A27,tbl_data[T2],$C$3)</f>
        <v>0</v>
      </c>
      <c r="AB27" s="198">
        <f>COUNTIFS(tbl_data[12. Consultation Group of],$C$2,tbl_data[2:T2C],$A27,tbl_data[T2],$C$3)</f>
        <v>0</v>
      </c>
      <c r="AC27" s="198">
        <f>COUNTIFS(tbl_data[12. Consultation Group of],$C$2,tbl_data[3:T2C],$A27,tbl_data[T2],$C$3)</f>
        <v>0</v>
      </c>
      <c r="AD27" s="198">
        <f>COUNTIFS(tbl_data[12. Consultation Group of],$C$2,tbl_data[1:T3C],$A27,tbl_data[T3],$C$3)</f>
        <v>0</v>
      </c>
      <c r="AE27" s="198">
        <f>COUNTIFS(tbl_data[12. Consultation Group of],$C$2,tbl_data[2:T3C],$A27,tbl_data[T3],$C$3)</f>
        <v>0</v>
      </c>
      <c r="AF27" s="198">
        <f>COUNTIFS(tbl_data[12. Consultation Group of],$C$2,tbl_data[3:T3C],$A27,tbl_data[T3],$C$3)</f>
        <v>0</v>
      </c>
      <c r="AG27" s="198">
        <f t="shared" si="2"/>
        <v>2</v>
      </c>
      <c r="AH27" s="199" t="str">
        <f t="shared" si="10"/>
        <v>Environmental effects (2)</v>
      </c>
      <c r="AI27" s="205">
        <f>COUNTIFS(tbl_data[12. Consultation Group of],$D$2,tbl_data[1:T1C],$A27,tbl_data[T1],$D$3)</f>
        <v>1</v>
      </c>
      <c r="AJ27" s="198">
        <f>COUNTIFS(tbl_data[12. Consultation Group of],$D$2,tbl_data[2:T1C],$A27,tbl_data[T1],$D$3)</f>
        <v>0</v>
      </c>
      <c r="AK27" s="198">
        <f>COUNTIFS(tbl_data[12. Consultation Group of],$D$2,tbl_data[3:T1C],$A27,tbl_data[T1],$D$3)</f>
        <v>1</v>
      </c>
      <c r="AL27" s="198">
        <f>COUNTIFS(tbl_data[12. Consultation Group of],$D$2,tbl_data[1:T2C],$A27,tbl_data[T2],$D$3)</f>
        <v>0</v>
      </c>
      <c r="AM27" s="198">
        <f>COUNTIFS(tbl_data[12. Consultation Group of],$D$2,tbl_data[2:T2C],$A27,tbl_data[T2],$D$3)</f>
        <v>0</v>
      </c>
      <c r="AN27" s="198">
        <f>COUNTIFS(tbl_data[12. Consultation Group of],$D$2,tbl_data[3:T2C],$A27,tbl_data[T2],$D$3)</f>
        <v>0</v>
      </c>
      <c r="AO27" s="198">
        <f>COUNTIFS(tbl_data[12. Consultation Group of],$D$2,tbl_data[1:T3C],$A27,tbl_data[T3],$D$3)</f>
        <v>1</v>
      </c>
      <c r="AP27" s="198">
        <f>COUNTIFS(tbl_data[12. Consultation Group of],$D$2,tbl_data[2:T3C],$A27,tbl_data[T3],$D$3)</f>
        <v>0</v>
      </c>
      <c r="AQ27" s="198">
        <f>COUNTIFS(tbl_data[12. Consultation Group of],$D$2,tbl_data[3:T3C],$A27,tbl_data[T3],$D$3)</f>
        <v>0</v>
      </c>
      <c r="AR27" s="198">
        <f t="shared" si="3"/>
        <v>3</v>
      </c>
      <c r="AS27" s="199" t="str">
        <f t="shared" si="11"/>
        <v>Environmental effects (3)</v>
      </c>
      <c r="AT27" s="205">
        <f>COUNTIFS(tbl_data[12. Consultation Group of],$E$2,tbl_data[1:T1C],$A27,tbl_data[T1],$E$3)</f>
        <v>0</v>
      </c>
      <c r="AU27" s="198">
        <f>COUNTIFS(tbl_data[12. Consultation Group of],$E$2,tbl_data[2:T1C],$A27,tbl_data[T1],$E$3)</f>
        <v>0</v>
      </c>
      <c r="AV27" s="198">
        <f>COUNTIFS(tbl_data[12. Consultation Group of],$E$2,tbl_data[3:T1C],$A27,tbl_data[T1],$E$3)</f>
        <v>0</v>
      </c>
      <c r="AW27" s="198">
        <f>COUNTIFS(tbl_data[12. Consultation Group of],$E$2,tbl_data[1:T2C],$A27,tbl_data[T2],$E$3)</f>
        <v>0</v>
      </c>
      <c r="AX27" s="198">
        <f>COUNTIFS(tbl_data[12. Consultation Group of],$E$2,tbl_data[2:T2C],$A27,tbl_data[T2],$E$3)</f>
        <v>0</v>
      </c>
      <c r="AY27" s="198">
        <f>COUNTIFS(tbl_data[12. Consultation Group of],$E$2,tbl_data[3:T2C],$A27,tbl_data[T2],$E$3)</f>
        <v>0</v>
      </c>
      <c r="AZ27" s="198">
        <f>COUNTIFS(tbl_data[12. Consultation Group of],$E$2,tbl_data[1:T3C],$A27,tbl_data[T3],$E$3)</f>
        <v>0</v>
      </c>
      <c r="BA27" s="198">
        <f>COUNTIFS(tbl_data[12. Consultation Group of],$E$2,tbl_data[2:T3C],$A27,tbl_data[T3],$E$3)</f>
        <v>0</v>
      </c>
      <c r="BB27" s="198">
        <f>COUNTIFS(tbl_data[12. Consultation Group of],$E$2,tbl_data[3:T3C],$A27,tbl_data[T3],$E$3)</f>
        <v>0</v>
      </c>
      <c r="BC27" s="198">
        <f t="shared" si="4"/>
        <v>0</v>
      </c>
      <c r="BD27" s="199" t="str">
        <f t="shared" si="12"/>
        <v>Environmental effects (0)</v>
      </c>
      <c r="BE27" s="205">
        <f>COUNTIFS(tbl_data[1:T1C],$A27,tbl_data[T1],$F$3)</f>
        <v>1</v>
      </c>
      <c r="BF27" s="198">
        <f>COUNTIFS(tbl_data[2:T1C],$A27,tbl_data[T1],$F$3)</f>
        <v>2</v>
      </c>
      <c r="BG27" s="198">
        <f>COUNTIFS(tbl_data[3:T1C],$A27,tbl_data[T1],$F$3)</f>
        <v>1</v>
      </c>
      <c r="BH27" s="198">
        <f>COUNTIFS(tbl_data[1:T2C],$A27,tbl_data[T2],$F$3)</f>
        <v>0</v>
      </c>
      <c r="BI27" s="198">
        <f>COUNTIFS(tbl_data[2:T2C],$A27,tbl_data[T2],$F$3)</f>
        <v>0</v>
      </c>
      <c r="BJ27" s="198">
        <f>COUNTIFS(tbl_data[3:T2C],$A27,tbl_data[T2],$F$3)</f>
        <v>0</v>
      </c>
      <c r="BK27" s="198">
        <f>COUNTIFS(tbl_data[1:T3C],$A27,tbl_data[T3],$F$3)</f>
        <v>1</v>
      </c>
      <c r="BL27" s="198">
        <f>COUNTIFS(tbl_data[2:T3C],$A27,tbl_data[T3],$F$3)</f>
        <v>0</v>
      </c>
      <c r="BM27" s="198">
        <f>COUNTIFS(tbl_data[3:T3C],$A27,tbl_data[T3],$F$3)</f>
        <v>0</v>
      </c>
      <c r="BN27" s="198">
        <f t="shared" si="5"/>
        <v>5</v>
      </c>
      <c r="BO27" s="199" t="str">
        <f t="shared" si="13"/>
        <v>Environmental effects (5)</v>
      </c>
      <c r="BQ27" t="str">
        <f t="shared" si="6"/>
        <v>Environmental effects</v>
      </c>
      <c r="BR27">
        <f t="shared" si="7"/>
        <v>12</v>
      </c>
      <c r="BS27" t="s">
        <v>923</v>
      </c>
      <c r="BU27" s="39" t="s">
        <v>923</v>
      </c>
    </row>
    <row r="28" spans="1:74" x14ac:dyDescent="0.25">
      <c r="A28" s="203" t="s">
        <v>168</v>
      </c>
      <c r="B28" s="205">
        <f>COUNTIFS(tbl_data[12. Consultation Group of],$A$2,tbl_data[1:T1C],$A28,tbl_data[T1],$A$3)</f>
        <v>1</v>
      </c>
      <c r="C28" s="198">
        <f>COUNTIFS(tbl_data[12. Consultation Group of],$A$2,tbl_data[2:T1C],$A28,tbl_data[T1],$A$3)</f>
        <v>0</v>
      </c>
      <c r="D28" s="198">
        <f>COUNTIFS(tbl_data[12. Consultation Group of],$A$2,tbl_data[3:T1C],$A28,tbl_data[T1],$A$3)</f>
        <v>0</v>
      </c>
      <c r="E28" s="198">
        <f>COUNTIFS(tbl_data[12. Consultation Group of],$A$2,tbl_data[1:T2C],$A28,tbl_data[T2],$A$3)</f>
        <v>0</v>
      </c>
      <c r="F28" s="198">
        <f>COUNTIFS(tbl_data[12. Consultation Group of],$A$2,tbl_data[2:T2C],$A28,tbl_data[T2],$A$3)</f>
        <v>0</v>
      </c>
      <c r="G28" s="198">
        <f>COUNTIFS(tbl_data[12. Consultation Group of],$A$2,tbl_data[3:T2C],$A28,tbl_data[T2],$A$3)</f>
        <v>0</v>
      </c>
      <c r="H28" s="198">
        <f>COUNTIFS(tbl_data[12. Consultation Group of],$A$2,tbl_data[1:T3C],$A28,tbl_data[T3],$A$3)</f>
        <v>0</v>
      </c>
      <c r="I28" s="198">
        <f>COUNTIFS(tbl_data[12. Consultation Group of],$A$2,tbl_data[2:T3C],$A28,tbl_data[T3],$A$3)</f>
        <v>0</v>
      </c>
      <c r="J28" s="198">
        <f>COUNTIFS(tbl_data[12. Consultation Group of],$A$2,tbl_data[3:T3C],$A28,tbl_data[T3],$A$3)</f>
        <v>0</v>
      </c>
      <c r="K28" s="198">
        <f t="shared" si="0"/>
        <v>1</v>
      </c>
      <c r="L28" s="199" t="str">
        <f t="shared" si="8"/>
        <v>Commercial Loss (1)</v>
      </c>
      <c r="M28" s="205">
        <f>COUNTIFS(tbl_data[12. Consultation Group of],$B$2,tbl_data[1:T1C],$A28,tbl_data[T1],$B$3)</f>
        <v>0</v>
      </c>
      <c r="N28" s="198">
        <f>COUNTIFS(tbl_data[12. Consultation Group of],$B$2,tbl_data[2:T1C],$A28,tbl_data[T1],$B$3)</f>
        <v>0</v>
      </c>
      <c r="O28" s="198">
        <f>COUNTIFS(tbl_data[12. Consultation Group of],$B$2,tbl_data[3:T1C],$A28,tbl_data[T1],$B$3)</f>
        <v>0</v>
      </c>
      <c r="P28" s="198">
        <f>COUNTIFS(tbl_data[12. Consultation Group of],$B$2,tbl_data[1:T2C],$A28,tbl_data[T2],$B$3)</f>
        <v>0</v>
      </c>
      <c r="Q28" s="198">
        <f>COUNTIFS(tbl_data[12. Consultation Group of],$B$2,tbl_data[2:T2C],$A28,tbl_data[T2],$B$3)</f>
        <v>0</v>
      </c>
      <c r="R28" s="198">
        <f>COUNTIFS(tbl_data[12. Consultation Group of],$B$2,tbl_data[3:T2C],$A28,tbl_data[T2],$B$3)</f>
        <v>0</v>
      </c>
      <c r="S28" s="198">
        <f>COUNTIFS(tbl_data[12. Consultation Group of],$B$2,tbl_data[1:T3C],$A28,tbl_data[T3],$B$3)</f>
        <v>0</v>
      </c>
      <c r="T28" s="198">
        <f>COUNTIFS(tbl_data[12. Consultation Group of],$B$2,tbl_data[2:T3C],$A28,tbl_data[T3],$B$3)</f>
        <v>0</v>
      </c>
      <c r="U28" s="198">
        <f>COUNTIFS(tbl_data[12. Consultation Group of],$B$2,tbl_data[3:T3C],$A28,tbl_data[T3],$B$3)</f>
        <v>0</v>
      </c>
      <c r="V28" s="198">
        <f t="shared" si="1"/>
        <v>0</v>
      </c>
      <c r="W28" s="199" t="str">
        <f t="shared" si="9"/>
        <v>Commercial Loss (0)</v>
      </c>
      <c r="X28" s="205">
        <f>COUNTIFS(tbl_data[12. Consultation Group of],$C$2,tbl_data[1:T1C],$A28,tbl_data[T1],$C$3)</f>
        <v>0</v>
      </c>
      <c r="Y28" s="198">
        <f>COUNTIFS(tbl_data[12. Consultation Group of],$C$2,tbl_data[2:T1C],$A28,tbl_data[T1],$C$3)</f>
        <v>0</v>
      </c>
      <c r="Z28" s="198">
        <f>COUNTIFS(tbl_data[12. Consultation Group of],$C$2,tbl_data[3:T1C],$A28,tbl_data[T1],$C$3)</f>
        <v>1</v>
      </c>
      <c r="AA28" s="198">
        <f>COUNTIFS(tbl_data[12. Consultation Group of],$C$2,tbl_data[1:T2C],$A28,tbl_data[T2],$C$3)</f>
        <v>0</v>
      </c>
      <c r="AB28" s="198">
        <f>COUNTIFS(tbl_data[12. Consultation Group of],$C$2,tbl_data[2:T2C],$A28,tbl_data[T2],$C$3)</f>
        <v>0</v>
      </c>
      <c r="AC28" s="198">
        <f>COUNTIFS(tbl_data[12. Consultation Group of],$C$2,tbl_data[3:T2C],$A28,tbl_data[T2],$C$3)</f>
        <v>0</v>
      </c>
      <c r="AD28" s="198">
        <f>COUNTIFS(tbl_data[12. Consultation Group of],$C$2,tbl_data[1:T3C],$A28,tbl_data[T3],$C$3)</f>
        <v>0</v>
      </c>
      <c r="AE28" s="198">
        <f>COUNTIFS(tbl_data[12. Consultation Group of],$C$2,tbl_data[2:T3C],$A28,tbl_data[T3],$C$3)</f>
        <v>0</v>
      </c>
      <c r="AF28" s="198">
        <f>COUNTIFS(tbl_data[12. Consultation Group of],$C$2,tbl_data[3:T3C],$A28,tbl_data[T3],$C$3)</f>
        <v>0</v>
      </c>
      <c r="AG28" s="198">
        <f t="shared" si="2"/>
        <v>1</v>
      </c>
      <c r="AH28" s="199" t="str">
        <f t="shared" si="10"/>
        <v>Commercial Loss (1)</v>
      </c>
      <c r="AI28" s="205">
        <f>COUNTIFS(tbl_data[12. Consultation Group of],$D$2,tbl_data[1:T1C],$A28,tbl_data[T1],$D$3)</f>
        <v>0</v>
      </c>
      <c r="AJ28" s="198">
        <f>COUNTIFS(tbl_data[12. Consultation Group of],$D$2,tbl_data[2:T1C],$A28,tbl_data[T1],$D$3)</f>
        <v>0</v>
      </c>
      <c r="AK28" s="198">
        <f>COUNTIFS(tbl_data[12. Consultation Group of],$D$2,tbl_data[3:T1C],$A28,tbl_data[T1],$D$3)</f>
        <v>0</v>
      </c>
      <c r="AL28" s="198">
        <f>COUNTIFS(tbl_data[12. Consultation Group of],$D$2,tbl_data[1:T2C],$A28,tbl_data[T2],$D$3)</f>
        <v>0</v>
      </c>
      <c r="AM28" s="198">
        <f>COUNTIFS(tbl_data[12. Consultation Group of],$D$2,tbl_data[2:T2C],$A28,tbl_data[T2],$D$3)</f>
        <v>0</v>
      </c>
      <c r="AN28" s="198">
        <f>COUNTIFS(tbl_data[12. Consultation Group of],$D$2,tbl_data[3:T2C],$A28,tbl_data[T2],$D$3)</f>
        <v>0</v>
      </c>
      <c r="AO28" s="198">
        <f>COUNTIFS(tbl_data[12. Consultation Group of],$D$2,tbl_data[1:T3C],$A28,tbl_data[T3],$D$3)</f>
        <v>0</v>
      </c>
      <c r="AP28" s="198">
        <f>COUNTIFS(tbl_data[12. Consultation Group of],$D$2,tbl_data[2:T3C],$A28,tbl_data[T3],$D$3)</f>
        <v>0</v>
      </c>
      <c r="AQ28" s="198">
        <f>COUNTIFS(tbl_data[12. Consultation Group of],$D$2,tbl_data[3:T3C],$A28,tbl_data[T3],$D$3)</f>
        <v>0</v>
      </c>
      <c r="AR28" s="198">
        <f t="shared" si="3"/>
        <v>0</v>
      </c>
      <c r="AS28" s="199" t="str">
        <f t="shared" si="11"/>
        <v>Commercial Loss (0)</v>
      </c>
      <c r="AT28" s="205">
        <f>COUNTIFS(tbl_data[12. Consultation Group of],$E$2,tbl_data[1:T1C],$A28,tbl_data[T1],$E$3)</f>
        <v>0</v>
      </c>
      <c r="AU28" s="198">
        <f>COUNTIFS(tbl_data[12. Consultation Group of],$E$2,tbl_data[2:T1C],$A28,tbl_data[T1],$E$3)</f>
        <v>0</v>
      </c>
      <c r="AV28" s="198">
        <f>COUNTIFS(tbl_data[12. Consultation Group of],$E$2,tbl_data[3:T1C],$A28,tbl_data[T1],$E$3)</f>
        <v>0</v>
      </c>
      <c r="AW28" s="198">
        <f>COUNTIFS(tbl_data[12. Consultation Group of],$E$2,tbl_data[1:T2C],$A28,tbl_data[T2],$E$3)</f>
        <v>0</v>
      </c>
      <c r="AX28" s="198">
        <f>COUNTIFS(tbl_data[12. Consultation Group of],$E$2,tbl_data[2:T2C],$A28,tbl_data[T2],$E$3)</f>
        <v>0</v>
      </c>
      <c r="AY28" s="198">
        <f>COUNTIFS(tbl_data[12. Consultation Group of],$E$2,tbl_data[3:T2C],$A28,tbl_data[T2],$E$3)</f>
        <v>0</v>
      </c>
      <c r="AZ28" s="198">
        <f>COUNTIFS(tbl_data[12. Consultation Group of],$E$2,tbl_data[1:T3C],$A28,tbl_data[T3],$E$3)</f>
        <v>0</v>
      </c>
      <c r="BA28" s="198">
        <f>COUNTIFS(tbl_data[12. Consultation Group of],$E$2,tbl_data[2:T3C],$A28,tbl_data[T3],$E$3)</f>
        <v>0</v>
      </c>
      <c r="BB28" s="198">
        <f>COUNTIFS(tbl_data[12. Consultation Group of],$E$2,tbl_data[3:T3C],$A28,tbl_data[T3],$E$3)</f>
        <v>0</v>
      </c>
      <c r="BC28" s="198">
        <f t="shared" si="4"/>
        <v>0</v>
      </c>
      <c r="BD28" s="199" t="str">
        <f t="shared" si="12"/>
        <v>Commercial Loss (0)</v>
      </c>
      <c r="BE28" s="205">
        <f>COUNTIFS(tbl_data[1:T1C],$A28,tbl_data[T1],$F$3)</f>
        <v>0</v>
      </c>
      <c r="BF28" s="198">
        <f>COUNTIFS(tbl_data[2:T1C],$A28,tbl_data[T1],$F$3)</f>
        <v>1</v>
      </c>
      <c r="BG28" s="198">
        <f>COUNTIFS(tbl_data[3:T1C],$A28,tbl_data[T1],$F$3)</f>
        <v>2</v>
      </c>
      <c r="BH28" s="198">
        <f>COUNTIFS(tbl_data[1:T2C],$A28,tbl_data[T2],$F$3)</f>
        <v>0</v>
      </c>
      <c r="BI28" s="198">
        <f>COUNTIFS(tbl_data[2:T2C],$A28,tbl_data[T2],$F$3)</f>
        <v>0</v>
      </c>
      <c r="BJ28" s="198">
        <f>COUNTIFS(tbl_data[3:T2C],$A28,tbl_data[T2],$F$3)</f>
        <v>0</v>
      </c>
      <c r="BK28" s="198">
        <f>COUNTIFS(tbl_data[1:T3C],$A28,tbl_data[T3],$F$3)</f>
        <v>0</v>
      </c>
      <c r="BL28" s="198">
        <f>COUNTIFS(tbl_data[2:T3C],$A28,tbl_data[T3],$F$3)</f>
        <v>0</v>
      </c>
      <c r="BM28" s="198">
        <f>COUNTIFS(tbl_data[3:T3C],$A28,tbl_data[T3],$F$3)</f>
        <v>0</v>
      </c>
      <c r="BN28" s="198">
        <f t="shared" si="5"/>
        <v>3</v>
      </c>
      <c r="BO28" s="199" t="str">
        <f t="shared" si="13"/>
        <v>Commercial Loss (3)</v>
      </c>
      <c r="BQ28" t="str">
        <f t="shared" si="6"/>
        <v>Commercial Loss</v>
      </c>
      <c r="BR28">
        <f t="shared" si="7"/>
        <v>5</v>
      </c>
      <c r="BS28" t="s">
        <v>924</v>
      </c>
      <c r="BU28" s="274" t="s">
        <v>924</v>
      </c>
    </row>
    <row r="29" spans="1:74" x14ac:dyDescent="0.25">
      <c r="A29" s="203" t="s">
        <v>202</v>
      </c>
      <c r="B29" s="205">
        <f>COUNTIFS(tbl_data[12. Consultation Group of],$A$2,tbl_data[1:T1C],$A29,tbl_data[T1],$A$3)</f>
        <v>0</v>
      </c>
      <c r="C29" s="198">
        <f>COUNTIFS(tbl_data[12. Consultation Group of],$A$2,tbl_data[2:T1C],$A29,tbl_data[T1],$A$3)</f>
        <v>0</v>
      </c>
      <c r="D29" s="198">
        <f>COUNTIFS(tbl_data[12. Consultation Group of],$A$2,tbl_data[3:T1C],$A29,tbl_data[T1],$A$3)</f>
        <v>1</v>
      </c>
      <c r="E29" s="198">
        <f>COUNTIFS(tbl_data[12. Consultation Group of],$A$2,tbl_data[1:T2C],$A29,tbl_data[T2],$A$3)</f>
        <v>0</v>
      </c>
      <c r="F29" s="198">
        <f>COUNTIFS(tbl_data[12. Consultation Group of],$A$2,tbl_data[2:T2C],$A29,tbl_data[T2],$A$3)</f>
        <v>0</v>
      </c>
      <c r="G29" s="198">
        <f>COUNTIFS(tbl_data[12. Consultation Group of],$A$2,tbl_data[3:T2C],$A29,tbl_data[T2],$A$3)</f>
        <v>0</v>
      </c>
      <c r="H29" s="198">
        <f>COUNTIFS(tbl_data[12. Consultation Group of],$A$2,tbl_data[1:T3C],$A29,tbl_data[T3],$A$3)</f>
        <v>0</v>
      </c>
      <c r="I29" s="198">
        <f>COUNTIFS(tbl_data[12. Consultation Group of],$A$2,tbl_data[2:T3C],$A29,tbl_data[T3],$A$3)</f>
        <v>0</v>
      </c>
      <c r="J29" s="198">
        <f>COUNTIFS(tbl_data[12. Consultation Group of],$A$2,tbl_data[3:T3C],$A29,tbl_data[T3],$A$3)</f>
        <v>0</v>
      </c>
      <c r="K29" s="198">
        <f t="shared" si="0"/>
        <v>1</v>
      </c>
      <c r="L29" s="199" t="str">
        <f t="shared" si="8"/>
        <v>Drought (1)</v>
      </c>
      <c r="M29" s="205">
        <f>COUNTIFS(tbl_data[12. Consultation Group of],$B$2,tbl_data[1:T1C],$A29,tbl_data[T1],$B$3)</f>
        <v>0</v>
      </c>
      <c r="N29" s="198">
        <f>COUNTIFS(tbl_data[12. Consultation Group of],$B$2,tbl_data[2:T1C],$A29,tbl_data[T1],$B$3)</f>
        <v>0</v>
      </c>
      <c r="O29" s="198">
        <f>COUNTIFS(tbl_data[12. Consultation Group of],$B$2,tbl_data[3:T1C],$A29,tbl_data[T1],$B$3)</f>
        <v>0</v>
      </c>
      <c r="P29" s="198">
        <f>COUNTIFS(tbl_data[12. Consultation Group of],$B$2,tbl_data[1:T2C],$A29,tbl_data[T2],$B$3)</f>
        <v>0</v>
      </c>
      <c r="Q29" s="198">
        <f>COUNTIFS(tbl_data[12. Consultation Group of],$B$2,tbl_data[2:T2C],$A29,tbl_data[T2],$B$3)</f>
        <v>0</v>
      </c>
      <c r="R29" s="198">
        <f>COUNTIFS(tbl_data[12. Consultation Group of],$B$2,tbl_data[3:T2C],$A29,tbl_data[T2],$B$3)</f>
        <v>0</v>
      </c>
      <c r="S29" s="198">
        <f>COUNTIFS(tbl_data[12. Consultation Group of],$B$2,tbl_data[1:T3C],$A29,tbl_data[T3],$B$3)</f>
        <v>0</v>
      </c>
      <c r="T29" s="198">
        <f>COUNTIFS(tbl_data[12. Consultation Group of],$B$2,tbl_data[2:T3C],$A29,tbl_data[T3],$B$3)</f>
        <v>0</v>
      </c>
      <c r="U29" s="198">
        <f>COUNTIFS(tbl_data[12. Consultation Group of],$B$2,tbl_data[3:T3C],$A29,tbl_data[T3],$B$3)</f>
        <v>0</v>
      </c>
      <c r="V29" s="198">
        <f t="shared" si="1"/>
        <v>0</v>
      </c>
      <c r="W29" s="199" t="str">
        <f t="shared" si="9"/>
        <v>Drought (0)</v>
      </c>
      <c r="X29" s="205">
        <f>COUNTIFS(tbl_data[12. Consultation Group of],$C$2,tbl_data[1:T1C],$A29,tbl_data[T1],$C$3)</f>
        <v>0</v>
      </c>
      <c r="Y29" s="198">
        <f>COUNTIFS(tbl_data[12. Consultation Group of],$C$2,tbl_data[2:T1C],$A29,tbl_data[T1],$C$3)</f>
        <v>0</v>
      </c>
      <c r="Z29" s="198">
        <f>COUNTIFS(tbl_data[12. Consultation Group of],$C$2,tbl_data[3:T1C],$A29,tbl_data[T1],$C$3)</f>
        <v>0</v>
      </c>
      <c r="AA29" s="198">
        <f>COUNTIFS(tbl_data[12. Consultation Group of],$C$2,tbl_data[1:T2C],$A29,tbl_data[T2],$C$3)</f>
        <v>0</v>
      </c>
      <c r="AB29" s="198">
        <f>COUNTIFS(tbl_data[12. Consultation Group of],$C$2,tbl_data[2:T2C],$A29,tbl_data[T2],$C$3)</f>
        <v>0</v>
      </c>
      <c r="AC29" s="198">
        <f>COUNTIFS(tbl_data[12. Consultation Group of],$C$2,tbl_data[3:T2C],$A29,tbl_data[T2],$C$3)</f>
        <v>0</v>
      </c>
      <c r="AD29" s="198">
        <f>COUNTIFS(tbl_data[12. Consultation Group of],$C$2,tbl_data[1:T3C],$A29,tbl_data[T3],$C$3)</f>
        <v>0</v>
      </c>
      <c r="AE29" s="198">
        <f>COUNTIFS(tbl_data[12. Consultation Group of],$C$2,tbl_data[2:T3C],$A29,tbl_data[T3],$C$3)</f>
        <v>0</v>
      </c>
      <c r="AF29" s="198">
        <f>COUNTIFS(tbl_data[12. Consultation Group of],$C$2,tbl_data[3:T3C],$A29,tbl_data[T3],$C$3)</f>
        <v>0</v>
      </c>
      <c r="AG29" s="198">
        <f t="shared" si="2"/>
        <v>0</v>
      </c>
      <c r="AH29" s="199" t="str">
        <f t="shared" si="10"/>
        <v>Drought (0)</v>
      </c>
      <c r="AI29" s="205">
        <f>COUNTIFS(tbl_data[12. Consultation Group of],$D$2,tbl_data[1:T1C],$A29,tbl_data[T1],$D$3)</f>
        <v>0</v>
      </c>
      <c r="AJ29" s="198">
        <f>COUNTIFS(tbl_data[12. Consultation Group of],$D$2,tbl_data[2:T1C],$A29,tbl_data[T1],$D$3)</f>
        <v>0</v>
      </c>
      <c r="AK29" s="198">
        <f>COUNTIFS(tbl_data[12. Consultation Group of],$D$2,tbl_data[3:T1C],$A29,tbl_data[T1],$D$3)</f>
        <v>0</v>
      </c>
      <c r="AL29" s="198">
        <f>COUNTIFS(tbl_data[12. Consultation Group of],$D$2,tbl_data[1:T2C],$A29,tbl_data[T2],$D$3)</f>
        <v>0</v>
      </c>
      <c r="AM29" s="198">
        <f>COUNTIFS(tbl_data[12. Consultation Group of],$D$2,tbl_data[2:T2C],$A29,tbl_data[T2],$D$3)</f>
        <v>0</v>
      </c>
      <c r="AN29" s="198">
        <f>COUNTIFS(tbl_data[12. Consultation Group of],$D$2,tbl_data[3:T2C],$A29,tbl_data[T2],$D$3)</f>
        <v>0</v>
      </c>
      <c r="AO29" s="198">
        <f>COUNTIFS(tbl_data[12. Consultation Group of],$D$2,tbl_data[1:T3C],$A29,tbl_data[T3],$D$3)</f>
        <v>0</v>
      </c>
      <c r="AP29" s="198">
        <f>COUNTIFS(tbl_data[12. Consultation Group of],$D$2,tbl_data[2:T3C],$A29,tbl_data[T3],$D$3)</f>
        <v>0</v>
      </c>
      <c r="AQ29" s="198">
        <f>COUNTIFS(tbl_data[12. Consultation Group of],$D$2,tbl_data[3:T3C],$A29,tbl_data[T3],$D$3)</f>
        <v>0</v>
      </c>
      <c r="AR29" s="198">
        <f t="shared" si="3"/>
        <v>0</v>
      </c>
      <c r="AS29" s="199" t="str">
        <f t="shared" si="11"/>
        <v>Drought (0)</v>
      </c>
      <c r="AT29" s="205">
        <f>COUNTIFS(tbl_data[12. Consultation Group of],$E$2,tbl_data[1:T1C],$A29,tbl_data[T1],$E$3)</f>
        <v>0</v>
      </c>
      <c r="AU29" s="198">
        <f>COUNTIFS(tbl_data[12. Consultation Group of],$E$2,tbl_data[2:T1C],$A29,tbl_data[T1],$E$3)</f>
        <v>0</v>
      </c>
      <c r="AV29" s="198">
        <f>COUNTIFS(tbl_data[12. Consultation Group of],$E$2,tbl_data[3:T1C],$A29,tbl_data[T1],$E$3)</f>
        <v>0</v>
      </c>
      <c r="AW29" s="198">
        <f>COUNTIFS(tbl_data[12. Consultation Group of],$E$2,tbl_data[1:T2C],$A29,tbl_data[T2],$E$3)</f>
        <v>0</v>
      </c>
      <c r="AX29" s="198">
        <f>COUNTIFS(tbl_data[12. Consultation Group of],$E$2,tbl_data[2:T2C],$A29,tbl_data[T2],$E$3)</f>
        <v>0</v>
      </c>
      <c r="AY29" s="198">
        <f>COUNTIFS(tbl_data[12. Consultation Group of],$E$2,tbl_data[3:T2C],$A29,tbl_data[T2],$E$3)</f>
        <v>0</v>
      </c>
      <c r="AZ29" s="198">
        <f>COUNTIFS(tbl_data[12. Consultation Group of],$E$2,tbl_data[1:T3C],$A29,tbl_data[T3],$E$3)</f>
        <v>0</v>
      </c>
      <c r="BA29" s="198">
        <f>COUNTIFS(tbl_data[12. Consultation Group of],$E$2,tbl_data[2:T3C],$A29,tbl_data[T3],$E$3)</f>
        <v>0</v>
      </c>
      <c r="BB29" s="198">
        <f>COUNTIFS(tbl_data[12. Consultation Group of],$E$2,tbl_data[3:T3C],$A29,tbl_data[T3],$E$3)</f>
        <v>0</v>
      </c>
      <c r="BC29" s="198">
        <f t="shared" si="4"/>
        <v>0</v>
      </c>
      <c r="BD29" s="199" t="str">
        <f t="shared" si="12"/>
        <v>Drought (0)</v>
      </c>
      <c r="BE29" s="205">
        <f>COUNTIFS(tbl_data[1:T1C],$A29,tbl_data[T1],$F$3)</f>
        <v>0</v>
      </c>
      <c r="BF29" s="198">
        <f>COUNTIFS(tbl_data[2:T1C],$A29,tbl_data[T1],$F$3)</f>
        <v>0</v>
      </c>
      <c r="BG29" s="198">
        <f>COUNTIFS(tbl_data[3:T1C],$A29,tbl_data[T1],$F$3)</f>
        <v>0</v>
      </c>
      <c r="BH29" s="198">
        <f>COUNTIFS(tbl_data[1:T2C],$A29,tbl_data[T2],$F$3)</f>
        <v>0</v>
      </c>
      <c r="BI29" s="198">
        <f>COUNTIFS(tbl_data[2:T2C],$A29,tbl_data[T2],$F$3)</f>
        <v>0</v>
      </c>
      <c r="BJ29" s="198">
        <f>COUNTIFS(tbl_data[3:T2C],$A29,tbl_data[T2],$F$3)</f>
        <v>0</v>
      </c>
      <c r="BK29" s="198">
        <f>COUNTIFS(tbl_data[1:T3C],$A29,tbl_data[T3],$F$3)</f>
        <v>0</v>
      </c>
      <c r="BL29" s="198">
        <f>COUNTIFS(tbl_data[2:T3C],$A29,tbl_data[T3],$F$3)</f>
        <v>0</v>
      </c>
      <c r="BM29" s="198">
        <f>COUNTIFS(tbl_data[3:T3C],$A29,tbl_data[T3],$F$3)</f>
        <v>0</v>
      </c>
      <c r="BN29" s="198">
        <f t="shared" si="5"/>
        <v>0</v>
      </c>
      <c r="BO29" s="199" t="str">
        <f t="shared" si="13"/>
        <v>Drought (0)</v>
      </c>
      <c r="BQ29" t="str">
        <f t="shared" si="6"/>
        <v>Drought</v>
      </c>
      <c r="BR29">
        <f t="shared" si="7"/>
        <v>1</v>
      </c>
      <c r="BS29" t="s">
        <v>923</v>
      </c>
      <c r="BU29" s="39" t="s">
        <v>923</v>
      </c>
    </row>
    <row r="30" spans="1:74" x14ac:dyDescent="0.25">
      <c r="A30" s="203" t="s">
        <v>304</v>
      </c>
      <c r="B30" s="205">
        <f>COUNTIFS(tbl_data[12. Consultation Group of],$A$2,tbl_data[1:T1C],$A30,tbl_data[T1],$A$3)</f>
        <v>0</v>
      </c>
      <c r="C30" s="198">
        <f>COUNTIFS(tbl_data[12. Consultation Group of],$A$2,tbl_data[2:T1C],$A30,tbl_data[T1],$A$3)</f>
        <v>0</v>
      </c>
      <c r="D30" s="198">
        <f>COUNTIFS(tbl_data[12. Consultation Group of],$A$2,tbl_data[3:T1C],$A30,tbl_data[T1],$A$3)</f>
        <v>0</v>
      </c>
      <c r="E30" s="198">
        <f>COUNTIFS(tbl_data[12. Consultation Group of],$A$2,tbl_data[1:T2C],$A30,tbl_data[T2],$A$3)</f>
        <v>0</v>
      </c>
      <c r="F30" s="198">
        <f>COUNTIFS(tbl_data[12. Consultation Group of],$A$2,tbl_data[2:T2C],$A30,tbl_data[T2],$A$3)</f>
        <v>0</v>
      </c>
      <c r="G30" s="198">
        <f>COUNTIFS(tbl_data[12. Consultation Group of],$A$2,tbl_data[3:T2C],$A30,tbl_data[T2],$A$3)</f>
        <v>0</v>
      </c>
      <c r="H30" s="198">
        <f>COUNTIFS(tbl_data[12. Consultation Group of],$A$2,tbl_data[1:T3C],$A30,tbl_data[T3],$A$3)</f>
        <v>0</v>
      </c>
      <c r="I30" s="198">
        <f>COUNTIFS(tbl_data[12. Consultation Group of],$A$2,tbl_data[2:T3C],$A30,tbl_data[T3],$A$3)</f>
        <v>0</v>
      </c>
      <c r="J30" s="198">
        <f>COUNTIFS(tbl_data[12. Consultation Group of],$A$2,tbl_data[3:T3C],$A30,tbl_data[T3],$A$3)</f>
        <v>0</v>
      </c>
      <c r="K30" s="198">
        <f t="shared" si="0"/>
        <v>0</v>
      </c>
      <c r="L30" s="199" t="str">
        <f t="shared" si="8"/>
        <v>Unemployment (0)</v>
      </c>
      <c r="M30" s="205">
        <f>COUNTIFS(tbl_data[12. Consultation Group of],$B$2,tbl_data[1:T1C],$A30,tbl_data[T1],$B$3)</f>
        <v>0</v>
      </c>
      <c r="N30" s="198">
        <f>COUNTIFS(tbl_data[12. Consultation Group of],$B$2,tbl_data[2:T1C],$A30,tbl_data[T1],$B$3)</f>
        <v>0</v>
      </c>
      <c r="O30" s="198">
        <f>COUNTIFS(tbl_data[12. Consultation Group of],$B$2,tbl_data[3:T1C],$A30,tbl_data[T1],$B$3)</f>
        <v>0</v>
      </c>
      <c r="P30" s="198">
        <f>COUNTIFS(tbl_data[12. Consultation Group of],$B$2,tbl_data[1:T2C],$A30,tbl_data[T2],$B$3)</f>
        <v>0</v>
      </c>
      <c r="Q30" s="198">
        <f>COUNTIFS(tbl_data[12. Consultation Group of],$B$2,tbl_data[2:T2C],$A30,tbl_data[T2],$B$3)</f>
        <v>0</v>
      </c>
      <c r="R30" s="198">
        <f>COUNTIFS(tbl_data[12. Consultation Group of],$B$2,tbl_data[3:T2C],$A30,tbl_data[T2],$B$3)</f>
        <v>0</v>
      </c>
      <c r="S30" s="198">
        <f>COUNTIFS(tbl_data[12. Consultation Group of],$B$2,tbl_data[1:T3C],$A30,tbl_data[T3],$B$3)</f>
        <v>0</v>
      </c>
      <c r="T30" s="198">
        <f>COUNTIFS(tbl_data[12. Consultation Group of],$B$2,tbl_data[2:T3C],$A30,tbl_data[T3],$B$3)</f>
        <v>0</v>
      </c>
      <c r="U30" s="198">
        <f>COUNTIFS(tbl_data[12. Consultation Group of],$B$2,tbl_data[3:T3C],$A30,tbl_data[T3],$B$3)</f>
        <v>0</v>
      </c>
      <c r="V30" s="198">
        <f t="shared" si="1"/>
        <v>0</v>
      </c>
      <c r="W30" s="199" t="str">
        <f t="shared" si="9"/>
        <v>Unemployment (0)</v>
      </c>
      <c r="X30" s="205">
        <f>COUNTIFS(tbl_data[12. Consultation Group of],$C$2,tbl_data[1:T1C],$A30,tbl_data[T1],$C$3)</f>
        <v>0</v>
      </c>
      <c r="Y30" s="198">
        <f>COUNTIFS(tbl_data[12. Consultation Group of],$C$2,tbl_data[2:T1C],$A30,tbl_data[T1],$C$3)</f>
        <v>0</v>
      </c>
      <c r="Z30" s="198">
        <f>COUNTIFS(tbl_data[12. Consultation Group of],$C$2,tbl_data[3:T1C],$A30,tbl_data[T1],$C$3)</f>
        <v>0</v>
      </c>
      <c r="AA30" s="198">
        <f>COUNTIFS(tbl_data[12. Consultation Group of],$C$2,tbl_data[1:T2C],$A30,tbl_data[T2],$C$3)</f>
        <v>0</v>
      </c>
      <c r="AB30" s="198">
        <f>COUNTIFS(tbl_data[12. Consultation Group of],$C$2,tbl_data[2:T2C],$A30,tbl_data[T2],$C$3)</f>
        <v>0</v>
      </c>
      <c r="AC30" s="198">
        <f>COUNTIFS(tbl_data[12. Consultation Group of],$C$2,tbl_data[3:T2C],$A30,tbl_data[T2],$C$3)</f>
        <v>0</v>
      </c>
      <c r="AD30" s="198">
        <f>COUNTIFS(tbl_data[12. Consultation Group of],$C$2,tbl_data[1:T3C],$A30,tbl_data[T3],$C$3)</f>
        <v>0</v>
      </c>
      <c r="AE30" s="198">
        <f>COUNTIFS(tbl_data[12. Consultation Group of],$C$2,tbl_data[2:T3C],$A30,tbl_data[T3],$C$3)</f>
        <v>0</v>
      </c>
      <c r="AF30" s="198">
        <f>COUNTIFS(tbl_data[12. Consultation Group of],$C$2,tbl_data[3:T3C],$A30,tbl_data[T3],$C$3)</f>
        <v>0</v>
      </c>
      <c r="AG30" s="198">
        <f t="shared" si="2"/>
        <v>0</v>
      </c>
      <c r="AH30" s="199" t="str">
        <f t="shared" si="10"/>
        <v>Unemployment (0)</v>
      </c>
      <c r="AI30" s="205">
        <f>COUNTIFS(tbl_data[12. Consultation Group of],$D$2,tbl_data[1:T1C],$A30,tbl_data[T1],$D$3)</f>
        <v>0</v>
      </c>
      <c r="AJ30" s="198">
        <f>COUNTIFS(tbl_data[12. Consultation Group of],$D$2,tbl_data[2:T1C],$A30,tbl_data[T1],$D$3)</f>
        <v>0</v>
      </c>
      <c r="AK30" s="198">
        <f>COUNTIFS(tbl_data[12. Consultation Group of],$D$2,tbl_data[3:T1C],$A30,tbl_data[T1],$D$3)</f>
        <v>0</v>
      </c>
      <c r="AL30" s="198">
        <f>COUNTIFS(tbl_data[12. Consultation Group of],$D$2,tbl_data[1:T2C],$A30,tbl_data[T2],$D$3)</f>
        <v>0</v>
      </c>
      <c r="AM30" s="198">
        <f>COUNTIFS(tbl_data[12. Consultation Group of],$D$2,tbl_data[2:T2C],$A30,tbl_data[T2],$D$3)</f>
        <v>0</v>
      </c>
      <c r="AN30" s="198">
        <f>COUNTIFS(tbl_data[12. Consultation Group of],$D$2,tbl_data[3:T2C],$A30,tbl_data[T2],$D$3)</f>
        <v>0</v>
      </c>
      <c r="AO30" s="198">
        <f>COUNTIFS(tbl_data[12. Consultation Group of],$D$2,tbl_data[1:T3C],$A30,tbl_data[T3],$D$3)</f>
        <v>0</v>
      </c>
      <c r="AP30" s="198">
        <f>COUNTIFS(tbl_data[12. Consultation Group of],$D$2,tbl_data[2:T3C],$A30,tbl_data[T3],$D$3)</f>
        <v>0</v>
      </c>
      <c r="AQ30" s="198">
        <f>COUNTIFS(tbl_data[12. Consultation Group of],$D$2,tbl_data[3:T3C],$A30,tbl_data[T3],$D$3)</f>
        <v>0</v>
      </c>
      <c r="AR30" s="198">
        <f t="shared" si="3"/>
        <v>0</v>
      </c>
      <c r="AS30" s="199" t="str">
        <f t="shared" si="11"/>
        <v>Unemployment (0)</v>
      </c>
      <c r="AT30" s="205">
        <f>COUNTIFS(tbl_data[12. Consultation Group of],$E$2,tbl_data[1:T1C],$A30,tbl_data[T1],$E$3)</f>
        <v>0</v>
      </c>
      <c r="AU30" s="198">
        <f>COUNTIFS(tbl_data[12. Consultation Group of],$E$2,tbl_data[2:T1C],$A30,tbl_data[T1],$E$3)</f>
        <v>0</v>
      </c>
      <c r="AV30" s="198">
        <f>COUNTIFS(tbl_data[12. Consultation Group of],$E$2,tbl_data[3:T1C],$A30,tbl_data[T1],$E$3)</f>
        <v>0</v>
      </c>
      <c r="AW30" s="198">
        <f>COUNTIFS(tbl_data[12. Consultation Group of],$E$2,tbl_data[1:T2C],$A30,tbl_data[T2],$E$3)</f>
        <v>0</v>
      </c>
      <c r="AX30" s="198">
        <f>COUNTIFS(tbl_data[12. Consultation Group of],$E$2,tbl_data[2:T2C],$A30,tbl_data[T2],$E$3)</f>
        <v>0</v>
      </c>
      <c r="AY30" s="198">
        <f>COUNTIFS(tbl_data[12. Consultation Group of],$E$2,tbl_data[3:T2C],$A30,tbl_data[T2],$E$3)</f>
        <v>0</v>
      </c>
      <c r="AZ30" s="198">
        <f>COUNTIFS(tbl_data[12. Consultation Group of],$E$2,tbl_data[1:T3C],$A30,tbl_data[T3],$E$3)</f>
        <v>0</v>
      </c>
      <c r="BA30" s="198">
        <f>COUNTIFS(tbl_data[12. Consultation Group of],$E$2,tbl_data[2:T3C],$A30,tbl_data[T3],$E$3)</f>
        <v>0</v>
      </c>
      <c r="BB30" s="198">
        <f>COUNTIFS(tbl_data[12. Consultation Group of],$E$2,tbl_data[3:T3C],$A30,tbl_data[T3],$E$3)</f>
        <v>0</v>
      </c>
      <c r="BC30" s="198">
        <f t="shared" si="4"/>
        <v>0</v>
      </c>
      <c r="BD30" s="199" t="str">
        <f t="shared" si="12"/>
        <v>Unemployment (0)</v>
      </c>
      <c r="BE30" s="205">
        <f>COUNTIFS(tbl_data[1:T1C],$A30,tbl_data[T1],$F$3)</f>
        <v>0</v>
      </c>
      <c r="BF30" s="198">
        <f>COUNTIFS(tbl_data[2:T1C],$A30,tbl_data[T1],$F$3)</f>
        <v>0</v>
      </c>
      <c r="BG30" s="198">
        <f>COUNTIFS(tbl_data[3:T1C],$A30,tbl_data[T1],$F$3)</f>
        <v>0</v>
      </c>
      <c r="BH30" s="198">
        <f>COUNTIFS(tbl_data[1:T2C],$A30,tbl_data[T2],$F$3)</f>
        <v>0</v>
      </c>
      <c r="BI30" s="198">
        <f>COUNTIFS(tbl_data[2:T2C],$A30,tbl_data[T2],$F$3)</f>
        <v>0</v>
      </c>
      <c r="BJ30" s="198">
        <f>COUNTIFS(tbl_data[3:T2C],$A30,tbl_data[T2],$F$3)</f>
        <v>0</v>
      </c>
      <c r="BK30" s="198">
        <f>COUNTIFS(tbl_data[1:T3C],$A30,tbl_data[T3],$F$3)</f>
        <v>0</v>
      </c>
      <c r="BL30" s="198">
        <f>COUNTIFS(tbl_data[2:T3C],$A30,tbl_data[T3],$F$3)</f>
        <v>0</v>
      </c>
      <c r="BM30" s="198">
        <f>COUNTIFS(tbl_data[3:T3C],$A30,tbl_data[T3],$F$3)</f>
        <v>0</v>
      </c>
      <c r="BN30" s="198">
        <f t="shared" si="5"/>
        <v>0</v>
      </c>
      <c r="BO30" s="199" t="str">
        <f t="shared" si="13"/>
        <v>Unemployment (0)</v>
      </c>
      <c r="BQ30" t="str">
        <f t="shared" si="6"/>
        <v>Unemployment</v>
      </c>
      <c r="BR30">
        <f t="shared" si="7"/>
        <v>0</v>
      </c>
    </row>
    <row r="31" spans="1:74" x14ac:dyDescent="0.25">
      <c r="A31" s="203" t="s">
        <v>172</v>
      </c>
      <c r="B31" s="205">
        <f>COUNTIFS(tbl_data[12. Consultation Group of],$A$2,tbl_data[1:T1C],$A31,tbl_data[T1],$A$3)</f>
        <v>0</v>
      </c>
      <c r="C31" s="198">
        <f>COUNTIFS(tbl_data[12. Consultation Group of],$A$2,tbl_data[2:T1C],$A31,tbl_data[T1],$A$3)</f>
        <v>0</v>
      </c>
      <c r="D31" s="198">
        <f>COUNTIFS(tbl_data[12. Consultation Group of],$A$2,tbl_data[3:T1C],$A31,tbl_data[T1],$A$3)</f>
        <v>0</v>
      </c>
      <c r="E31" s="198">
        <f>COUNTIFS(tbl_data[12. Consultation Group of],$A$2,tbl_data[1:T2C],$A31,tbl_data[T2],$A$3)</f>
        <v>0</v>
      </c>
      <c r="F31" s="198">
        <f>COUNTIFS(tbl_data[12. Consultation Group of],$A$2,tbl_data[2:T2C],$A31,tbl_data[T2],$A$3)</f>
        <v>0</v>
      </c>
      <c r="G31" s="198">
        <f>COUNTIFS(tbl_data[12. Consultation Group of],$A$2,tbl_data[3:T2C],$A31,tbl_data[T2],$A$3)</f>
        <v>0</v>
      </c>
      <c r="H31" s="198">
        <f>COUNTIFS(tbl_data[12. Consultation Group of],$A$2,tbl_data[1:T3C],$A31,tbl_data[T3],$A$3)</f>
        <v>0</v>
      </c>
      <c r="I31" s="198">
        <f>COUNTIFS(tbl_data[12. Consultation Group of],$A$2,tbl_data[2:T3C],$A31,tbl_data[T3],$A$3)</f>
        <v>0</v>
      </c>
      <c r="J31" s="198">
        <f>COUNTIFS(tbl_data[12. Consultation Group of],$A$2,tbl_data[3:T3C],$A31,tbl_data[T3],$A$3)</f>
        <v>0</v>
      </c>
      <c r="K31" s="198">
        <f t="shared" si="0"/>
        <v>0</v>
      </c>
      <c r="L31" s="199" t="str">
        <f t="shared" si="8"/>
        <v>Violence (0)</v>
      </c>
      <c r="M31" s="205">
        <f>COUNTIFS(tbl_data[12. Consultation Group of],$B$2,tbl_data[1:T1C],$A31,tbl_data[T1],$B$3)</f>
        <v>0</v>
      </c>
      <c r="N31" s="198">
        <f>COUNTIFS(tbl_data[12. Consultation Group of],$B$2,tbl_data[2:T1C],$A31,tbl_data[T1],$B$3)</f>
        <v>0</v>
      </c>
      <c r="O31" s="198">
        <f>COUNTIFS(tbl_data[12. Consultation Group of],$B$2,tbl_data[3:T1C],$A31,tbl_data[T1],$B$3)</f>
        <v>0</v>
      </c>
      <c r="P31" s="198">
        <f>COUNTIFS(tbl_data[12. Consultation Group of],$B$2,tbl_data[1:T2C],$A31,tbl_data[T2],$B$3)</f>
        <v>0</v>
      </c>
      <c r="Q31" s="198">
        <f>COUNTIFS(tbl_data[12. Consultation Group of],$B$2,tbl_data[2:T2C],$A31,tbl_data[T2],$B$3)</f>
        <v>0</v>
      </c>
      <c r="R31" s="198">
        <f>COUNTIFS(tbl_data[12. Consultation Group of],$B$2,tbl_data[3:T2C],$A31,tbl_data[T2],$B$3)</f>
        <v>0</v>
      </c>
      <c r="S31" s="198">
        <f>COUNTIFS(tbl_data[12. Consultation Group of],$B$2,tbl_data[1:T3C],$A31,tbl_data[T3],$B$3)</f>
        <v>0</v>
      </c>
      <c r="T31" s="198">
        <f>COUNTIFS(tbl_data[12. Consultation Group of],$B$2,tbl_data[2:T3C],$A31,tbl_data[T3],$B$3)</f>
        <v>0</v>
      </c>
      <c r="U31" s="198">
        <f>COUNTIFS(tbl_data[12. Consultation Group of],$B$2,tbl_data[3:T3C],$A31,tbl_data[T3],$B$3)</f>
        <v>0</v>
      </c>
      <c r="V31" s="198">
        <f t="shared" si="1"/>
        <v>0</v>
      </c>
      <c r="W31" s="199" t="str">
        <f t="shared" si="9"/>
        <v>Violence (0)</v>
      </c>
      <c r="X31" s="205">
        <f>COUNTIFS(tbl_data[12. Consultation Group of],$C$2,tbl_data[1:T1C],$A31,tbl_data[T1],$C$3)</f>
        <v>0</v>
      </c>
      <c r="Y31" s="198">
        <f>COUNTIFS(tbl_data[12. Consultation Group of],$C$2,tbl_data[2:T1C],$A31,tbl_data[T1],$C$3)</f>
        <v>0</v>
      </c>
      <c r="Z31" s="198">
        <f>COUNTIFS(tbl_data[12. Consultation Group of],$C$2,tbl_data[3:T1C],$A31,tbl_data[T1],$C$3)</f>
        <v>0</v>
      </c>
      <c r="AA31" s="198">
        <f>COUNTIFS(tbl_data[12. Consultation Group of],$C$2,tbl_data[1:T2C],$A31,tbl_data[T2],$C$3)</f>
        <v>0</v>
      </c>
      <c r="AB31" s="198">
        <f>COUNTIFS(tbl_data[12. Consultation Group of],$C$2,tbl_data[2:T2C],$A31,tbl_data[T2],$C$3)</f>
        <v>0</v>
      </c>
      <c r="AC31" s="198">
        <f>COUNTIFS(tbl_data[12. Consultation Group of],$C$2,tbl_data[3:T2C],$A31,tbl_data[T2],$C$3)</f>
        <v>0</v>
      </c>
      <c r="AD31" s="198">
        <f>COUNTIFS(tbl_data[12. Consultation Group of],$C$2,tbl_data[1:T3C],$A31,tbl_data[T3],$C$3)</f>
        <v>0</v>
      </c>
      <c r="AE31" s="198">
        <f>COUNTIFS(tbl_data[12. Consultation Group of],$C$2,tbl_data[2:T3C],$A31,tbl_data[T3],$C$3)</f>
        <v>0</v>
      </c>
      <c r="AF31" s="198">
        <f>COUNTIFS(tbl_data[12. Consultation Group of],$C$2,tbl_data[3:T3C],$A31,tbl_data[T3],$C$3)</f>
        <v>0</v>
      </c>
      <c r="AG31" s="198">
        <f t="shared" si="2"/>
        <v>0</v>
      </c>
      <c r="AH31" s="199" t="str">
        <f t="shared" si="10"/>
        <v>Violence (0)</v>
      </c>
      <c r="AI31" s="205">
        <f>COUNTIFS(tbl_data[12. Consultation Group of],$D$2,tbl_data[1:T1C],$A31,tbl_data[T1],$D$3)</f>
        <v>0</v>
      </c>
      <c r="AJ31" s="198">
        <f>COUNTIFS(tbl_data[12. Consultation Group of],$D$2,tbl_data[2:T1C],$A31,tbl_data[T1],$D$3)</f>
        <v>0</v>
      </c>
      <c r="AK31" s="198">
        <f>COUNTIFS(tbl_data[12. Consultation Group of],$D$2,tbl_data[3:T1C],$A31,tbl_data[T1],$D$3)</f>
        <v>0</v>
      </c>
      <c r="AL31" s="198">
        <f>COUNTIFS(tbl_data[12. Consultation Group of],$D$2,tbl_data[1:T2C],$A31,tbl_data[T2],$D$3)</f>
        <v>0</v>
      </c>
      <c r="AM31" s="198">
        <f>COUNTIFS(tbl_data[12. Consultation Group of],$D$2,tbl_data[2:T2C],$A31,tbl_data[T2],$D$3)</f>
        <v>0</v>
      </c>
      <c r="AN31" s="198">
        <f>COUNTIFS(tbl_data[12. Consultation Group of],$D$2,tbl_data[3:T2C],$A31,tbl_data[T2],$D$3)</f>
        <v>0</v>
      </c>
      <c r="AO31" s="198">
        <f>COUNTIFS(tbl_data[12. Consultation Group of],$D$2,tbl_data[1:T3C],$A31,tbl_data[T3],$D$3)</f>
        <v>0</v>
      </c>
      <c r="AP31" s="198">
        <f>COUNTIFS(tbl_data[12. Consultation Group of],$D$2,tbl_data[2:T3C],$A31,tbl_data[T3],$D$3)</f>
        <v>0</v>
      </c>
      <c r="AQ31" s="198">
        <f>COUNTIFS(tbl_data[12. Consultation Group of],$D$2,tbl_data[3:T3C],$A31,tbl_data[T3],$D$3)</f>
        <v>0</v>
      </c>
      <c r="AR31" s="198">
        <f t="shared" si="3"/>
        <v>0</v>
      </c>
      <c r="AS31" s="199" t="str">
        <f t="shared" si="11"/>
        <v>Violence (0)</v>
      </c>
      <c r="AT31" s="205">
        <f>COUNTIFS(tbl_data[12. Consultation Group of],$E$2,tbl_data[1:T1C],$A31,tbl_data[T1],$E$3)</f>
        <v>0</v>
      </c>
      <c r="AU31" s="198">
        <f>COUNTIFS(tbl_data[12. Consultation Group of],$E$2,tbl_data[2:T1C],$A31,tbl_data[T1],$E$3)</f>
        <v>0</v>
      </c>
      <c r="AV31" s="198">
        <f>COUNTIFS(tbl_data[12. Consultation Group of],$E$2,tbl_data[3:T1C],$A31,tbl_data[T1],$E$3)</f>
        <v>0</v>
      </c>
      <c r="AW31" s="198">
        <f>COUNTIFS(tbl_data[12. Consultation Group of],$E$2,tbl_data[1:T2C],$A31,tbl_data[T2],$E$3)</f>
        <v>0</v>
      </c>
      <c r="AX31" s="198">
        <f>COUNTIFS(tbl_data[12. Consultation Group of],$E$2,tbl_data[2:T2C],$A31,tbl_data[T2],$E$3)</f>
        <v>0</v>
      </c>
      <c r="AY31" s="198">
        <f>COUNTIFS(tbl_data[12. Consultation Group of],$E$2,tbl_data[3:T2C],$A31,tbl_data[T2],$E$3)</f>
        <v>0</v>
      </c>
      <c r="AZ31" s="198">
        <f>COUNTIFS(tbl_data[12. Consultation Group of],$E$2,tbl_data[1:T3C],$A31,tbl_data[T3],$E$3)</f>
        <v>0</v>
      </c>
      <c r="BA31" s="198">
        <f>COUNTIFS(tbl_data[12. Consultation Group of],$E$2,tbl_data[2:T3C],$A31,tbl_data[T3],$E$3)</f>
        <v>0</v>
      </c>
      <c r="BB31" s="198">
        <f>COUNTIFS(tbl_data[12. Consultation Group of],$E$2,tbl_data[3:T3C],$A31,tbl_data[T3],$E$3)</f>
        <v>0</v>
      </c>
      <c r="BC31" s="198">
        <f t="shared" si="4"/>
        <v>0</v>
      </c>
      <c r="BD31" s="199" t="str">
        <f t="shared" si="12"/>
        <v>Violence (0)</v>
      </c>
      <c r="BE31" s="205">
        <f>COUNTIFS(tbl_data[1:T1C],$A31,tbl_data[T1],$F$3)</f>
        <v>0</v>
      </c>
      <c r="BF31" s="198">
        <f>COUNTIFS(tbl_data[2:T1C],$A31,tbl_data[T1],$F$3)</f>
        <v>0</v>
      </c>
      <c r="BG31" s="198">
        <f>COUNTIFS(tbl_data[3:T1C],$A31,tbl_data[T1],$F$3)</f>
        <v>0</v>
      </c>
      <c r="BH31" s="198">
        <f>COUNTIFS(tbl_data[1:T2C],$A31,tbl_data[T2],$F$3)</f>
        <v>0</v>
      </c>
      <c r="BI31" s="198">
        <f>COUNTIFS(tbl_data[2:T2C],$A31,tbl_data[T2],$F$3)</f>
        <v>0</v>
      </c>
      <c r="BJ31" s="198">
        <f>COUNTIFS(tbl_data[3:T2C],$A31,tbl_data[T2],$F$3)</f>
        <v>0</v>
      </c>
      <c r="BK31" s="198">
        <f>COUNTIFS(tbl_data[1:T3C],$A31,tbl_data[T3],$F$3)</f>
        <v>0</v>
      </c>
      <c r="BL31" s="198">
        <f>COUNTIFS(tbl_data[2:T3C],$A31,tbl_data[T3],$F$3)</f>
        <v>0</v>
      </c>
      <c r="BM31" s="198">
        <f>COUNTIFS(tbl_data[3:T3C],$A31,tbl_data[T3],$F$3)</f>
        <v>0</v>
      </c>
      <c r="BN31" s="198">
        <f t="shared" si="5"/>
        <v>0</v>
      </c>
      <c r="BO31" s="199" t="str">
        <f t="shared" si="13"/>
        <v>Violence (0)</v>
      </c>
      <c r="BQ31" t="str">
        <f t="shared" si="6"/>
        <v>Violence</v>
      </c>
      <c r="BR31">
        <f t="shared" si="7"/>
        <v>0</v>
      </c>
    </row>
    <row r="32" spans="1:74" x14ac:dyDescent="0.25">
      <c r="A32" s="203" t="s">
        <v>353</v>
      </c>
      <c r="B32" s="205">
        <f>COUNTIFS(tbl_data[12. Consultation Group of],$A$2,tbl_data[1:T1C],$A32,tbl_data[T1],$A$3)</f>
        <v>0</v>
      </c>
      <c r="C32" s="198">
        <f>COUNTIFS(tbl_data[12. Consultation Group of],$A$2,tbl_data[2:T1C],$A32,tbl_data[T1],$A$3)</f>
        <v>0</v>
      </c>
      <c r="D32" s="198">
        <f>COUNTIFS(tbl_data[12. Consultation Group of],$A$2,tbl_data[3:T1C],$A32,tbl_data[T1],$A$3)</f>
        <v>0</v>
      </c>
      <c r="E32" s="198">
        <f>COUNTIFS(tbl_data[12. Consultation Group of],$A$2,tbl_data[1:T2C],$A32,tbl_data[T2],$A$3)</f>
        <v>0</v>
      </c>
      <c r="F32" s="198">
        <f>COUNTIFS(tbl_data[12. Consultation Group of],$A$2,tbl_data[2:T2C],$A32,tbl_data[T2],$A$3)</f>
        <v>0</v>
      </c>
      <c r="G32" s="198">
        <f>COUNTIFS(tbl_data[12. Consultation Group of],$A$2,tbl_data[3:T2C],$A32,tbl_data[T2],$A$3)</f>
        <v>0</v>
      </c>
      <c r="H32" s="198">
        <f>COUNTIFS(tbl_data[12. Consultation Group of],$A$2,tbl_data[1:T3C],$A32,tbl_data[T3],$A$3)</f>
        <v>0</v>
      </c>
      <c r="I32" s="198">
        <f>COUNTIFS(tbl_data[12. Consultation Group of],$A$2,tbl_data[2:T3C],$A32,tbl_data[T3],$A$3)</f>
        <v>0</v>
      </c>
      <c r="J32" s="198">
        <f>COUNTIFS(tbl_data[12. Consultation Group of],$A$2,tbl_data[3:T3C],$A32,tbl_data[T3],$A$3)</f>
        <v>0</v>
      </c>
      <c r="K32" s="198">
        <f t="shared" si="0"/>
        <v>0</v>
      </c>
      <c r="L32" s="199" t="str">
        <f t="shared" si="8"/>
        <v>Water Pollution (0)</v>
      </c>
      <c r="M32" s="205">
        <f>COUNTIFS(tbl_data[12. Consultation Group of],$B$2,tbl_data[1:T1C],$A32,tbl_data[T1],$B$3)</f>
        <v>0</v>
      </c>
      <c r="N32" s="198">
        <f>COUNTIFS(tbl_data[12. Consultation Group of],$B$2,tbl_data[2:T1C],$A32,tbl_data[T1],$B$3)</f>
        <v>0</v>
      </c>
      <c r="O32" s="198">
        <f>COUNTIFS(tbl_data[12. Consultation Group of],$B$2,tbl_data[3:T1C],$A32,tbl_data[T1],$B$3)</f>
        <v>0</v>
      </c>
      <c r="P32" s="198">
        <f>COUNTIFS(tbl_data[12. Consultation Group of],$B$2,tbl_data[1:T2C],$A32,tbl_data[T2],$B$3)</f>
        <v>0</v>
      </c>
      <c r="Q32" s="198">
        <f>COUNTIFS(tbl_data[12. Consultation Group of],$B$2,tbl_data[2:T2C],$A32,tbl_data[T2],$B$3)</f>
        <v>0</v>
      </c>
      <c r="R32" s="198">
        <f>COUNTIFS(tbl_data[12. Consultation Group of],$B$2,tbl_data[3:T2C],$A32,tbl_data[T2],$B$3)</f>
        <v>0</v>
      </c>
      <c r="S32" s="198">
        <f>COUNTIFS(tbl_data[12. Consultation Group of],$B$2,tbl_data[1:T3C],$A32,tbl_data[T3],$B$3)</f>
        <v>0</v>
      </c>
      <c r="T32" s="198">
        <f>COUNTIFS(tbl_data[12. Consultation Group of],$B$2,tbl_data[2:T3C],$A32,tbl_data[T3],$B$3)</f>
        <v>0</v>
      </c>
      <c r="U32" s="198">
        <f>COUNTIFS(tbl_data[12. Consultation Group of],$B$2,tbl_data[3:T3C],$A32,tbl_data[T3],$B$3)</f>
        <v>0</v>
      </c>
      <c r="V32" s="198">
        <f t="shared" si="1"/>
        <v>0</v>
      </c>
      <c r="W32" s="199" t="str">
        <f t="shared" si="9"/>
        <v>Water Pollution (0)</v>
      </c>
      <c r="X32" s="205">
        <f>COUNTIFS(tbl_data[12. Consultation Group of],$C$2,tbl_data[1:T1C],$A32,tbl_data[T1],$C$3)</f>
        <v>0</v>
      </c>
      <c r="Y32" s="198">
        <f>COUNTIFS(tbl_data[12. Consultation Group of],$C$2,tbl_data[2:T1C],$A32,tbl_data[T1],$C$3)</f>
        <v>0</v>
      </c>
      <c r="Z32" s="198">
        <f>COUNTIFS(tbl_data[12. Consultation Group of],$C$2,tbl_data[3:T1C],$A32,tbl_data[T1],$C$3)</f>
        <v>0</v>
      </c>
      <c r="AA32" s="198">
        <f>COUNTIFS(tbl_data[12. Consultation Group of],$C$2,tbl_data[1:T2C],$A32,tbl_data[T2],$C$3)</f>
        <v>0</v>
      </c>
      <c r="AB32" s="198">
        <f>COUNTIFS(tbl_data[12. Consultation Group of],$C$2,tbl_data[2:T2C],$A32,tbl_data[T2],$C$3)</f>
        <v>0</v>
      </c>
      <c r="AC32" s="198">
        <f>COUNTIFS(tbl_data[12. Consultation Group of],$C$2,tbl_data[3:T2C],$A32,tbl_data[T2],$C$3)</f>
        <v>0</v>
      </c>
      <c r="AD32" s="198">
        <f>COUNTIFS(tbl_data[12. Consultation Group of],$C$2,tbl_data[1:T3C],$A32,tbl_data[T3],$C$3)</f>
        <v>0</v>
      </c>
      <c r="AE32" s="198">
        <f>COUNTIFS(tbl_data[12. Consultation Group of],$C$2,tbl_data[2:T3C],$A32,tbl_data[T3],$C$3)</f>
        <v>0</v>
      </c>
      <c r="AF32" s="198">
        <f>COUNTIFS(tbl_data[12. Consultation Group of],$C$2,tbl_data[3:T3C],$A32,tbl_data[T3],$C$3)</f>
        <v>0</v>
      </c>
      <c r="AG32" s="198">
        <f t="shared" si="2"/>
        <v>0</v>
      </c>
      <c r="AH32" s="199" t="str">
        <f t="shared" si="10"/>
        <v>Water Pollution (0)</v>
      </c>
      <c r="AI32" s="205">
        <f>COUNTIFS(tbl_data[12. Consultation Group of],$D$2,tbl_data[1:T1C],$A32,tbl_data[T1],$D$3)</f>
        <v>0</v>
      </c>
      <c r="AJ32" s="198">
        <f>COUNTIFS(tbl_data[12. Consultation Group of],$D$2,tbl_data[2:T1C],$A32,tbl_data[T1],$D$3)</f>
        <v>0</v>
      </c>
      <c r="AK32" s="198">
        <f>COUNTIFS(tbl_data[12. Consultation Group of],$D$2,tbl_data[3:T1C],$A32,tbl_data[T1],$D$3)</f>
        <v>0</v>
      </c>
      <c r="AL32" s="198">
        <f>COUNTIFS(tbl_data[12. Consultation Group of],$D$2,tbl_data[1:T2C],$A32,tbl_data[T2],$D$3)</f>
        <v>0</v>
      </c>
      <c r="AM32" s="198">
        <f>COUNTIFS(tbl_data[12. Consultation Group of],$D$2,tbl_data[2:T2C],$A32,tbl_data[T2],$D$3)</f>
        <v>0</v>
      </c>
      <c r="AN32" s="198">
        <f>COUNTIFS(tbl_data[12. Consultation Group of],$D$2,tbl_data[3:T2C],$A32,tbl_data[T2],$D$3)</f>
        <v>0</v>
      </c>
      <c r="AO32" s="198">
        <f>COUNTIFS(tbl_data[12. Consultation Group of],$D$2,tbl_data[1:T3C],$A32,tbl_data[T3],$D$3)</f>
        <v>0</v>
      </c>
      <c r="AP32" s="198">
        <f>COUNTIFS(tbl_data[12. Consultation Group of],$D$2,tbl_data[2:T3C],$A32,tbl_data[T3],$D$3)</f>
        <v>0</v>
      </c>
      <c r="AQ32" s="198">
        <f>COUNTIFS(tbl_data[12. Consultation Group of],$D$2,tbl_data[3:T3C],$A32,tbl_data[T3],$D$3)</f>
        <v>0</v>
      </c>
      <c r="AR32" s="198">
        <f t="shared" si="3"/>
        <v>0</v>
      </c>
      <c r="AS32" s="199" t="str">
        <f t="shared" si="11"/>
        <v>Water Pollution (0)</v>
      </c>
      <c r="AT32" s="205">
        <f>COUNTIFS(tbl_data[12. Consultation Group of],$E$2,tbl_data[1:T1C],$A32,tbl_data[T1],$E$3)</f>
        <v>0</v>
      </c>
      <c r="AU32" s="198">
        <f>COUNTIFS(tbl_data[12. Consultation Group of],$E$2,tbl_data[2:T1C],$A32,tbl_data[T1],$E$3)</f>
        <v>0</v>
      </c>
      <c r="AV32" s="198">
        <f>COUNTIFS(tbl_data[12. Consultation Group of],$E$2,tbl_data[3:T1C],$A32,tbl_data[T1],$E$3)</f>
        <v>0</v>
      </c>
      <c r="AW32" s="198">
        <f>COUNTIFS(tbl_data[12. Consultation Group of],$E$2,tbl_data[1:T2C],$A32,tbl_data[T2],$E$3)</f>
        <v>0</v>
      </c>
      <c r="AX32" s="198">
        <f>COUNTIFS(tbl_data[12. Consultation Group of],$E$2,tbl_data[2:T2C],$A32,tbl_data[T2],$E$3)</f>
        <v>0</v>
      </c>
      <c r="AY32" s="198">
        <f>COUNTIFS(tbl_data[12. Consultation Group of],$E$2,tbl_data[3:T2C],$A32,tbl_data[T2],$E$3)</f>
        <v>0</v>
      </c>
      <c r="AZ32" s="198">
        <f>COUNTIFS(tbl_data[12. Consultation Group of],$E$2,tbl_data[1:T3C],$A32,tbl_data[T3],$E$3)</f>
        <v>0</v>
      </c>
      <c r="BA32" s="198">
        <f>COUNTIFS(tbl_data[12. Consultation Group of],$E$2,tbl_data[2:T3C],$A32,tbl_data[T3],$E$3)</f>
        <v>0</v>
      </c>
      <c r="BB32" s="198">
        <f>COUNTIFS(tbl_data[12. Consultation Group of],$E$2,tbl_data[3:T3C],$A32,tbl_data[T3],$E$3)</f>
        <v>0</v>
      </c>
      <c r="BC32" s="198">
        <f t="shared" si="4"/>
        <v>0</v>
      </c>
      <c r="BD32" s="199" t="str">
        <f t="shared" si="12"/>
        <v>Water Pollution (0)</v>
      </c>
      <c r="BE32" s="205">
        <f>COUNTIFS(tbl_data[1:T1C],$A32,tbl_data[T1],$F$3)</f>
        <v>0</v>
      </c>
      <c r="BF32" s="198">
        <f>COUNTIFS(tbl_data[2:T1C],$A32,tbl_data[T1],$F$3)</f>
        <v>0</v>
      </c>
      <c r="BG32" s="198">
        <f>COUNTIFS(tbl_data[3:T1C],$A32,tbl_data[T1],$F$3)</f>
        <v>0</v>
      </c>
      <c r="BH32" s="198">
        <f>COUNTIFS(tbl_data[1:T2C],$A32,tbl_data[T2],$F$3)</f>
        <v>0</v>
      </c>
      <c r="BI32" s="198">
        <f>COUNTIFS(tbl_data[2:T2C],$A32,tbl_data[T2],$F$3)</f>
        <v>0</v>
      </c>
      <c r="BJ32" s="198">
        <f>COUNTIFS(tbl_data[3:T2C],$A32,tbl_data[T2],$F$3)</f>
        <v>0</v>
      </c>
      <c r="BK32" s="198">
        <f>COUNTIFS(tbl_data[1:T3C],$A32,tbl_data[T3],$F$3)</f>
        <v>0</v>
      </c>
      <c r="BL32" s="198">
        <f>COUNTIFS(tbl_data[2:T3C],$A32,tbl_data[T3],$F$3)</f>
        <v>0</v>
      </c>
      <c r="BM32" s="198">
        <f>COUNTIFS(tbl_data[3:T3C],$A32,tbl_data[T3],$F$3)</f>
        <v>0</v>
      </c>
      <c r="BN32" s="198">
        <f t="shared" si="5"/>
        <v>0</v>
      </c>
      <c r="BO32" s="199" t="str">
        <f t="shared" si="13"/>
        <v>Water Pollution (0)</v>
      </c>
      <c r="BQ32" t="str">
        <f t="shared" si="6"/>
        <v>Water Pollution</v>
      </c>
      <c r="BR32">
        <f t="shared" si="7"/>
        <v>0</v>
      </c>
    </row>
    <row r="33" spans="1:73" x14ac:dyDescent="0.25">
      <c r="A33" s="203" t="s">
        <v>495</v>
      </c>
      <c r="B33" s="205">
        <f>COUNTIFS(tbl_data[12. Consultation Group of],$A$2,tbl_data[1:T1C],$A33,tbl_data[T1],$A$3)</f>
        <v>0</v>
      </c>
      <c r="C33" s="198">
        <f>COUNTIFS(tbl_data[12. Consultation Group of],$A$2,tbl_data[2:T1C],$A33,tbl_data[T1],$A$3)</f>
        <v>0</v>
      </c>
      <c r="D33" s="198">
        <f>COUNTIFS(tbl_data[12. Consultation Group of],$A$2,tbl_data[3:T1C],$A33,tbl_data[T1],$A$3)</f>
        <v>0</v>
      </c>
      <c r="E33" s="198">
        <f>COUNTIFS(tbl_data[12. Consultation Group of],$A$2,tbl_data[1:T2C],$A33,tbl_data[T2],$A$3)</f>
        <v>0</v>
      </c>
      <c r="F33" s="198">
        <f>COUNTIFS(tbl_data[12. Consultation Group of],$A$2,tbl_data[2:T2C],$A33,tbl_data[T2],$A$3)</f>
        <v>0</v>
      </c>
      <c r="G33" s="198">
        <f>COUNTIFS(tbl_data[12. Consultation Group of],$A$2,tbl_data[3:T2C],$A33,tbl_data[T2],$A$3)</f>
        <v>0</v>
      </c>
      <c r="H33" s="198">
        <f>COUNTIFS(tbl_data[12. Consultation Group of],$A$2,tbl_data[1:T3C],$A33,tbl_data[T3],$A$3)</f>
        <v>0</v>
      </c>
      <c r="I33" s="198">
        <f>COUNTIFS(tbl_data[12. Consultation Group of],$A$2,tbl_data[2:T3C],$A33,tbl_data[T3],$A$3)</f>
        <v>0</v>
      </c>
      <c r="J33" s="198">
        <f>COUNTIFS(tbl_data[12. Consultation Group of],$A$2,tbl_data[3:T3C],$A33,tbl_data[T3],$A$3)</f>
        <v>0</v>
      </c>
      <c r="K33" s="198">
        <f t="shared" si="0"/>
        <v>0</v>
      </c>
      <c r="L33" s="199" t="str">
        <f t="shared" si="8"/>
        <v>Famine (0)</v>
      </c>
      <c r="M33" s="205">
        <f>COUNTIFS(tbl_data[12. Consultation Group of],$B$2,tbl_data[1:T1C],$A33,tbl_data[T1],$B$3)</f>
        <v>0</v>
      </c>
      <c r="N33" s="198">
        <f>COUNTIFS(tbl_data[12. Consultation Group of],$B$2,tbl_data[2:T1C],$A33,tbl_data[T1],$B$3)</f>
        <v>0</v>
      </c>
      <c r="O33" s="198">
        <f>COUNTIFS(tbl_data[12. Consultation Group of],$B$2,tbl_data[3:T1C],$A33,tbl_data[T1],$B$3)</f>
        <v>0</v>
      </c>
      <c r="P33" s="198">
        <f>COUNTIFS(tbl_data[12. Consultation Group of],$B$2,tbl_data[1:T2C],$A33,tbl_data[T2],$B$3)</f>
        <v>0</v>
      </c>
      <c r="Q33" s="198">
        <f>COUNTIFS(tbl_data[12. Consultation Group of],$B$2,tbl_data[2:T2C],$A33,tbl_data[T2],$B$3)</f>
        <v>0</v>
      </c>
      <c r="R33" s="198">
        <f>COUNTIFS(tbl_data[12. Consultation Group of],$B$2,tbl_data[3:T2C],$A33,tbl_data[T2],$B$3)</f>
        <v>0</v>
      </c>
      <c r="S33" s="198">
        <f>COUNTIFS(tbl_data[12. Consultation Group of],$B$2,tbl_data[1:T3C],$A33,tbl_data[T3],$B$3)</f>
        <v>0</v>
      </c>
      <c r="T33" s="198">
        <f>COUNTIFS(tbl_data[12. Consultation Group of],$B$2,tbl_data[2:T3C],$A33,tbl_data[T3],$B$3)</f>
        <v>0</v>
      </c>
      <c r="U33" s="198">
        <f>COUNTIFS(tbl_data[12. Consultation Group of],$B$2,tbl_data[3:T3C],$A33,tbl_data[T3],$B$3)</f>
        <v>0</v>
      </c>
      <c r="V33" s="198">
        <f t="shared" si="1"/>
        <v>0</v>
      </c>
      <c r="W33" s="199" t="str">
        <f t="shared" si="9"/>
        <v>Famine (0)</v>
      </c>
      <c r="X33" s="205">
        <f>COUNTIFS(tbl_data[12. Consultation Group of],$C$2,tbl_data[1:T1C],$A33,tbl_data[T1],$C$3)</f>
        <v>0</v>
      </c>
      <c r="Y33" s="198">
        <f>COUNTIFS(tbl_data[12. Consultation Group of],$C$2,tbl_data[2:T1C],$A33,tbl_data[T1],$C$3)</f>
        <v>0</v>
      </c>
      <c r="Z33" s="198">
        <f>COUNTIFS(tbl_data[12. Consultation Group of],$C$2,tbl_data[3:T1C],$A33,tbl_data[T1],$C$3)</f>
        <v>0</v>
      </c>
      <c r="AA33" s="198">
        <f>COUNTIFS(tbl_data[12. Consultation Group of],$C$2,tbl_data[1:T2C],$A33,tbl_data[T2],$C$3)</f>
        <v>0</v>
      </c>
      <c r="AB33" s="198">
        <f>COUNTIFS(tbl_data[12. Consultation Group of],$C$2,tbl_data[2:T2C],$A33,tbl_data[T2],$C$3)</f>
        <v>0</v>
      </c>
      <c r="AC33" s="198">
        <f>COUNTIFS(tbl_data[12. Consultation Group of],$C$2,tbl_data[3:T2C],$A33,tbl_data[T2],$C$3)</f>
        <v>0</v>
      </c>
      <c r="AD33" s="198">
        <f>COUNTIFS(tbl_data[12. Consultation Group of],$C$2,tbl_data[1:T3C],$A33,tbl_data[T3],$C$3)</f>
        <v>0</v>
      </c>
      <c r="AE33" s="198">
        <f>COUNTIFS(tbl_data[12. Consultation Group of],$C$2,tbl_data[2:T3C],$A33,tbl_data[T3],$C$3)</f>
        <v>0</v>
      </c>
      <c r="AF33" s="198">
        <f>COUNTIFS(tbl_data[12. Consultation Group of],$C$2,tbl_data[3:T3C],$A33,tbl_data[T3],$C$3)</f>
        <v>0</v>
      </c>
      <c r="AG33" s="198">
        <f t="shared" si="2"/>
        <v>0</v>
      </c>
      <c r="AH33" s="199" t="str">
        <f t="shared" si="10"/>
        <v>Famine (0)</v>
      </c>
      <c r="AI33" s="205">
        <f>COUNTIFS(tbl_data[12. Consultation Group of],$D$2,tbl_data[1:T1C],$A33,tbl_data[T1],$D$3)</f>
        <v>0</v>
      </c>
      <c r="AJ33" s="198">
        <f>COUNTIFS(tbl_data[12. Consultation Group of],$D$2,tbl_data[2:T1C],$A33,tbl_data[T1],$D$3)</f>
        <v>0</v>
      </c>
      <c r="AK33" s="198">
        <f>COUNTIFS(tbl_data[12. Consultation Group of],$D$2,tbl_data[3:T1C],$A33,tbl_data[T1],$D$3)</f>
        <v>0</v>
      </c>
      <c r="AL33" s="198">
        <f>COUNTIFS(tbl_data[12. Consultation Group of],$D$2,tbl_data[1:T2C],$A33,tbl_data[T2],$D$3)</f>
        <v>0</v>
      </c>
      <c r="AM33" s="198">
        <f>COUNTIFS(tbl_data[12. Consultation Group of],$D$2,tbl_data[2:T2C],$A33,tbl_data[T2],$D$3)</f>
        <v>0</v>
      </c>
      <c r="AN33" s="198">
        <f>COUNTIFS(tbl_data[12. Consultation Group of],$D$2,tbl_data[3:T2C],$A33,tbl_data[T2],$D$3)</f>
        <v>0</v>
      </c>
      <c r="AO33" s="198">
        <f>COUNTIFS(tbl_data[12. Consultation Group of],$D$2,tbl_data[1:T3C],$A33,tbl_data[T3],$D$3)</f>
        <v>0</v>
      </c>
      <c r="AP33" s="198">
        <f>COUNTIFS(tbl_data[12. Consultation Group of],$D$2,tbl_data[2:T3C],$A33,tbl_data[T3],$D$3)</f>
        <v>0</v>
      </c>
      <c r="AQ33" s="198">
        <f>COUNTIFS(tbl_data[12. Consultation Group of],$D$2,tbl_data[3:T3C],$A33,tbl_data[T3],$D$3)</f>
        <v>0</v>
      </c>
      <c r="AR33" s="198">
        <f t="shared" si="3"/>
        <v>0</v>
      </c>
      <c r="AS33" s="199" t="str">
        <f t="shared" si="11"/>
        <v>Famine (0)</v>
      </c>
      <c r="AT33" s="205">
        <f>COUNTIFS(tbl_data[12. Consultation Group of],$E$2,tbl_data[1:T1C],$A33,tbl_data[T1],$E$3)</f>
        <v>0</v>
      </c>
      <c r="AU33" s="198">
        <f>COUNTIFS(tbl_data[12. Consultation Group of],$E$2,tbl_data[2:T1C],$A33,tbl_data[T1],$E$3)</f>
        <v>0</v>
      </c>
      <c r="AV33" s="198">
        <f>COUNTIFS(tbl_data[12. Consultation Group of],$E$2,tbl_data[3:T1C],$A33,tbl_data[T1],$E$3)</f>
        <v>0</v>
      </c>
      <c r="AW33" s="198">
        <f>COUNTIFS(tbl_data[12. Consultation Group of],$E$2,tbl_data[1:T2C],$A33,tbl_data[T2],$E$3)</f>
        <v>0</v>
      </c>
      <c r="AX33" s="198">
        <f>COUNTIFS(tbl_data[12. Consultation Group of],$E$2,tbl_data[2:T2C],$A33,tbl_data[T2],$E$3)</f>
        <v>0</v>
      </c>
      <c r="AY33" s="198">
        <f>COUNTIFS(tbl_data[12. Consultation Group of],$E$2,tbl_data[3:T2C],$A33,tbl_data[T2],$E$3)</f>
        <v>0</v>
      </c>
      <c r="AZ33" s="198">
        <f>COUNTIFS(tbl_data[12. Consultation Group of],$E$2,tbl_data[1:T3C],$A33,tbl_data[T3],$E$3)</f>
        <v>0</v>
      </c>
      <c r="BA33" s="198">
        <f>COUNTIFS(tbl_data[12. Consultation Group of],$E$2,tbl_data[2:T3C],$A33,tbl_data[T3],$E$3)</f>
        <v>0</v>
      </c>
      <c r="BB33" s="198">
        <f>COUNTIFS(tbl_data[12. Consultation Group of],$E$2,tbl_data[3:T3C],$A33,tbl_data[T3],$E$3)</f>
        <v>0</v>
      </c>
      <c r="BC33" s="198">
        <f t="shared" si="4"/>
        <v>0</v>
      </c>
      <c r="BD33" s="199" t="str">
        <f t="shared" si="12"/>
        <v>Famine (0)</v>
      </c>
      <c r="BE33" s="205">
        <f>COUNTIFS(tbl_data[1:T1C],$A33,tbl_data[T1],$F$3)</f>
        <v>0</v>
      </c>
      <c r="BF33" s="198">
        <f>COUNTIFS(tbl_data[2:T1C],$A33,tbl_data[T1],$F$3)</f>
        <v>0</v>
      </c>
      <c r="BG33" s="198">
        <f>COUNTIFS(tbl_data[3:T1C],$A33,tbl_data[T1],$F$3)</f>
        <v>0</v>
      </c>
      <c r="BH33" s="198">
        <f>COUNTIFS(tbl_data[1:T2C],$A33,tbl_data[T2],$F$3)</f>
        <v>0</v>
      </c>
      <c r="BI33" s="198">
        <f>COUNTIFS(tbl_data[2:T2C],$A33,tbl_data[T2],$F$3)</f>
        <v>0</v>
      </c>
      <c r="BJ33" s="198">
        <f>COUNTIFS(tbl_data[3:T2C],$A33,tbl_data[T2],$F$3)</f>
        <v>0</v>
      </c>
      <c r="BK33" s="198">
        <f>COUNTIFS(tbl_data[1:T3C],$A33,tbl_data[T3],$F$3)</f>
        <v>0</v>
      </c>
      <c r="BL33" s="198">
        <f>COUNTIFS(tbl_data[2:T3C],$A33,tbl_data[T3],$F$3)</f>
        <v>0</v>
      </c>
      <c r="BM33" s="198">
        <f>COUNTIFS(tbl_data[3:T3C],$A33,tbl_data[T3],$F$3)</f>
        <v>0</v>
      </c>
      <c r="BN33" s="198">
        <f t="shared" si="5"/>
        <v>0</v>
      </c>
      <c r="BO33" s="199" t="str">
        <f t="shared" si="13"/>
        <v>Famine (0)</v>
      </c>
      <c r="BQ33" t="str">
        <f t="shared" si="6"/>
        <v>Famine</v>
      </c>
      <c r="BR33">
        <f t="shared" si="7"/>
        <v>0</v>
      </c>
    </row>
    <row r="34" spans="1:73" x14ac:dyDescent="0.25">
      <c r="A34" s="203" t="s">
        <v>316</v>
      </c>
      <c r="B34" s="205">
        <f>COUNTIFS(tbl_data[12. Consultation Group of],$A$2,tbl_data[1:T1C],$A34,tbl_data[T1],$A$3)</f>
        <v>0</v>
      </c>
      <c r="C34" s="198">
        <f>COUNTIFS(tbl_data[12. Consultation Group of],$A$2,tbl_data[2:T1C],$A34,tbl_data[T1],$A$3)</f>
        <v>0</v>
      </c>
      <c r="D34" s="198">
        <f>COUNTIFS(tbl_data[12. Consultation Group of],$A$2,tbl_data[3:T1C],$A34,tbl_data[T1],$A$3)</f>
        <v>0</v>
      </c>
      <c r="E34" s="198">
        <f>COUNTIFS(tbl_data[12. Consultation Group of],$A$2,tbl_data[1:T2C],$A34,tbl_data[T2],$A$3)</f>
        <v>0</v>
      </c>
      <c r="F34" s="198">
        <f>COUNTIFS(tbl_data[12. Consultation Group of],$A$2,tbl_data[2:T2C],$A34,tbl_data[T2],$A$3)</f>
        <v>0</v>
      </c>
      <c r="G34" s="198">
        <f>COUNTIFS(tbl_data[12. Consultation Group of],$A$2,tbl_data[3:T2C],$A34,tbl_data[T2],$A$3)</f>
        <v>0</v>
      </c>
      <c r="H34" s="198">
        <f>COUNTIFS(tbl_data[12. Consultation Group of],$A$2,tbl_data[1:T3C],$A34,tbl_data[T3],$A$3)</f>
        <v>0</v>
      </c>
      <c r="I34" s="198">
        <f>COUNTIFS(tbl_data[12. Consultation Group of],$A$2,tbl_data[2:T3C],$A34,tbl_data[T3],$A$3)</f>
        <v>0</v>
      </c>
      <c r="J34" s="198">
        <f>COUNTIFS(tbl_data[12. Consultation Group of],$A$2,tbl_data[3:T3C],$A34,tbl_data[T3],$A$3)</f>
        <v>0</v>
      </c>
      <c r="K34" s="198">
        <f t="shared" si="0"/>
        <v>0</v>
      </c>
      <c r="L34" s="199" t="str">
        <f t="shared" si="8"/>
        <v>Reduced Yields (0)</v>
      </c>
      <c r="M34" s="205">
        <f>COUNTIFS(tbl_data[12. Consultation Group of],$B$2,tbl_data[1:T1C],$A34,tbl_data[T1],$B$3)</f>
        <v>0</v>
      </c>
      <c r="N34" s="198">
        <f>COUNTIFS(tbl_data[12. Consultation Group of],$B$2,tbl_data[2:T1C],$A34,tbl_data[T1],$B$3)</f>
        <v>0</v>
      </c>
      <c r="O34" s="198">
        <f>COUNTIFS(tbl_data[12. Consultation Group of],$B$2,tbl_data[3:T1C],$A34,tbl_data[T1],$B$3)</f>
        <v>0</v>
      </c>
      <c r="P34" s="198">
        <f>COUNTIFS(tbl_data[12. Consultation Group of],$B$2,tbl_data[1:T2C],$A34,tbl_data[T2],$B$3)</f>
        <v>0</v>
      </c>
      <c r="Q34" s="198">
        <f>COUNTIFS(tbl_data[12. Consultation Group of],$B$2,tbl_data[2:T2C],$A34,tbl_data[T2],$B$3)</f>
        <v>0</v>
      </c>
      <c r="R34" s="198">
        <f>COUNTIFS(tbl_data[12. Consultation Group of],$B$2,tbl_data[3:T2C],$A34,tbl_data[T2],$B$3)</f>
        <v>0</v>
      </c>
      <c r="S34" s="198">
        <f>COUNTIFS(tbl_data[12. Consultation Group of],$B$2,tbl_data[1:T3C],$A34,tbl_data[T3],$B$3)</f>
        <v>0</v>
      </c>
      <c r="T34" s="198">
        <f>COUNTIFS(tbl_data[12. Consultation Group of],$B$2,tbl_data[2:T3C],$A34,tbl_data[T3],$B$3)</f>
        <v>0</v>
      </c>
      <c r="U34" s="198">
        <f>COUNTIFS(tbl_data[12. Consultation Group of],$B$2,tbl_data[3:T3C],$A34,tbl_data[T3],$B$3)</f>
        <v>0</v>
      </c>
      <c r="V34" s="198">
        <f t="shared" si="1"/>
        <v>0</v>
      </c>
      <c r="W34" s="199" t="str">
        <f t="shared" si="9"/>
        <v>Reduced Yields (0)</v>
      </c>
      <c r="X34" s="205">
        <f>COUNTIFS(tbl_data[12. Consultation Group of],$C$2,tbl_data[1:T1C],$A34,tbl_data[T1],$C$3)</f>
        <v>0</v>
      </c>
      <c r="Y34" s="198">
        <f>COUNTIFS(tbl_data[12. Consultation Group of],$C$2,tbl_data[2:T1C],$A34,tbl_data[T1],$C$3)</f>
        <v>0</v>
      </c>
      <c r="Z34" s="198">
        <f>COUNTIFS(tbl_data[12. Consultation Group of],$C$2,tbl_data[3:T1C],$A34,tbl_data[T1],$C$3)</f>
        <v>0</v>
      </c>
      <c r="AA34" s="198">
        <f>COUNTIFS(tbl_data[12. Consultation Group of],$C$2,tbl_data[1:T2C],$A34,tbl_data[T2],$C$3)</f>
        <v>0</v>
      </c>
      <c r="AB34" s="198">
        <f>COUNTIFS(tbl_data[12. Consultation Group of],$C$2,tbl_data[2:T2C],$A34,tbl_data[T2],$C$3)</f>
        <v>0</v>
      </c>
      <c r="AC34" s="198">
        <f>COUNTIFS(tbl_data[12. Consultation Group of],$C$2,tbl_data[3:T2C],$A34,tbl_data[T2],$C$3)</f>
        <v>0</v>
      </c>
      <c r="AD34" s="198">
        <f>COUNTIFS(tbl_data[12. Consultation Group of],$C$2,tbl_data[1:T3C],$A34,tbl_data[T3],$C$3)</f>
        <v>0</v>
      </c>
      <c r="AE34" s="198">
        <f>COUNTIFS(tbl_data[12. Consultation Group of],$C$2,tbl_data[2:T3C],$A34,tbl_data[T3],$C$3)</f>
        <v>0</v>
      </c>
      <c r="AF34" s="198">
        <f>COUNTIFS(tbl_data[12. Consultation Group of],$C$2,tbl_data[3:T3C],$A34,tbl_data[T3],$C$3)</f>
        <v>0</v>
      </c>
      <c r="AG34" s="198">
        <f t="shared" si="2"/>
        <v>0</v>
      </c>
      <c r="AH34" s="199" t="str">
        <f t="shared" si="10"/>
        <v>Reduced Yields (0)</v>
      </c>
      <c r="AI34" s="205">
        <f>COUNTIFS(tbl_data[12. Consultation Group of],$D$2,tbl_data[1:T1C],$A34,tbl_data[T1],$D$3)</f>
        <v>0</v>
      </c>
      <c r="AJ34" s="198">
        <f>COUNTIFS(tbl_data[12. Consultation Group of],$D$2,tbl_data[2:T1C],$A34,tbl_data[T1],$D$3)</f>
        <v>0</v>
      </c>
      <c r="AK34" s="198">
        <f>COUNTIFS(tbl_data[12. Consultation Group of],$D$2,tbl_data[3:T1C],$A34,tbl_data[T1],$D$3)</f>
        <v>0</v>
      </c>
      <c r="AL34" s="198">
        <f>COUNTIFS(tbl_data[12. Consultation Group of],$D$2,tbl_data[1:T2C],$A34,tbl_data[T2],$D$3)</f>
        <v>0</v>
      </c>
      <c r="AM34" s="198">
        <f>COUNTIFS(tbl_data[12. Consultation Group of],$D$2,tbl_data[2:T2C],$A34,tbl_data[T2],$D$3)</f>
        <v>0</v>
      </c>
      <c r="AN34" s="198">
        <f>COUNTIFS(tbl_data[12. Consultation Group of],$D$2,tbl_data[3:T2C],$A34,tbl_data[T2],$D$3)</f>
        <v>0</v>
      </c>
      <c r="AO34" s="198">
        <f>COUNTIFS(tbl_data[12. Consultation Group of],$D$2,tbl_data[1:T3C],$A34,tbl_data[T3],$D$3)</f>
        <v>0</v>
      </c>
      <c r="AP34" s="198">
        <f>COUNTIFS(tbl_data[12. Consultation Group of],$D$2,tbl_data[2:T3C],$A34,tbl_data[T3],$D$3)</f>
        <v>0</v>
      </c>
      <c r="AQ34" s="198">
        <f>COUNTIFS(tbl_data[12. Consultation Group of],$D$2,tbl_data[3:T3C],$A34,tbl_data[T3],$D$3)</f>
        <v>0</v>
      </c>
      <c r="AR34" s="198">
        <f t="shared" si="3"/>
        <v>0</v>
      </c>
      <c r="AS34" s="199" t="str">
        <f t="shared" si="11"/>
        <v>Reduced Yields (0)</v>
      </c>
      <c r="AT34" s="205">
        <f>COUNTIFS(tbl_data[12. Consultation Group of],$E$2,tbl_data[1:T1C],$A34,tbl_data[T1],$E$3)</f>
        <v>0</v>
      </c>
      <c r="AU34" s="198">
        <f>COUNTIFS(tbl_data[12. Consultation Group of],$E$2,tbl_data[2:T1C],$A34,tbl_data[T1],$E$3)</f>
        <v>0</v>
      </c>
      <c r="AV34" s="198">
        <f>COUNTIFS(tbl_data[12. Consultation Group of],$E$2,tbl_data[3:T1C],$A34,tbl_data[T1],$E$3)</f>
        <v>0</v>
      </c>
      <c r="AW34" s="198">
        <f>COUNTIFS(tbl_data[12. Consultation Group of],$E$2,tbl_data[1:T2C],$A34,tbl_data[T2],$E$3)</f>
        <v>0</v>
      </c>
      <c r="AX34" s="198">
        <f>COUNTIFS(tbl_data[12. Consultation Group of],$E$2,tbl_data[2:T2C],$A34,tbl_data[T2],$E$3)</f>
        <v>0</v>
      </c>
      <c r="AY34" s="198">
        <f>COUNTIFS(tbl_data[12. Consultation Group of],$E$2,tbl_data[3:T2C],$A34,tbl_data[T2],$E$3)</f>
        <v>0</v>
      </c>
      <c r="AZ34" s="198">
        <f>COUNTIFS(tbl_data[12. Consultation Group of],$E$2,tbl_data[1:T3C],$A34,tbl_data[T3],$E$3)</f>
        <v>0</v>
      </c>
      <c r="BA34" s="198">
        <f>COUNTIFS(tbl_data[12. Consultation Group of],$E$2,tbl_data[2:T3C],$A34,tbl_data[T3],$E$3)</f>
        <v>0</v>
      </c>
      <c r="BB34" s="198">
        <f>COUNTIFS(tbl_data[12. Consultation Group of],$E$2,tbl_data[3:T3C],$A34,tbl_data[T3],$E$3)</f>
        <v>0</v>
      </c>
      <c r="BC34" s="198">
        <f t="shared" si="4"/>
        <v>0</v>
      </c>
      <c r="BD34" s="199" t="str">
        <f t="shared" si="12"/>
        <v>Reduced Yields (0)</v>
      </c>
      <c r="BE34" s="205">
        <f>COUNTIFS(tbl_data[1:T1C],$A34,tbl_data[T1],$F$3)</f>
        <v>0</v>
      </c>
      <c r="BF34" s="198">
        <f>COUNTIFS(tbl_data[2:T1C],$A34,tbl_data[T1],$F$3)</f>
        <v>0</v>
      </c>
      <c r="BG34" s="198">
        <f>COUNTIFS(tbl_data[3:T1C],$A34,tbl_data[T1],$F$3)</f>
        <v>0</v>
      </c>
      <c r="BH34" s="198">
        <f>COUNTIFS(tbl_data[1:T2C],$A34,tbl_data[T2],$F$3)</f>
        <v>0</v>
      </c>
      <c r="BI34" s="198">
        <f>COUNTIFS(tbl_data[2:T2C],$A34,tbl_data[T2],$F$3)</f>
        <v>0</v>
      </c>
      <c r="BJ34" s="198">
        <f>COUNTIFS(tbl_data[3:T2C],$A34,tbl_data[T2],$F$3)</f>
        <v>0</v>
      </c>
      <c r="BK34" s="198">
        <f>COUNTIFS(tbl_data[1:T3C],$A34,tbl_data[T3],$F$3)</f>
        <v>0</v>
      </c>
      <c r="BL34" s="198">
        <f>COUNTIFS(tbl_data[2:T3C],$A34,tbl_data[T3],$F$3)</f>
        <v>0</v>
      </c>
      <c r="BM34" s="198">
        <f>COUNTIFS(tbl_data[3:T3C],$A34,tbl_data[T3],$F$3)</f>
        <v>0</v>
      </c>
      <c r="BN34" s="198">
        <f t="shared" si="5"/>
        <v>0</v>
      </c>
      <c r="BO34" s="199" t="str">
        <f t="shared" si="13"/>
        <v>Reduced Yields (0)</v>
      </c>
      <c r="BQ34" t="str">
        <f t="shared" si="6"/>
        <v>Reduced Yields</v>
      </c>
      <c r="BR34">
        <f t="shared" si="7"/>
        <v>0</v>
      </c>
    </row>
    <row r="35" spans="1:73" x14ac:dyDescent="0.25">
      <c r="A35" s="203" t="s">
        <v>278</v>
      </c>
      <c r="B35" s="205">
        <f>COUNTIFS(tbl_data[12. Consultation Group of],$A$2,tbl_data[1:T1C],$A35,tbl_data[T1],$A$3)</f>
        <v>0</v>
      </c>
      <c r="C35" s="198">
        <f>COUNTIFS(tbl_data[12. Consultation Group of],$A$2,tbl_data[2:T1C],$A35,tbl_data[T1],$A$3)</f>
        <v>0</v>
      </c>
      <c r="D35" s="198">
        <f>COUNTIFS(tbl_data[12. Consultation Group of],$A$2,tbl_data[3:T1C],$A35,tbl_data[T1],$A$3)</f>
        <v>0</v>
      </c>
      <c r="E35" s="198">
        <f>COUNTIFS(tbl_data[12. Consultation Group of],$A$2,tbl_data[1:T2C],$A35,tbl_data[T2],$A$3)</f>
        <v>0</v>
      </c>
      <c r="F35" s="198">
        <f>COUNTIFS(tbl_data[12. Consultation Group of],$A$2,tbl_data[2:T2C],$A35,tbl_data[T2],$A$3)</f>
        <v>0</v>
      </c>
      <c r="G35" s="198">
        <f>COUNTIFS(tbl_data[12. Consultation Group of],$A$2,tbl_data[3:T2C],$A35,tbl_data[T2],$A$3)</f>
        <v>0</v>
      </c>
      <c r="H35" s="198">
        <f>COUNTIFS(tbl_data[12. Consultation Group of],$A$2,tbl_data[1:T3C],$A35,tbl_data[T3],$A$3)</f>
        <v>0</v>
      </c>
      <c r="I35" s="198">
        <f>COUNTIFS(tbl_data[12. Consultation Group of],$A$2,tbl_data[2:T3C],$A35,tbl_data[T3],$A$3)</f>
        <v>0</v>
      </c>
      <c r="J35" s="198">
        <f>COUNTIFS(tbl_data[12. Consultation Group of],$A$2,tbl_data[3:T3C],$A35,tbl_data[T3],$A$3)</f>
        <v>0</v>
      </c>
      <c r="K35" s="198">
        <f t="shared" si="0"/>
        <v>0</v>
      </c>
      <c r="L35" s="199" t="str">
        <f t="shared" si="8"/>
        <v>Disability (0)</v>
      </c>
      <c r="M35" s="205">
        <f>COUNTIFS(tbl_data[12. Consultation Group of],$B$2,tbl_data[1:T1C],$A35,tbl_data[T1],$B$3)</f>
        <v>0</v>
      </c>
      <c r="N35" s="198">
        <f>COUNTIFS(tbl_data[12. Consultation Group of],$B$2,tbl_data[2:T1C],$A35,tbl_data[T1],$B$3)</f>
        <v>0</v>
      </c>
      <c r="O35" s="198">
        <f>COUNTIFS(tbl_data[12. Consultation Group of],$B$2,tbl_data[3:T1C],$A35,tbl_data[T1],$B$3)</f>
        <v>0</v>
      </c>
      <c r="P35" s="198">
        <f>COUNTIFS(tbl_data[12. Consultation Group of],$B$2,tbl_data[1:T2C],$A35,tbl_data[T2],$B$3)</f>
        <v>0</v>
      </c>
      <c r="Q35" s="198">
        <f>COUNTIFS(tbl_data[12. Consultation Group of],$B$2,tbl_data[2:T2C],$A35,tbl_data[T2],$B$3)</f>
        <v>0</v>
      </c>
      <c r="R35" s="198">
        <f>COUNTIFS(tbl_data[12. Consultation Group of],$B$2,tbl_data[3:T2C],$A35,tbl_data[T2],$B$3)</f>
        <v>0</v>
      </c>
      <c r="S35" s="198">
        <f>COUNTIFS(tbl_data[12. Consultation Group of],$B$2,tbl_data[1:T3C],$A35,tbl_data[T3],$B$3)</f>
        <v>0</v>
      </c>
      <c r="T35" s="198">
        <f>COUNTIFS(tbl_data[12. Consultation Group of],$B$2,tbl_data[2:T3C],$A35,tbl_data[T3],$B$3)</f>
        <v>0</v>
      </c>
      <c r="U35" s="198">
        <f>COUNTIFS(tbl_data[12. Consultation Group of],$B$2,tbl_data[3:T3C],$A35,tbl_data[T3],$B$3)</f>
        <v>0</v>
      </c>
      <c r="V35" s="198">
        <f t="shared" si="1"/>
        <v>0</v>
      </c>
      <c r="W35" s="199" t="str">
        <f t="shared" si="9"/>
        <v>Disability (0)</v>
      </c>
      <c r="X35" s="205">
        <f>COUNTIFS(tbl_data[12. Consultation Group of],$C$2,tbl_data[1:T1C],$A35,tbl_data[T1],$C$3)</f>
        <v>0</v>
      </c>
      <c r="Y35" s="198">
        <f>COUNTIFS(tbl_data[12. Consultation Group of],$C$2,tbl_data[2:T1C],$A35,tbl_data[T1],$C$3)</f>
        <v>0</v>
      </c>
      <c r="Z35" s="198">
        <f>COUNTIFS(tbl_data[12. Consultation Group of],$C$2,tbl_data[3:T1C],$A35,tbl_data[T1],$C$3)</f>
        <v>0</v>
      </c>
      <c r="AA35" s="198">
        <f>COUNTIFS(tbl_data[12. Consultation Group of],$C$2,tbl_data[1:T2C],$A35,tbl_data[T2],$C$3)</f>
        <v>0</v>
      </c>
      <c r="AB35" s="198">
        <f>COUNTIFS(tbl_data[12. Consultation Group of],$C$2,tbl_data[2:T2C],$A35,tbl_data[T2],$C$3)</f>
        <v>0</v>
      </c>
      <c r="AC35" s="198">
        <f>COUNTIFS(tbl_data[12. Consultation Group of],$C$2,tbl_data[3:T2C],$A35,tbl_data[T2],$C$3)</f>
        <v>0</v>
      </c>
      <c r="AD35" s="198">
        <f>COUNTIFS(tbl_data[12. Consultation Group of],$C$2,tbl_data[1:T3C],$A35,tbl_data[T3],$C$3)</f>
        <v>0</v>
      </c>
      <c r="AE35" s="198">
        <f>COUNTIFS(tbl_data[12. Consultation Group of],$C$2,tbl_data[2:T3C],$A35,tbl_data[T3],$C$3)</f>
        <v>0</v>
      </c>
      <c r="AF35" s="198">
        <f>COUNTIFS(tbl_data[12. Consultation Group of],$C$2,tbl_data[3:T3C],$A35,tbl_data[T3],$C$3)</f>
        <v>0</v>
      </c>
      <c r="AG35" s="198">
        <f t="shared" si="2"/>
        <v>0</v>
      </c>
      <c r="AH35" s="199" t="str">
        <f t="shared" si="10"/>
        <v>Disability (0)</v>
      </c>
      <c r="AI35" s="205">
        <f>COUNTIFS(tbl_data[12. Consultation Group of],$D$2,tbl_data[1:T1C],$A35,tbl_data[T1],$D$3)</f>
        <v>0</v>
      </c>
      <c r="AJ35" s="198">
        <f>COUNTIFS(tbl_data[12. Consultation Group of],$D$2,tbl_data[2:T1C],$A35,tbl_data[T1],$D$3)</f>
        <v>0</v>
      </c>
      <c r="AK35" s="198">
        <f>COUNTIFS(tbl_data[12. Consultation Group of],$D$2,tbl_data[3:T1C],$A35,tbl_data[T1],$D$3)</f>
        <v>0</v>
      </c>
      <c r="AL35" s="198">
        <f>COUNTIFS(tbl_data[12. Consultation Group of],$D$2,tbl_data[1:T2C],$A35,tbl_data[T2],$D$3)</f>
        <v>0</v>
      </c>
      <c r="AM35" s="198">
        <f>COUNTIFS(tbl_data[12. Consultation Group of],$D$2,tbl_data[2:T2C],$A35,tbl_data[T2],$D$3)</f>
        <v>0</v>
      </c>
      <c r="AN35" s="198">
        <f>COUNTIFS(tbl_data[12. Consultation Group of],$D$2,tbl_data[3:T2C],$A35,tbl_data[T2],$D$3)</f>
        <v>0</v>
      </c>
      <c r="AO35" s="198">
        <f>COUNTIFS(tbl_data[12. Consultation Group of],$D$2,tbl_data[1:T3C],$A35,tbl_data[T3],$D$3)</f>
        <v>0</v>
      </c>
      <c r="AP35" s="198">
        <f>COUNTIFS(tbl_data[12. Consultation Group of],$D$2,tbl_data[2:T3C],$A35,tbl_data[T3],$D$3)</f>
        <v>0</v>
      </c>
      <c r="AQ35" s="198">
        <f>COUNTIFS(tbl_data[12. Consultation Group of],$D$2,tbl_data[3:T3C],$A35,tbl_data[T3],$D$3)</f>
        <v>0</v>
      </c>
      <c r="AR35" s="198">
        <f t="shared" si="3"/>
        <v>0</v>
      </c>
      <c r="AS35" s="199" t="str">
        <f t="shared" si="11"/>
        <v>Disability (0)</v>
      </c>
      <c r="AT35" s="205">
        <f>COUNTIFS(tbl_data[12. Consultation Group of],$E$2,tbl_data[1:T1C],$A35,tbl_data[T1],$E$3)</f>
        <v>1</v>
      </c>
      <c r="AU35" s="198">
        <f>COUNTIFS(tbl_data[12. Consultation Group of],$E$2,tbl_data[2:T1C],$A35,tbl_data[T1],$E$3)</f>
        <v>0</v>
      </c>
      <c r="AV35" s="198">
        <f>COUNTIFS(tbl_data[12. Consultation Group of],$E$2,tbl_data[3:T1C],$A35,tbl_data[T1],$E$3)</f>
        <v>0</v>
      </c>
      <c r="AW35" s="198">
        <f>COUNTIFS(tbl_data[12. Consultation Group of],$E$2,tbl_data[1:T2C],$A35,tbl_data[T2],$E$3)</f>
        <v>0</v>
      </c>
      <c r="AX35" s="198">
        <f>COUNTIFS(tbl_data[12. Consultation Group of],$E$2,tbl_data[2:T2C],$A35,tbl_data[T2],$E$3)</f>
        <v>0</v>
      </c>
      <c r="AY35" s="198">
        <f>COUNTIFS(tbl_data[12. Consultation Group of],$E$2,tbl_data[3:T2C],$A35,tbl_data[T2],$E$3)</f>
        <v>0</v>
      </c>
      <c r="AZ35" s="198">
        <f>COUNTIFS(tbl_data[12. Consultation Group of],$E$2,tbl_data[1:T3C],$A35,tbl_data[T3],$E$3)</f>
        <v>0</v>
      </c>
      <c r="BA35" s="198">
        <f>COUNTIFS(tbl_data[12. Consultation Group of],$E$2,tbl_data[2:T3C],$A35,tbl_data[T3],$E$3)</f>
        <v>0</v>
      </c>
      <c r="BB35" s="198">
        <f>COUNTIFS(tbl_data[12. Consultation Group of],$E$2,tbl_data[3:T3C],$A35,tbl_data[T3],$E$3)</f>
        <v>0</v>
      </c>
      <c r="BC35" s="198">
        <f t="shared" si="4"/>
        <v>1</v>
      </c>
      <c r="BD35" s="199" t="str">
        <f t="shared" si="12"/>
        <v>Disability (1)</v>
      </c>
      <c r="BE35" s="205">
        <f>COUNTIFS(tbl_data[1:T1C],$A35,tbl_data[T1],$F$3)</f>
        <v>0</v>
      </c>
      <c r="BF35" s="198">
        <f>COUNTIFS(tbl_data[2:T1C],$A35,tbl_data[T1],$F$3)</f>
        <v>0</v>
      </c>
      <c r="BG35" s="198">
        <f>COUNTIFS(tbl_data[3:T1C],$A35,tbl_data[T1],$F$3)</f>
        <v>0</v>
      </c>
      <c r="BH35" s="198">
        <f>COUNTIFS(tbl_data[1:T2C],$A35,tbl_data[T2],$F$3)</f>
        <v>0</v>
      </c>
      <c r="BI35" s="198">
        <f>COUNTIFS(tbl_data[2:T2C],$A35,tbl_data[T2],$F$3)</f>
        <v>0</v>
      </c>
      <c r="BJ35" s="198">
        <f>COUNTIFS(tbl_data[3:T2C],$A35,tbl_data[T2],$F$3)</f>
        <v>0</v>
      </c>
      <c r="BK35" s="198">
        <f>COUNTIFS(tbl_data[1:T3C],$A35,tbl_data[T3],$F$3)</f>
        <v>0</v>
      </c>
      <c r="BL35" s="198">
        <f>COUNTIFS(tbl_data[2:T3C],$A35,tbl_data[T3],$F$3)</f>
        <v>0</v>
      </c>
      <c r="BM35" s="198">
        <f>COUNTIFS(tbl_data[3:T3C],$A35,tbl_data[T3],$F$3)</f>
        <v>0</v>
      </c>
      <c r="BN35" s="198">
        <f t="shared" si="5"/>
        <v>0</v>
      </c>
      <c r="BO35" s="199" t="str">
        <f t="shared" si="13"/>
        <v>Disability (0)</v>
      </c>
      <c r="BQ35" t="str">
        <f t="shared" si="6"/>
        <v>Disability</v>
      </c>
      <c r="BR35">
        <f t="shared" si="7"/>
        <v>1</v>
      </c>
      <c r="BS35" t="s">
        <v>922</v>
      </c>
      <c r="BU35" s="275" t="s">
        <v>922</v>
      </c>
    </row>
    <row r="36" spans="1:73" x14ac:dyDescent="0.25">
      <c r="A36" s="203" t="s">
        <v>173</v>
      </c>
      <c r="B36" s="205">
        <f>COUNTIFS(tbl_data[12. Consultation Group of],$A$2,tbl_data[1:T1C],$A36,tbl_data[T1],$A$3)</f>
        <v>0</v>
      </c>
      <c r="C36" s="198">
        <f>COUNTIFS(tbl_data[12. Consultation Group of],$A$2,tbl_data[2:T1C],$A36,tbl_data[T1],$A$3)</f>
        <v>0</v>
      </c>
      <c r="D36" s="198">
        <f>COUNTIFS(tbl_data[12. Consultation Group of],$A$2,tbl_data[3:T1C],$A36,tbl_data[T1],$A$3)</f>
        <v>0</v>
      </c>
      <c r="E36" s="198">
        <f>COUNTIFS(tbl_data[12. Consultation Group of],$A$2,tbl_data[1:T2C],$A36,tbl_data[T2],$A$3)</f>
        <v>0</v>
      </c>
      <c r="F36" s="198">
        <f>COUNTIFS(tbl_data[12. Consultation Group of],$A$2,tbl_data[2:T2C],$A36,tbl_data[T2],$A$3)</f>
        <v>0</v>
      </c>
      <c r="G36" s="198">
        <f>COUNTIFS(tbl_data[12. Consultation Group of],$A$2,tbl_data[3:T2C],$A36,tbl_data[T2],$A$3)</f>
        <v>0</v>
      </c>
      <c r="H36" s="198">
        <f>COUNTIFS(tbl_data[12. Consultation Group of],$A$2,tbl_data[1:T3C],$A36,tbl_data[T3],$A$3)</f>
        <v>0</v>
      </c>
      <c r="I36" s="198">
        <f>COUNTIFS(tbl_data[12. Consultation Group of],$A$2,tbl_data[2:T3C],$A36,tbl_data[T3],$A$3)</f>
        <v>0</v>
      </c>
      <c r="J36" s="198">
        <f>COUNTIFS(tbl_data[12. Consultation Group of],$A$2,tbl_data[3:T3C],$A36,tbl_data[T3],$A$3)</f>
        <v>0</v>
      </c>
      <c r="K36" s="198">
        <f t="shared" si="0"/>
        <v>0</v>
      </c>
      <c r="L36" s="199" t="str">
        <f t="shared" si="8"/>
        <v>Conflict (0)</v>
      </c>
      <c r="M36" s="205">
        <f>COUNTIFS(tbl_data[12. Consultation Group of],$B$2,tbl_data[1:T1C],$A36,tbl_data[T1],$B$3)</f>
        <v>0</v>
      </c>
      <c r="N36" s="198">
        <f>COUNTIFS(tbl_data[12. Consultation Group of],$B$2,tbl_data[2:T1C],$A36,tbl_data[T1],$B$3)</f>
        <v>0</v>
      </c>
      <c r="O36" s="198">
        <f>COUNTIFS(tbl_data[12. Consultation Group of],$B$2,tbl_data[3:T1C],$A36,tbl_data[T1],$B$3)</f>
        <v>0</v>
      </c>
      <c r="P36" s="198">
        <f>COUNTIFS(tbl_data[12. Consultation Group of],$B$2,tbl_data[1:T2C],$A36,tbl_data[T2],$B$3)</f>
        <v>0</v>
      </c>
      <c r="Q36" s="198">
        <f>COUNTIFS(tbl_data[12. Consultation Group of],$B$2,tbl_data[2:T2C],$A36,tbl_data[T2],$B$3)</f>
        <v>0</v>
      </c>
      <c r="R36" s="198">
        <f>COUNTIFS(tbl_data[12. Consultation Group of],$B$2,tbl_data[3:T2C],$A36,tbl_data[T2],$B$3)</f>
        <v>0</v>
      </c>
      <c r="S36" s="198">
        <f>COUNTIFS(tbl_data[12. Consultation Group of],$B$2,tbl_data[1:T3C],$A36,tbl_data[T3],$B$3)</f>
        <v>0</v>
      </c>
      <c r="T36" s="198">
        <f>COUNTIFS(tbl_data[12. Consultation Group of],$B$2,tbl_data[2:T3C],$A36,tbl_data[T3],$B$3)</f>
        <v>0</v>
      </c>
      <c r="U36" s="198">
        <f>COUNTIFS(tbl_data[12. Consultation Group of],$B$2,tbl_data[3:T3C],$A36,tbl_data[T3],$B$3)</f>
        <v>0</v>
      </c>
      <c r="V36" s="198">
        <f t="shared" si="1"/>
        <v>0</v>
      </c>
      <c r="W36" s="199" t="str">
        <f t="shared" si="9"/>
        <v>Conflict (0)</v>
      </c>
      <c r="X36" s="205">
        <f>COUNTIFS(tbl_data[12. Consultation Group of],$C$2,tbl_data[1:T1C],$A36,tbl_data[T1],$C$3)</f>
        <v>0</v>
      </c>
      <c r="Y36" s="198">
        <f>COUNTIFS(tbl_data[12. Consultation Group of],$C$2,tbl_data[2:T1C],$A36,tbl_data[T1],$C$3)</f>
        <v>0</v>
      </c>
      <c r="Z36" s="198">
        <f>COUNTIFS(tbl_data[12. Consultation Group of],$C$2,tbl_data[3:T1C],$A36,tbl_data[T1],$C$3)</f>
        <v>0</v>
      </c>
      <c r="AA36" s="198">
        <f>COUNTIFS(tbl_data[12. Consultation Group of],$C$2,tbl_data[1:T2C],$A36,tbl_data[T2],$C$3)</f>
        <v>0</v>
      </c>
      <c r="AB36" s="198">
        <f>COUNTIFS(tbl_data[12. Consultation Group of],$C$2,tbl_data[2:T2C],$A36,tbl_data[T2],$C$3)</f>
        <v>0</v>
      </c>
      <c r="AC36" s="198">
        <f>COUNTIFS(tbl_data[12. Consultation Group of],$C$2,tbl_data[3:T2C],$A36,tbl_data[T2],$C$3)</f>
        <v>0</v>
      </c>
      <c r="AD36" s="198">
        <f>COUNTIFS(tbl_data[12. Consultation Group of],$C$2,tbl_data[1:T3C],$A36,tbl_data[T3],$C$3)</f>
        <v>0</v>
      </c>
      <c r="AE36" s="198">
        <f>COUNTIFS(tbl_data[12. Consultation Group of],$C$2,tbl_data[2:T3C],$A36,tbl_data[T3],$C$3)</f>
        <v>0</v>
      </c>
      <c r="AF36" s="198">
        <f>COUNTIFS(tbl_data[12. Consultation Group of],$C$2,tbl_data[3:T3C],$A36,tbl_data[T3],$C$3)</f>
        <v>0</v>
      </c>
      <c r="AG36" s="198">
        <f t="shared" si="2"/>
        <v>0</v>
      </c>
      <c r="AH36" s="199" t="str">
        <f t="shared" si="10"/>
        <v>Conflict (0)</v>
      </c>
      <c r="AI36" s="205">
        <f>COUNTIFS(tbl_data[12. Consultation Group of],$D$2,tbl_data[1:T1C],$A36,tbl_data[T1],$D$3)</f>
        <v>0</v>
      </c>
      <c r="AJ36" s="198">
        <f>COUNTIFS(tbl_data[12. Consultation Group of],$D$2,tbl_data[2:T1C],$A36,tbl_data[T1],$D$3)</f>
        <v>0</v>
      </c>
      <c r="AK36" s="198">
        <f>COUNTIFS(tbl_data[12. Consultation Group of],$D$2,tbl_data[3:T1C],$A36,tbl_data[T1],$D$3)</f>
        <v>0</v>
      </c>
      <c r="AL36" s="198">
        <f>COUNTIFS(tbl_data[12. Consultation Group of],$D$2,tbl_data[1:T2C],$A36,tbl_data[T2],$D$3)</f>
        <v>0</v>
      </c>
      <c r="AM36" s="198">
        <f>COUNTIFS(tbl_data[12. Consultation Group of],$D$2,tbl_data[2:T2C],$A36,tbl_data[T2],$D$3)</f>
        <v>0</v>
      </c>
      <c r="AN36" s="198">
        <f>COUNTIFS(tbl_data[12. Consultation Group of],$D$2,tbl_data[3:T2C],$A36,tbl_data[T2],$D$3)</f>
        <v>0</v>
      </c>
      <c r="AO36" s="198">
        <f>COUNTIFS(tbl_data[12. Consultation Group of],$D$2,tbl_data[1:T3C],$A36,tbl_data[T3],$D$3)</f>
        <v>0</v>
      </c>
      <c r="AP36" s="198">
        <f>COUNTIFS(tbl_data[12. Consultation Group of],$D$2,tbl_data[2:T3C],$A36,tbl_data[T3],$D$3)</f>
        <v>0</v>
      </c>
      <c r="AQ36" s="198">
        <f>COUNTIFS(tbl_data[12. Consultation Group of],$D$2,tbl_data[3:T3C],$A36,tbl_data[T3],$D$3)</f>
        <v>0</v>
      </c>
      <c r="AR36" s="198">
        <f t="shared" si="3"/>
        <v>0</v>
      </c>
      <c r="AS36" s="199" t="str">
        <f t="shared" si="11"/>
        <v>Conflict (0)</v>
      </c>
      <c r="AT36" s="205">
        <f>COUNTIFS(tbl_data[12. Consultation Group of],$E$2,tbl_data[1:T1C],$A36,tbl_data[T1],$E$3)</f>
        <v>0</v>
      </c>
      <c r="AU36" s="198">
        <f>COUNTIFS(tbl_data[12. Consultation Group of],$E$2,tbl_data[2:T1C],$A36,tbl_data[T1],$E$3)</f>
        <v>0</v>
      </c>
      <c r="AV36" s="198">
        <f>COUNTIFS(tbl_data[12. Consultation Group of],$E$2,tbl_data[3:T1C],$A36,tbl_data[T1],$E$3)</f>
        <v>0</v>
      </c>
      <c r="AW36" s="198">
        <f>COUNTIFS(tbl_data[12. Consultation Group of],$E$2,tbl_data[1:T2C],$A36,tbl_data[T2],$E$3)</f>
        <v>0</v>
      </c>
      <c r="AX36" s="198">
        <f>COUNTIFS(tbl_data[12. Consultation Group of],$E$2,tbl_data[2:T2C],$A36,tbl_data[T2],$E$3)</f>
        <v>0</v>
      </c>
      <c r="AY36" s="198">
        <f>COUNTIFS(tbl_data[12. Consultation Group of],$E$2,tbl_data[3:T2C],$A36,tbl_data[T2],$E$3)</f>
        <v>0</v>
      </c>
      <c r="AZ36" s="198">
        <f>COUNTIFS(tbl_data[12. Consultation Group of],$E$2,tbl_data[1:T3C],$A36,tbl_data[T3],$E$3)</f>
        <v>0</v>
      </c>
      <c r="BA36" s="198">
        <f>COUNTIFS(tbl_data[12. Consultation Group of],$E$2,tbl_data[2:T3C],$A36,tbl_data[T3],$E$3)</f>
        <v>0</v>
      </c>
      <c r="BB36" s="198">
        <f>COUNTIFS(tbl_data[12. Consultation Group of],$E$2,tbl_data[3:T3C],$A36,tbl_data[T3],$E$3)</f>
        <v>0</v>
      </c>
      <c r="BC36" s="198">
        <f t="shared" si="4"/>
        <v>0</v>
      </c>
      <c r="BD36" s="199" t="str">
        <f t="shared" si="12"/>
        <v>Conflict (0)</v>
      </c>
      <c r="BE36" s="205">
        <f>COUNTIFS(tbl_data[1:T1C],$A36,tbl_data[T1],$F$3)</f>
        <v>0</v>
      </c>
      <c r="BF36" s="198">
        <f>COUNTIFS(tbl_data[2:T1C],$A36,tbl_data[T1],$F$3)</f>
        <v>0</v>
      </c>
      <c r="BG36" s="198">
        <f>COUNTIFS(tbl_data[3:T1C],$A36,tbl_data[T1],$F$3)</f>
        <v>0</v>
      </c>
      <c r="BH36" s="198">
        <f>COUNTIFS(tbl_data[1:T2C],$A36,tbl_data[T2],$F$3)</f>
        <v>0</v>
      </c>
      <c r="BI36" s="198">
        <f>COUNTIFS(tbl_data[2:T2C],$A36,tbl_data[T2],$F$3)</f>
        <v>0</v>
      </c>
      <c r="BJ36" s="198">
        <f>COUNTIFS(tbl_data[3:T2C],$A36,tbl_data[T2],$F$3)</f>
        <v>0</v>
      </c>
      <c r="BK36" s="198">
        <f>COUNTIFS(tbl_data[1:T3C],$A36,tbl_data[T3],$F$3)</f>
        <v>0</v>
      </c>
      <c r="BL36" s="198">
        <f>COUNTIFS(tbl_data[2:T3C],$A36,tbl_data[T3],$F$3)</f>
        <v>0</v>
      </c>
      <c r="BM36" s="198">
        <f>COUNTIFS(tbl_data[3:T3C],$A36,tbl_data[T3],$F$3)</f>
        <v>0</v>
      </c>
      <c r="BN36" s="198">
        <f t="shared" si="5"/>
        <v>0</v>
      </c>
      <c r="BO36" s="199" t="str">
        <f t="shared" si="13"/>
        <v>Conflict (0)</v>
      </c>
      <c r="BQ36" t="str">
        <f t="shared" si="6"/>
        <v>Conflict</v>
      </c>
      <c r="BR36">
        <f t="shared" si="7"/>
        <v>0</v>
      </c>
    </row>
    <row r="37" spans="1:73" x14ac:dyDescent="0.25">
      <c r="A37" s="203" t="s">
        <v>165</v>
      </c>
      <c r="B37" s="205">
        <f>COUNTIFS(tbl_data[12. Consultation Group of],$A$2,tbl_data[1:T1C],$A37,tbl_data[T1],$A$3)</f>
        <v>0</v>
      </c>
      <c r="C37" s="198">
        <f>COUNTIFS(tbl_data[12. Consultation Group of],$A$2,tbl_data[2:T1C],$A37,tbl_data[T1],$A$3)</f>
        <v>0</v>
      </c>
      <c r="D37" s="198">
        <f>COUNTIFS(tbl_data[12. Consultation Group of],$A$2,tbl_data[3:T1C],$A37,tbl_data[T1],$A$3)</f>
        <v>0</v>
      </c>
      <c r="E37" s="198">
        <f>COUNTIFS(tbl_data[12. Consultation Group of],$A$2,tbl_data[1:T2C],$A37,tbl_data[T2],$A$3)</f>
        <v>0</v>
      </c>
      <c r="F37" s="198">
        <f>COUNTIFS(tbl_data[12. Consultation Group of],$A$2,tbl_data[2:T2C],$A37,tbl_data[T2],$A$3)</f>
        <v>0</v>
      </c>
      <c r="G37" s="198">
        <f>COUNTIFS(tbl_data[12. Consultation Group of],$A$2,tbl_data[3:T2C],$A37,tbl_data[T2],$A$3)</f>
        <v>0</v>
      </c>
      <c r="H37" s="198">
        <f>COUNTIFS(tbl_data[12. Consultation Group of],$A$2,tbl_data[1:T3C],$A37,tbl_data[T3],$A$3)</f>
        <v>0</v>
      </c>
      <c r="I37" s="198">
        <f>COUNTIFS(tbl_data[12. Consultation Group of],$A$2,tbl_data[2:T3C],$A37,tbl_data[T3],$A$3)</f>
        <v>0</v>
      </c>
      <c r="J37" s="198">
        <f>COUNTIFS(tbl_data[12. Consultation Group of],$A$2,tbl_data[3:T3C],$A37,tbl_data[T3],$A$3)</f>
        <v>0</v>
      </c>
      <c r="K37" s="198">
        <f t="shared" si="0"/>
        <v>0</v>
      </c>
      <c r="L37" s="199" t="str">
        <f t="shared" si="8"/>
        <v>Traffic Congestion (0)</v>
      </c>
      <c r="M37" s="205">
        <f>COUNTIFS(tbl_data[12. Consultation Group of],$B$2,tbl_data[1:T1C],$A37,tbl_data[T1],$B$3)</f>
        <v>0</v>
      </c>
      <c r="N37" s="198">
        <f>COUNTIFS(tbl_data[12. Consultation Group of],$B$2,tbl_data[2:T1C],$A37,tbl_data[T1],$B$3)</f>
        <v>0</v>
      </c>
      <c r="O37" s="198">
        <f>COUNTIFS(tbl_data[12. Consultation Group of],$B$2,tbl_data[3:T1C],$A37,tbl_data[T1],$B$3)</f>
        <v>0</v>
      </c>
      <c r="P37" s="198">
        <f>COUNTIFS(tbl_data[12. Consultation Group of],$B$2,tbl_data[1:T2C],$A37,tbl_data[T2],$B$3)</f>
        <v>0</v>
      </c>
      <c r="Q37" s="198">
        <f>COUNTIFS(tbl_data[12. Consultation Group of],$B$2,tbl_data[2:T2C],$A37,tbl_data[T2],$B$3)</f>
        <v>0</v>
      </c>
      <c r="R37" s="198">
        <f>COUNTIFS(tbl_data[12. Consultation Group of],$B$2,tbl_data[3:T2C],$A37,tbl_data[T2],$B$3)</f>
        <v>0</v>
      </c>
      <c r="S37" s="198">
        <f>COUNTIFS(tbl_data[12. Consultation Group of],$B$2,tbl_data[1:T3C],$A37,tbl_data[T3],$B$3)</f>
        <v>0</v>
      </c>
      <c r="T37" s="198">
        <f>COUNTIFS(tbl_data[12. Consultation Group of],$B$2,tbl_data[2:T3C],$A37,tbl_data[T3],$B$3)</f>
        <v>0</v>
      </c>
      <c r="U37" s="198">
        <f>COUNTIFS(tbl_data[12. Consultation Group of],$B$2,tbl_data[3:T3C],$A37,tbl_data[T3],$B$3)</f>
        <v>0</v>
      </c>
      <c r="V37" s="198">
        <f t="shared" si="1"/>
        <v>0</v>
      </c>
      <c r="W37" s="199" t="str">
        <f t="shared" si="9"/>
        <v>Traffic Congestion (0)</v>
      </c>
      <c r="X37" s="205">
        <f>COUNTIFS(tbl_data[12. Consultation Group of],$C$2,tbl_data[1:T1C],$A37,tbl_data[T1],$C$3)</f>
        <v>0</v>
      </c>
      <c r="Y37" s="198">
        <f>COUNTIFS(tbl_data[12. Consultation Group of],$C$2,tbl_data[2:T1C],$A37,tbl_data[T1],$C$3)</f>
        <v>0</v>
      </c>
      <c r="Z37" s="198">
        <f>COUNTIFS(tbl_data[12. Consultation Group of],$C$2,tbl_data[3:T1C],$A37,tbl_data[T1],$C$3)</f>
        <v>0</v>
      </c>
      <c r="AA37" s="198">
        <f>COUNTIFS(tbl_data[12. Consultation Group of],$C$2,tbl_data[1:T2C],$A37,tbl_data[T2],$C$3)</f>
        <v>0</v>
      </c>
      <c r="AB37" s="198">
        <f>COUNTIFS(tbl_data[12. Consultation Group of],$C$2,tbl_data[2:T2C],$A37,tbl_data[T2],$C$3)</f>
        <v>0</v>
      </c>
      <c r="AC37" s="198">
        <f>COUNTIFS(tbl_data[12. Consultation Group of],$C$2,tbl_data[3:T2C],$A37,tbl_data[T2],$C$3)</f>
        <v>0</v>
      </c>
      <c r="AD37" s="198">
        <f>COUNTIFS(tbl_data[12. Consultation Group of],$C$2,tbl_data[1:T3C],$A37,tbl_data[T3],$C$3)</f>
        <v>0</v>
      </c>
      <c r="AE37" s="198">
        <f>COUNTIFS(tbl_data[12. Consultation Group of],$C$2,tbl_data[2:T3C],$A37,tbl_data[T3],$C$3)</f>
        <v>0</v>
      </c>
      <c r="AF37" s="198">
        <f>COUNTIFS(tbl_data[12. Consultation Group of],$C$2,tbl_data[3:T3C],$A37,tbl_data[T3],$C$3)</f>
        <v>0</v>
      </c>
      <c r="AG37" s="198">
        <f t="shared" si="2"/>
        <v>0</v>
      </c>
      <c r="AH37" s="199" t="str">
        <f t="shared" si="10"/>
        <v>Traffic Congestion (0)</v>
      </c>
      <c r="AI37" s="205">
        <f>COUNTIFS(tbl_data[12. Consultation Group of],$D$2,tbl_data[1:T1C],$A37,tbl_data[T1],$D$3)</f>
        <v>0</v>
      </c>
      <c r="AJ37" s="198">
        <f>COUNTIFS(tbl_data[12. Consultation Group of],$D$2,tbl_data[2:T1C],$A37,tbl_data[T1],$D$3)</f>
        <v>0</v>
      </c>
      <c r="AK37" s="198">
        <f>COUNTIFS(tbl_data[12. Consultation Group of],$D$2,tbl_data[3:T1C],$A37,tbl_data[T1],$D$3)</f>
        <v>0</v>
      </c>
      <c r="AL37" s="198">
        <f>COUNTIFS(tbl_data[12. Consultation Group of],$D$2,tbl_data[1:T2C],$A37,tbl_data[T2],$D$3)</f>
        <v>0</v>
      </c>
      <c r="AM37" s="198">
        <f>COUNTIFS(tbl_data[12. Consultation Group of],$D$2,tbl_data[2:T2C],$A37,tbl_data[T2],$D$3)</f>
        <v>0</v>
      </c>
      <c r="AN37" s="198">
        <f>COUNTIFS(tbl_data[12. Consultation Group of],$D$2,tbl_data[3:T2C],$A37,tbl_data[T2],$D$3)</f>
        <v>0</v>
      </c>
      <c r="AO37" s="198">
        <f>COUNTIFS(tbl_data[12. Consultation Group of],$D$2,tbl_data[1:T3C],$A37,tbl_data[T3],$D$3)</f>
        <v>0</v>
      </c>
      <c r="AP37" s="198">
        <f>COUNTIFS(tbl_data[12. Consultation Group of],$D$2,tbl_data[2:T3C],$A37,tbl_data[T3],$D$3)</f>
        <v>0</v>
      </c>
      <c r="AQ37" s="198">
        <f>COUNTIFS(tbl_data[12. Consultation Group of],$D$2,tbl_data[3:T3C],$A37,tbl_data[T3],$D$3)</f>
        <v>0</v>
      </c>
      <c r="AR37" s="198">
        <f t="shared" si="3"/>
        <v>0</v>
      </c>
      <c r="AS37" s="199" t="str">
        <f t="shared" si="11"/>
        <v>Traffic Congestion (0)</v>
      </c>
      <c r="AT37" s="205">
        <f>COUNTIFS(tbl_data[12. Consultation Group of],$E$2,tbl_data[1:T1C],$A37,tbl_data[T1],$E$3)</f>
        <v>0</v>
      </c>
      <c r="AU37" s="198">
        <f>COUNTIFS(tbl_data[12. Consultation Group of],$E$2,tbl_data[2:T1C],$A37,tbl_data[T1],$E$3)</f>
        <v>0</v>
      </c>
      <c r="AV37" s="198">
        <f>COUNTIFS(tbl_data[12. Consultation Group of],$E$2,tbl_data[3:T1C],$A37,tbl_data[T1],$E$3)</f>
        <v>0</v>
      </c>
      <c r="AW37" s="198">
        <f>COUNTIFS(tbl_data[12. Consultation Group of],$E$2,tbl_data[1:T2C],$A37,tbl_data[T2],$E$3)</f>
        <v>0</v>
      </c>
      <c r="AX37" s="198">
        <f>COUNTIFS(tbl_data[12. Consultation Group of],$E$2,tbl_data[2:T2C],$A37,tbl_data[T2],$E$3)</f>
        <v>0</v>
      </c>
      <c r="AY37" s="198">
        <f>COUNTIFS(tbl_data[12. Consultation Group of],$E$2,tbl_data[3:T2C],$A37,tbl_data[T2],$E$3)</f>
        <v>0</v>
      </c>
      <c r="AZ37" s="198">
        <f>COUNTIFS(tbl_data[12. Consultation Group of],$E$2,tbl_data[1:T3C],$A37,tbl_data[T3],$E$3)</f>
        <v>0</v>
      </c>
      <c r="BA37" s="198">
        <f>COUNTIFS(tbl_data[12. Consultation Group of],$E$2,tbl_data[2:T3C],$A37,tbl_data[T3],$E$3)</f>
        <v>0</v>
      </c>
      <c r="BB37" s="198">
        <f>COUNTIFS(tbl_data[12. Consultation Group of],$E$2,tbl_data[3:T3C],$A37,tbl_data[T3],$E$3)</f>
        <v>0</v>
      </c>
      <c r="BC37" s="198">
        <f t="shared" si="4"/>
        <v>0</v>
      </c>
      <c r="BD37" s="199" t="str">
        <f t="shared" si="12"/>
        <v>Traffic Congestion (0)</v>
      </c>
      <c r="BE37" s="205">
        <f>COUNTIFS(tbl_data[1:T1C],$A37,tbl_data[T1],$F$3)</f>
        <v>0</v>
      </c>
      <c r="BF37" s="198">
        <f>COUNTIFS(tbl_data[2:T1C],$A37,tbl_data[T1],$F$3)</f>
        <v>0</v>
      </c>
      <c r="BG37" s="198">
        <f>COUNTIFS(tbl_data[3:T1C],$A37,tbl_data[T1],$F$3)</f>
        <v>0</v>
      </c>
      <c r="BH37" s="198">
        <f>COUNTIFS(tbl_data[1:T2C],$A37,tbl_data[T2],$F$3)</f>
        <v>0</v>
      </c>
      <c r="BI37" s="198">
        <f>COUNTIFS(tbl_data[2:T2C],$A37,tbl_data[T2],$F$3)</f>
        <v>0</v>
      </c>
      <c r="BJ37" s="198">
        <f>COUNTIFS(tbl_data[3:T2C],$A37,tbl_data[T2],$F$3)</f>
        <v>0</v>
      </c>
      <c r="BK37" s="198">
        <f>COUNTIFS(tbl_data[1:T3C],$A37,tbl_data[T3],$F$3)</f>
        <v>0</v>
      </c>
      <c r="BL37" s="198">
        <f>COUNTIFS(tbl_data[2:T3C],$A37,tbl_data[T3],$F$3)</f>
        <v>0</v>
      </c>
      <c r="BM37" s="198">
        <f>COUNTIFS(tbl_data[3:T3C],$A37,tbl_data[T3],$F$3)</f>
        <v>0</v>
      </c>
      <c r="BN37" s="198">
        <f t="shared" si="5"/>
        <v>0</v>
      </c>
      <c r="BO37" s="199" t="str">
        <f t="shared" si="13"/>
        <v>Traffic Congestion (0)</v>
      </c>
      <c r="BQ37" t="str">
        <f t="shared" si="6"/>
        <v>Traffic Congestion</v>
      </c>
      <c r="BR37">
        <f t="shared" si="7"/>
        <v>0</v>
      </c>
    </row>
    <row r="38" spans="1:73" x14ac:dyDescent="0.25">
      <c r="A38" s="203" t="s">
        <v>238</v>
      </c>
      <c r="B38" s="205">
        <f>COUNTIFS(tbl_data[12. Consultation Group of],$A$2,tbl_data[1:T1C],$A38,tbl_data[T1],$A$3)</f>
        <v>0</v>
      </c>
      <c r="C38" s="198">
        <f>COUNTIFS(tbl_data[12. Consultation Group of],$A$2,tbl_data[2:T1C],$A38,tbl_data[T1],$A$3)</f>
        <v>0</v>
      </c>
      <c r="D38" s="198">
        <f>COUNTIFS(tbl_data[12. Consultation Group of],$A$2,tbl_data[3:T1C],$A38,tbl_data[T1],$A$3)</f>
        <v>0</v>
      </c>
      <c r="E38" s="198">
        <f>COUNTIFS(tbl_data[12. Consultation Group of],$A$2,tbl_data[1:T2C],$A38,tbl_data[T2],$A$3)</f>
        <v>0</v>
      </c>
      <c r="F38" s="198">
        <f>COUNTIFS(tbl_data[12. Consultation Group of],$A$2,tbl_data[2:T2C],$A38,tbl_data[T2],$A$3)</f>
        <v>0</v>
      </c>
      <c r="G38" s="198">
        <f>COUNTIFS(tbl_data[12. Consultation Group of],$A$2,tbl_data[3:T2C],$A38,tbl_data[T2],$A$3)</f>
        <v>0</v>
      </c>
      <c r="H38" s="198">
        <f>COUNTIFS(tbl_data[12. Consultation Group of],$A$2,tbl_data[1:T3C],$A38,tbl_data[T3],$A$3)</f>
        <v>0</v>
      </c>
      <c r="I38" s="198">
        <f>COUNTIFS(tbl_data[12. Consultation Group of],$A$2,tbl_data[2:T3C],$A38,tbl_data[T3],$A$3)</f>
        <v>0</v>
      </c>
      <c r="J38" s="198">
        <f>COUNTIFS(tbl_data[12. Consultation Group of],$A$2,tbl_data[3:T3C],$A38,tbl_data[T3],$A$3)</f>
        <v>0</v>
      </c>
      <c r="K38" s="198">
        <f t="shared" si="0"/>
        <v>0</v>
      </c>
      <c r="L38" s="199" t="str">
        <f t="shared" si="8"/>
        <v>Looting of Properties (0)</v>
      </c>
      <c r="M38" s="205">
        <f>COUNTIFS(tbl_data[12. Consultation Group of],$B$2,tbl_data[1:T1C],$A38,tbl_data[T1],$B$3)</f>
        <v>0</v>
      </c>
      <c r="N38" s="198">
        <f>COUNTIFS(tbl_data[12. Consultation Group of],$B$2,tbl_data[2:T1C],$A38,tbl_data[T1],$B$3)</f>
        <v>1</v>
      </c>
      <c r="O38" s="198">
        <f>COUNTIFS(tbl_data[12. Consultation Group of],$B$2,tbl_data[3:T1C],$A38,tbl_data[T1],$B$3)</f>
        <v>0</v>
      </c>
      <c r="P38" s="198">
        <f>COUNTIFS(tbl_data[12. Consultation Group of],$B$2,tbl_data[1:T2C],$A38,tbl_data[T2],$B$3)</f>
        <v>0</v>
      </c>
      <c r="Q38" s="198">
        <f>COUNTIFS(tbl_data[12. Consultation Group of],$B$2,tbl_data[2:T2C],$A38,tbl_data[T2],$B$3)</f>
        <v>0</v>
      </c>
      <c r="R38" s="198">
        <f>COUNTIFS(tbl_data[12. Consultation Group of],$B$2,tbl_data[3:T2C],$A38,tbl_data[T2],$B$3)</f>
        <v>0</v>
      </c>
      <c r="S38" s="198">
        <f>COUNTIFS(tbl_data[12. Consultation Group of],$B$2,tbl_data[1:T3C],$A38,tbl_data[T3],$B$3)</f>
        <v>0</v>
      </c>
      <c r="T38" s="198">
        <f>COUNTIFS(tbl_data[12. Consultation Group of],$B$2,tbl_data[2:T3C],$A38,tbl_data[T3],$B$3)</f>
        <v>0</v>
      </c>
      <c r="U38" s="198">
        <f>COUNTIFS(tbl_data[12. Consultation Group of],$B$2,tbl_data[3:T3C],$A38,tbl_data[T3],$B$3)</f>
        <v>0</v>
      </c>
      <c r="V38" s="198">
        <f t="shared" si="1"/>
        <v>1</v>
      </c>
      <c r="W38" s="199" t="str">
        <f t="shared" si="9"/>
        <v>Looting of Properties (1)</v>
      </c>
      <c r="X38" s="205">
        <f>COUNTIFS(tbl_data[12. Consultation Group of],$C$2,tbl_data[1:T1C],$A38,tbl_data[T1],$C$3)</f>
        <v>0</v>
      </c>
      <c r="Y38" s="198">
        <f>COUNTIFS(tbl_data[12. Consultation Group of],$C$2,tbl_data[2:T1C],$A38,tbl_data[T1],$C$3)</f>
        <v>0</v>
      </c>
      <c r="Z38" s="198">
        <f>COUNTIFS(tbl_data[12. Consultation Group of],$C$2,tbl_data[3:T1C],$A38,tbl_data[T1],$C$3)</f>
        <v>0</v>
      </c>
      <c r="AA38" s="198">
        <f>COUNTIFS(tbl_data[12. Consultation Group of],$C$2,tbl_data[1:T2C],$A38,tbl_data[T2],$C$3)</f>
        <v>0</v>
      </c>
      <c r="AB38" s="198">
        <f>COUNTIFS(tbl_data[12. Consultation Group of],$C$2,tbl_data[2:T2C],$A38,tbl_data[T2],$C$3)</f>
        <v>0</v>
      </c>
      <c r="AC38" s="198">
        <f>COUNTIFS(tbl_data[12. Consultation Group of],$C$2,tbl_data[3:T2C],$A38,tbl_data[T2],$C$3)</f>
        <v>0</v>
      </c>
      <c r="AD38" s="198">
        <f>COUNTIFS(tbl_data[12. Consultation Group of],$C$2,tbl_data[1:T3C],$A38,tbl_data[T3],$C$3)</f>
        <v>0</v>
      </c>
      <c r="AE38" s="198">
        <f>COUNTIFS(tbl_data[12. Consultation Group of],$C$2,tbl_data[2:T3C],$A38,tbl_data[T3],$C$3)</f>
        <v>0</v>
      </c>
      <c r="AF38" s="198">
        <f>COUNTIFS(tbl_data[12. Consultation Group of],$C$2,tbl_data[3:T3C],$A38,tbl_data[T3],$C$3)</f>
        <v>0</v>
      </c>
      <c r="AG38" s="198">
        <f t="shared" si="2"/>
        <v>0</v>
      </c>
      <c r="AH38" s="199" t="str">
        <f t="shared" si="10"/>
        <v>Looting of Properties (0)</v>
      </c>
      <c r="AI38" s="205">
        <f>COUNTIFS(tbl_data[12. Consultation Group of],$D$2,tbl_data[1:T1C],$A38,tbl_data[T1],$D$3)</f>
        <v>0</v>
      </c>
      <c r="AJ38" s="198">
        <f>COUNTIFS(tbl_data[12. Consultation Group of],$D$2,tbl_data[2:T1C],$A38,tbl_data[T1],$D$3)</f>
        <v>0</v>
      </c>
      <c r="AK38" s="198">
        <f>COUNTIFS(tbl_data[12. Consultation Group of],$D$2,tbl_data[3:T1C],$A38,tbl_data[T1],$D$3)</f>
        <v>0</v>
      </c>
      <c r="AL38" s="198">
        <f>COUNTIFS(tbl_data[12. Consultation Group of],$D$2,tbl_data[1:T2C],$A38,tbl_data[T2],$D$3)</f>
        <v>0</v>
      </c>
      <c r="AM38" s="198">
        <f>COUNTIFS(tbl_data[12. Consultation Group of],$D$2,tbl_data[2:T2C],$A38,tbl_data[T2],$D$3)</f>
        <v>0</v>
      </c>
      <c r="AN38" s="198">
        <f>COUNTIFS(tbl_data[12. Consultation Group of],$D$2,tbl_data[3:T2C],$A38,tbl_data[T2],$D$3)</f>
        <v>0</v>
      </c>
      <c r="AO38" s="198">
        <f>COUNTIFS(tbl_data[12. Consultation Group of],$D$2,tbl_data[1:T3C],$A38,tbl_data[T3],$D$3)</f>
        <v>0</v>
      </c>
      <c r="AP38" s="198">
        <f>COUNTIFS(tbl_data[12. Consultation Group of],$D$2,tbl_data[2:T3C],$A38,tbl_data[T3],$D$3)</f>
        <v>0</v>
      </c>
      <c r="AQ38" s="198">
        <f>COUNTIFS(tbl_data[12. Consultation Group of],$D$2,tbl_data[3:T3C],$A38,tbl_data[T3],$D$3)</f>
        <v>0</v>
      </c>
      <c r="AR38" s="198">
        <f t="shared" si="3"/>
        <v>0</v>
      </c>
      <c r="AS38" s="199" t="str">
        <f t="shared" si="11"/>
        <v>Looting of Properties (0)</v>
      </c>
      <c r="AT38" s="205">
        <f>COUNTIFS(tbl_data[12. Consultation Group of],$E$2,tbl_data[1:T1C],$A38,tbl_data[T1],$E$3)</f>
        <v>0</v>
      </c>
      <c r="AU38" s="198">
        <f>COUNTIFS(tbl_data[12. Consultation Group of],$E$2,tbl_data[2:T1C],$A38,tbl_data[T1],$E$3)</f>
        <v>0</v>
      </c>
      <c r="AV38" s="198">
        <f>COUNTIFS(tbl_data[12. Consultation Group of],$E$2,tbl_data[3:T1C],$A38,tbl_data[T1],$E$3)</f>
        <v>0</v>
      </c>
      <c r="AW38" s="198">
        <f>COUNTIFS(tbl_data[12. Consultation Group of],$E$2,tbl_data[1:T2C],$A38,tbl_data[T2],$E$3)</f>
        <v>0</v>
      </c>
      <c r="AX38" s="198">
        <f>COUNTIFS(tbl_data[12. Consultation Group of],$E$2,tbl_data[2:T2C],$A38,tbl_data[T2],$E$3)</f>
        <v>0</v>
      </c>
      <c r="AY38" s="198">
        <f>COUNTIFS(tbl_data[12. Consultation Group of],$E$2,tbl_data[3:T2C],$A38,tbl_data[T2],$E$3)</f>
        <v>0</v>
      </c>
      <c r="AZ38" s="198">
        <f>COUNTIFS(tbl_data[12. Consultation Group of],$E$2,tbl_data[1:T3C],$A38,tbl_data[T3],$E$3)</f>
        <v>0</v>
      </c>
      <c r="BA38" s="198">
        <f>COUNTIFS(tbl_data[12. Consultation Group of],$E$2,tbl_data[2:T3C],$A38,tbl_data[T3],$E$3)</f>
        <v>0</v>
      </c>
      <c r="BB38" s="198">
        <f>COUNTIFS(tbl_data[12. Consultation Group of],$E$2,tbl_data[3:T3C],$A38,tbl_data[T3],$E$3)</f>
        <v>0</v>
      </c>
      <c r="BC38" s="198">
        <f t="shared" si="4"/>
        <v>0</v>
      </c>
      <c r="BD38" s="199" t="str">
        <f t="shared" si="12"/>
        <v>Looting of Properties (0)</v>
      </c>
      <c r="BE38" s="205">
        <f>COUNTIFS(tbl_data[1:T1C],$A38,tbl_data[T1],$F$3)</f>
        <v>0</v>
      </c>
      <c r="BF38" s="198">
        <f>COUNTIFS(tbl_data[2:T1C],$A38,tbl_data[T1],$F$3)</f>
        <v>0</v>
      </c>
      <c r="BG38" s="198">
        <f>COUNTIFS(tbl_data[3:T1C],$A38,tbl_data[T1],$F$3)</f>
        <v>0</v>
      </c>
      <c r="BH38" s="198">
        <f>COUNTIFS(tbl_data[1:T2C],$A38,tbl_data[T2],$F$3)</f>
        <v>0</v>
      </c>
      <c r="BI38" s="198">
        <f>COUNTIFS(tbl_data[2:T2C],$A38,tbl_data[T2],$F$3)</f>
        <v>0</v>
      </c>
      <c r="BJ38" s="198">
        <f>COUNTIFS(tbl_data[3:T2C],$A38,tbl_data[T2],$F$3)</f>
        <v>0</v>
      </c>
      <c r="BK38" s="198">
        <f>COUNTIFS(tbl_data[1:T3C],$A38,tbl_data[T3],$F$3)</f>
        <v>0</v>
      </c>
      <c r="BL38" s="198">
        <f>COUNTIFS(tbl_data[2:T3C],$A38,tbl_data[T3],$F$3)</f>
        <v>0</v>
      </c>
      <c r="BM38" s="198">
        <f>COUNTIFS(tbl_data[3:T3C],$A38,tbl_data[T3],$F$3)</f>
        <v>0</v>
      </c>
      <c r="BN38" s="198">
        <f t="shared" si="5"/>
        <v>0</v>
      </c>
      <c r="BO38" s="199" t="str">
        <f t="shared" si="13"/>
        <v>Looting of Properties (0)</v>
      </c>
      <c r="BQ38" t="str">
        <f t="shared" si="6"/>
        <v>Looting of Properties</v>
      </c>
      <c r="BR38">
        <f t="shared" si="7"/>
        <v>1</v>
      </c>
      <c r="BS38" t="s">
        <v>922</v>
      </c>
      <c r="BU38" s="275" t="s">
        <v>922</v>
      </c>
    </row>
    <row r="39" spans="1:73" x14ac:dyDescent="0.25">
      <c r="A39" s="203" t="s">
        <v>204</v>
      </c>
      <c r="B39" s="205">
        <f>COUNTIFS(tbl_data[12. Consultation Group of],$A$2,tbl_data[1:T1C],$A39,tbl_data[T1],$A$3)</f>
        <v>0</v>
      </c>
      <c r="C39" s="198">
        <f>COUNTIFS(tbl_data[12. Consultation Group of],$A$2,tbl_data[2:T1C],$A39,tbl_data[T1],$A$3)</f>
        <v>0</v>
      </c>
      <c r="D39" s="198">
        <f>COUNTIFS(tbl_data[12. Consultation Group of],$A$2,tbl_data[3:T1C],$A39,tbl_data[T1],$A$3)</f>
        <v>0</v>
      </c>
      <c r="E39" s="198">
        <f>COUNTIFS(tbl_data[12. Consultation Group of],$A$2,tbl_data[1:T2C],$A39,tbl_data[T2],$A$3)</f>
        <v>0</v>
      </c>
      <c r="F39" s="198">
        <f>COUNTIFS(tbl_data[12. Consultation Group of],$A$2,tbl_data[2:T2C],$A39,tbl_data[T2],$A$3)</f>
        <v>0</v>
      </c>
      <c r="G39" s="198">
        <f>COUNTIFS(tbl_data[12. Consultation Group of],$A$2,tbl_data[3:T2C],$A39,tbl_data[T2],$A$3)</f>
        <v>0</v>
      </c>
      <c r="H39" s="198">
        <f>COUNTIFS(tbl_data[12. Consultation Group of],$A$2,tbl_data[1:T3C],$A39,tbl_data[T3],$A$3)</f>
        <v>0</v>
      </c>
      <c r="I39" s="198">
        <f>COUNTIFS(tbl_data[12. Consultation Group of],$A$2,tbl_data[2:T3C],$A39,tbl_data[T3],$A$3)</f>
        <v>0</v>
      </c>
      <c r="J39" s="198">
        <f>COUNTIFS(tbl_data[12. Consultation Group of],$A$2,tbl_data[3:T3C],$A39,tbl_data[T3],$A$3)</f>
        <v>0</v>
      </c>
      <c r="K39" s="198">
        <f t="shared" si="0"/>
        <v>0</v>
      </c>
      <c r="L39" s="199" t="str">
        <f t="shared" si="8"/>
        <v>Loss of Access to Basic Services (0)</v>
      </c>
      <c r="M39" s="205">
        <f>COUNTIFS(tbl_data[12. Consultation Group of],$B$2,tbl_data[1:T1C],$A39,tbl_data[T1],$B$3)</f>
        <v>0</v>
      </c>
      <c r="N39" s="198">
        <f>COUNTIFS(tbl_data[12. Consultation Group of],$B$2,tbl_data[2:T1C],$A39,tbl_data[T1],$B$3)</f>
        <v>0</v>
      </c>
      <c r="O39" s="198">
        <f>COUNTIFS(tbl_data[12. Consultation Group of],$B$2,tbl_data[3:T1C],$A39,tbl_data[T1],$B$3)</f>
        <v>1</v>
      </c>
      <c r="P39" s="198">
        <f>COUNTIFS(tbl_data[12. Consultation Group of],$B$2,tbl_data[1:T2C],$A39,tbl_data[T2],$B$3)</f>
        <v>0</v>
      </c>
      <c r="Q39" s="198">
        <f>COUNTIFS(tbl_data[12. Consultation Group of],$B$2,tbl_data[2:T2C],$A39,tbl_data[T2],$B$3)</f>
        <v>0</v>
      </c>
      <c r="R39" s="198">
        <f>COUNTIFS(tbl_data[12. Consultation Group of],$B$2,tbl_data[3:T2C],$A39,tbl_data[T2],$B$3)</f>
        <v>0</v>
      </c>
      <c r="S39" s="198">
        <f>COUNTIFS(tbl_data[12. Consultation Group of],$B$2,tbl_data[1:T3C],$A39,tbl_data[T3],$B$3)</f>
        <v>0</v>
      </c>
      <c r="T39" s="198">
        <f>COUNTIFS(tbl_data[12. Consultation Group of],$B$2,tbl_data[2:T3C],$A39,tbl_data[T3],$B$3)</f>
        <v>0</v>
      </c>
      <c r="U39" s="198">
        <f>COUNTIFS(tbl_data[12. Consultation Group of],$B$2,tbl_data[3:T3C],$A39,tbl_data[T3],$B$3)</f>
        <v>0</v>
      </c>
      <c r="V39" s="198">
        <f t="shared" si="1"/>
        <v>1</v>
      </c>
      <c r="W39" s="199" t="str">
        <f t="shared" si="9"/>
        <v>Loss of Access to Basic Services (1)</v>
      </c>
      <c r="X39" s="205">
        <f>COUNTIFS(tbl_data[12. Consultation Group of],$C$2,tbl_data[1:T1C],$A39,tbl_data[T1],$C$3)</f>
        <v>0</v>
      </c>
      <c r="Y39" s="198">
        <f>COUNTIFS(tbl_data[12. Consultation Group of],$C$2,tbl_data[2:T1C],$A39,tbl_data[T1],$C$3)</f>
        <v>0</v>
      </c>
      <c r="Z39" s="198">
        <f>COUNTIFS(tbl_data[12. Consultation Group of],$C$2,tbl_data[3:T1C],$A39,tbl_data[T1],$C$3)</f>
        <v>0</v>
      </c>
      <c r="AA39" s="198">
        <f>COUNTIFS(tbl_data[12. Consultation Group of],$C$2,tbl_data[1:T2C],$A39,tbl_data[T2],$C$3)</f>
        <v>0</v>
      </c>
      <c r="AB39" s="198">
        <f>COUNTIFS(tbl_data[12. Consultation Group of],$C$2,tbl_data[2:T2C],$A39,tbl_data[T2],$C$3)</f>
        <v>0</v>
      </c>
      <c r="AC39" s="198">
        <f>COUNTIFS(tbl_data[12. Consultation Group of],$C$2,tbl_data[3:T2C],$A39,tbl_data[T2],$C$3)</f>
        <v>0</v>
      </c>
      <c r="AD39" s="198">
        <f>COUNTIFS(tbl_data[12. Consultation Group of],$C$2,tbl_data[1:T3C],$A39,tbl_data[T3],$C$3)</f>
        <v>0</v>
      </c>
      <c r="AE39" s="198">
        <f>COUNTIFS(tbl_data[12. Consultation Group of],$C$2,tbl_data[2:T3C],$A39,tbl_data[T3],$C$3)</f>
        <v>0</v>
      </c>
      <c r="AF39" s="198">
        <f>COUNTIFS(tbl_data[12. Consultation Group of],$C$2,tbl_data[3:T3C],$A39,tbl_data[T3],$C$3)</f>
        <v>0</v>
      </c>
      <c r="AG39" s="198">
        <f t="shared" si="2"/>
        <v>0</v>
      </c>
      <c r="AH39" s="199" t="str">
        <f t="shared" si="10"/>
        <v>Loss of Access to Basic Services (0)</v>
      </c>
      <c r="AI39" s="205">
        <f>COUNTIFS(tbl_data[12. Consultation Group of],$D$2,tbl_data[1:T1C],$A39,tbl_data[T1],$D$3)</f>
        <v>0</v>
      </c>
      <c r="AJ39" s="198">
        <f>COUNTIFS(tbl_data[12. Consultation Group of],$D$2,tbl_data[2:T1C],$A39,tbl_data[T1],$D$3)</f>
        <v>0</v>
      </c>
      <c r="AK39" s="198">
        <f>COUNTIFS(tbl_data[12. Consultation Group of],$D$2,tbl_data[3:T1C],$A39,tbl_data[T1],$D$3)</f>
        <v>0</v>
      </c>
      <c r="AL39" s="198">
        <f>COUNTIFS(tbl_data[12. Consultation Group of],$D$2,tbl_data[1:T2C],$A39,tbl_data[T2],$D$3)</f>
        <v>0</v>
      </c>
      <c r="AM39" s="198">
        <f>COUNTIFS(tbl_data[12. Consultation Group of],$D$2,tbl_data[2:T2C],$A39,tbl_data[T2],$D$3)</f>
        <v>0</v>
      </c>
      <c r="AN39" s="198">
        <f>COUNTIFS(tbl_data[12. Consultation Group of],$D$2,tbl_data[3:T2C],$A39,tbl_data[T2],$D$3)</f>
        <v>0</v>
      </c>
      <c r="AO39" s="198">
        <f>COUNTIFS(tbl_data[12. Consultation Group of],$D$2,tbl_data[1:T3C],$A39,tbl_data[T3],$D$3)</f>
        <v>0</v>
      </c>
      <c r="AP39" s="198">
        <f>COUNTIFS(tbl_data[12. Consultation Group of],$D$2,tbl_data[2:T3C],$A39,tbl_data[T3],$D$3)</f>
        <v>0</v>
      </c>
      <c r="AQ39" s="198">
        <f>COUNTIFS(tbl_data[12. Consultation Group of],$D$2,tbl_data[3:T3C],$A39,tbl_data[T3],$D$3)</f>
        <v>0</v>
      </c>
      <c r="AR39" s="198">
        <f t="shared" si="3"/>
        <v>0</v>
      </c>
      <c r="AS39" s="199" t="str">
        <f t="shared" si="11"/>
        <v>Loss of Access to Basic Services (0)</v>
      </c>
      <c r="AT39" s="205">
        <f>COUNTIFS(tbl_data[12. Consultation Group of],$E$2,tbl_data[1:T1C],$A39,tbl_data[T1],$E$3)</f>
        <v>0</v>
      </c>
      <c r="AU39" s="198">
        <f>COUNTIFS(tbl_data[12. Consultation Group of],$E$2,tbl_data[2:T1C],$A39,tbl_data[T1],$E$3)</f>
        <v>0</v>
      </c>
      <c r="AV39" s="198">
        <f>COUNTIFS(tbl_data[12. Consultation Group of],$E$2,tbl_data[3:T1C],$A39,tbl_data[T1],$E$3)</f>
        <v>1</v>
      </c>
      <c r="AW39" s="198">
        <f>COUNTIFS(tbl_data[12. Consultation Group of],$E$2,tbl_data[1:T2C],$A39,tbl_data[T2],$E$3)</f>
        <v>0</v>
      </c>
      <c r="AX39" s="198">
        <f>COUNTIFS(tbl_data[12. Consultation Group of],$E$2,tbl_data[2:T2C],$A39,tbl_data[T2],$E$3)</f>
        <v>0</v>
      </c>
      <c r="AY39" s="198">
        <f>COUNTIFS(tbl_data[12. Consultation Group of],$E$2,tbl_data[3:T2C],$A39,tbl_data[T2],$E$3)</f>
        <v>0</v>
      </c>
      <c r="AZ39" s="198">
        <f>COUNTIFS(tbl_data[12. Consultation Group of],$E$2,tbl_data[1:T3C],$A39,tbl_data[T3],$E$3)</f>
        <v>0</v>
      </c>
      <c r="BA39" s="198">
        <f>COUNTIFS(tbl_data[12. Consultation Group of],$E$2,tbl_data[2:T3C],$A39,tbl_data[T3],$E$3)</f>
        <v>0</v>
      </c>
      <c r="BB39" s="198">
        <f>COUNTIFS(tbl_data[12. Consultation Group of],$E$2,tbl_data[3:T3C],$A39,tbl_data[T3],$E$3)</f>
        <v>0</v>
      </c>
      <c r="BC39" s="198">
        <f t="shared" si="4"/>
        <v>1</v>
      </c>
      <c r="BD39" s="199" t="str">
        <f t="shared" si="12"/>
        <v>Loss of Access to Basic Services (1)</v>
      </c>
      <c r="BE39" s="205">
        <f>COUNTIFS(tbl_data[1:T1C],$A39,tbl_data[T1],$F$3)</f>
        <v>0</v>
      </c>
      <c r="BF39" s="198">
        <f>COUNTIFS(tbl_data[2:T1C],$A39,tbl_data[T1],$F$3)</f>
        <v>0</v>
      </c>
      <c r="BG39" s="198">
        <f>COUNTIFS(tbl_data[3:T1C],$A39,tbl_data[T1],$F$3)</f>
        <v>0</v>
      </c>
      <c r="BH39" s="198">
        <f>COUNTIFS(tbl_data[1:T2C],$A39,tbl_data[T2],$F$3)</f>
        <v>0</v>
      </c>
      <c r="BI39" s="198">
        <f>COUNTIFS(tbl_data[2:T2C],$A39,tbl_data[T2],$F$3)</f>
        <v>0</v>
      </c>
      <c r="BJ39" s="198">
        <f>COUNTIFS(tbl_data[3:T2C],$A39,tbl_data[T2],$F$3)</f>
        <v>0</v>
      </c>
      <c r="BK39" s="198">
        <f>COUNTIFS(tbl_data[1:T3C],$A39,tbl_data[T3],$F$3)</f>
        <v>0</v>
      </c>
      <c r="BL39" s="198">
        <f>COUNTIFS(tbl_data[2:T3C],$A39,tbl_data[T3],$F$3)</f>
        <v>0</v>
      </c>
      <c r="BM39" s="198">
        <f>COUNTIFS(tbl_data[3:T3C],$A39,tbl_data[T3],$F$3)</f>
        <v>0</v>
      </c>
      <c r="BN39" s="198">
        <f t="shared" si="5"/>
        <v>0</v>
      </c>
      <c r="BO39" s="199" t="str">
        <f t="shared" si="13"/>
        <v>Loss of Access to Basic Services (0)</v>
      </c>
      <c r="BQ39" t="str">
        <f t="shared" si="6"/>
        <v>Loss of Access to Basic Services</v>
      </c>
      <c r="BR39">
        <f t="shared" si="7"/>
        <v>2</v>
      </c>
      <c r="BS39" t="s">
        <v>924</v>
      </c>
      <c r="BU39" s="274" t="s">
        <v>924</v>
      </c>
    </row>
    <row r="40" spans="1:73" x14ac:dyDescent="0.25">
      <c r="A40" s="203" t="s">
        <v>537</v>
      </c>
      <c r="B40" s="205">
        <f>COUNTIFS(tbl_data[12. Consultation Group of],$A$2,tbl_data[1:T1C],$A40,tbl_data[T1],$A$3)</f>
        <v>0</v>
      </c>
      <c r="C40" s="198">
        <f>COUNTIFS(tbl_data[12. Consultation Group of],$A$2,tbl_data[2:T1C],$A40,tbl_data[T1],$A$3)</f>
        <v>0</v>
      </c>
      <c r="D40" s="198">
        <f>COUNTIFS(tbl_data[12. Consultation Group of],$A$2,tbl_data[3:T1C],$A40,tbl_data[T1],$A$3)</f>
        <v>0</v>
      </c>
      <c r="E40" s="198">
        <f>COUNTIFS(tbl_data[12. Consultation Group of],$A$2,tbl_data[1:T2C],$A40,tbl_data[T2],$A$3)</f>
        <v>0</v>
      </c>
      <c r="F40" s="198">
        <f>COUNTIFS(tbl_data[12. Consultation Group of],$A$2,tbl_data[2:T2C],$A40,tbl_data[T2],$A$3)</f>
        <v>0</v>
      </c>
      <c r="G40" s="198">
        <f>COUNTIFS(tbl_data[12. Consultation Group of],$A$2,tbl_data[3:T2C],$A40,tbl_data[T2],$A$3)</f>
        <v>0</v>
      </c>
      <c r="H40" s="198">
        <f>COUNTIFS(tbl_data[12. Consultation Group of],$A$2,tbl_data[1:T3C],$A40,tbl_data[T3],$A$3)</f>
        <v>0</v>
      </c>
      <c r="I40" s="198">
        <f>COUNTIFS(tbl_data[12. Consultation Group of],$A$2,tbl_data[2:T3C],$A40,tbl_data[T3],$A$3)</f>
        <v>0</v>
      </c>
      <c r="J40" s="198">
        <f>COUNTIFS(tbl_data[12. Consultation Group of],$A$2,tbl_data[3:T3C],$A40,tbl_data[T3],$A$3)</f>
        <v>0</v>
      </c>
      <c r="K40" s="198">
        <f t="shared" si="0"/>
        <v>0</v>
      </c>
      <c r="L40" s="199" t="str">
        <f t="shared" si="8"/>
        <v>Price Rises (0)</v>
      </c>
      <c r="M40" s="205">
        <f>COUNTIFS(tbl_data[12. Consultation Group of],$B$2,tbl_data[1:T1C],$A40,tbl_data[T1],$B$3)</f>
        <v>0</v>
      </c>
      <c r="N40" s="198">
        <f>COUNTIFS(tbl_data[12. Consultation Group of],$B$2,tbl_data[2:T1C],$A40,tbl_data[T1],$B$3)</f>
        <v>0</v>
      </c>
      <c r="O40" s="198">
        <f>COUNTIFS(tbl_data[12. Consultation Group of],$B$2,tbl_data[3:T1C],$A40,tbl_data[T1],$B$3)</f>
        <v>0</v>
      </c>
      <c r="P40" s="198">
        <f>COUNTIFS(tbl_data[12. Consultation Group of],$B$2,tbl_data[1:T2C],$A40,tbl_data[T2],$B$3)</f>
        <v>0</v>
      </c>
      <c r="Q40" s="198">
        <f>COUNTIFS(tbl_data[12. Consultation Group of],$B$2,tbl_data[2:T2C],$A40,tbl_data[T2],$B$3)</f>
        <v>0</v>
      </c>
      <c r="R40" s="198">
        <f>COUNTIFS(tbl_data[12. Consultation Group of],$B$2,tbl_data[3:T2C],$A40,tbl_data[T2],$B$3)</f>
        <v>0</v>
      </c>
      <c r="S40" s="198">
        <f>COUNTIFS(tbl_data[12. Consultation Group of],$B$2,tbl_data[1:T3C],$A40,tbl_data[T3],$B$3)</f>
        <v>0</v>
      </c>
      <c r="T40" s="198">
        <f>COUNTIFS(tbl_data[12. Consultation Group of],$B$2,tbl_data[2:T3C],$A40,tbl_data[T3],$B$3)</f>
        <v>0</v>
      </c>
      <c r="U40" s="198">
        <f>COUNTIFS(tbl_data[12. Consultation Group of],$B$2,tbl_data[3:T3C],$A40,tbl_data[T3],$B$3)</f>
        <v>0</v>
      </c>
      <c r="V40" s="198">
        <f t="shared" si="1"/>
        <v>0</v>
      </c>
      <c r="W40" s="199" t="str">
        <f t="shared" si="9"/>
        <v>Price Rises (0)</v>
      </c>
      <c r="X40" s="205">
        <f>COUNTIFS(tbl_data[12. Consultation Group of],$C$2,tbl_data[1:T1C],$A40,tbl_data[T1],$C$3)</f>
        <v>0</v>
      </c>
      <c r="Y40" s="198">
        <f>COUNTIFS(tbl_data[12. Consultation Group of],$C$2,tbl_data[2:T1C],$A40,tbl_data[T1],$C$3)</f>
        <v>0</v>
      </c>
      <c r="Z40" s="198">
        <f>COUNTIFS(tbl_data[12. Consultation Group of],$C$2,tbl_data[3:T1C],$A40,tbl_data[T1],$C$3)</f>
        <v>0</v>
      </c>
      <c r="AA40" s="198">
        <f>COUNTIFS(tbl_data[12. Consultation Group of],$C$2,tbl_data[1:T2C],$A40,tbl_data[T2],$C$3)</f>
        <v>0</v>
      </c>
      <c r="AB40" s="198">
        <f>COUNTIFS(tbl_data[12. Consultation Group of],$C$2,tbl_data[2:T2C],$A40,tbl_data[T2],$C$3)</f>
        <v>0</v>
      </c>
      <c r="AC40" s="198">
        <f>COUNTIFS(tbl_data[12. Consultation Group of],$C$2,tbl_data[3:T2C],$A40,tbl_data[T2],$C$3)</f>
        <v>0</v>
      </c>
      <c r="AD40" s="198">
        <f>COUNTIFS(tbl_data[12. Consultation Group of],$C$2,tbl_data[1:T3C],$A40,tbl_data[T3],$C$3)</f>
        <v>0</v>
      </c>
      <c r="AE40" s="198">
        <f>COUNTIFS(tbl_data[12. Consultation Group of],$C$2,tbl_data[2:T3C],$A40,tbl_data[T3],$C$3)</f>
        <v>0</v>
      </c>
      <c r="AF40" s="198">
        <f>COUNTIFS(tbl_data[12. Consultation Group of],$C$2,tbl_data[3:T3C],$A40,tbl_data[T3],$C$3)</f>
        <v>0</v>
      </c>
      <c r="AG40" s="198">
        <f t="shared" si="2"/>
        <v>0</v>
      </c>
      <c r="AH40" s="199" t="str">
        <f t="shared" si="10"/>
        <v>Price Rises (0)</v>
      </c>
      <c r="AI40" s="205">
        <f>COUNTIFS(tbl_data[12. Consultation Group of],$D$2,tbl_data[1:T1C],$A40,tbl_data[T1],$D$3)</f>
        <v>0</v>
      </c>
      <c r="AJ40" s="198">
        <f>COUNTIFS(tbl_data[12. Consultation Group of],$D$2,tbl_data[2:T1C],$A40,tbl_data[T1],$D$3)</f>
        <v>0</v>
      </c>
      <c r="AK40" s="198">
        <f>COUNTIFS(tbl_data[12. Consultation Group of],$D$2,tbl_data[3:T1C],$A40,tbl_data[T1],$D$3)</f>
        <v>0</v>
      </c>
      <c r="AL40" s="198">
        <f>COUNTIFS(tbl_data[12. Consultation Group of],$D$2,tbl_data[1:T2C],$A40,tbl_data[T2],$D$3)</f>
        <v>0</v>
      </c>
      <c r="AM40" s="198">
        <f>COUNTIFS(tbl_data[12. Consultation Group of],$D$2,tbl_data[2:T2C],$A40,tbl_data[T2],$D$3)</f>
        <v>0</v>
      </c>
      <c r="AN40" s="198">
        <f>COUNTIFS(tbl_data[12. Consultation Group of],$D$2,tbl_data[3:T2C],$A40,tbl_data[T2],$D$3)</f>
        <v>0</v>
      </c>
      <c r="AO40" s="198">
        <f>COUNTIFS(tbl_data[12. Consultation Group of],$D$2,tbl_data[1:T3C],$A40,tbl_data[T3],$D$3)</f>
        <v>0</v>
      </c>
      <c r="AP40" s="198">
        <f>COUNTIFS(tbl_data[12. Consultation Group of],$D$2,tbl_data[2:T3C],$A40,tbl_data[T3],$D$3)</f>
        <v>0</v>
      </c>
      <c r="AQ40" s="198">
        <f>COUNTIFS(tbl_data[12. Consultation Group of],$D$2,tbl_data[3:T3C],$A40,tbl_data[T3],$D$3)</f>
        <v>0</v>
      </c>
      <c r="AR40" s="198">
        <f t="shared" si="3"/>
        <v>0</v>
      </c>
      <c r="AS40" s="199" t="str">
        <f t="shared" si="11"/>
        <v>Price Rises (0)</v>
      </c>
      <c r="AT40" s="205">
        <f>COUNTIFS(tbl_data[12. Consultation Group of],$E$2,tbl_data[1:T1C],$A40,tbl_data[T1],$E$3)</f>
        <v>0</v>
      </c>
      <c r="AU40" s="198">
        <f>COUNTIFS(tbl_data[12. Consultation Group of],$E$2,tbl_data[2:T1C],$A40,tbl_data[T1],$E$3)</f>
        <v>0</v>
      </c>
      <c r="AV40" s="198">
        <f>COUNTIFS(tbl_data[12. Consultation Group of],$E$2,tbl_data[3:T1C],$A40,tbl_data[T1],$E$3)</f>
        <v>0</v>
      </c>
      <c r="AW40" s="198">
        <f>COUNTIFS(tbl_data[12. Consultation Group of],$E$2,tbl_data[1:T2C],$A40,tbl_data[T2],$E$3)</f>
        <v>0</v>
      </c>
      <c r="AX40" s="198">
        <f>COUNTIFS(tbl_data[12. Consultation Group of],$E$2,tbl_data[2:T2C],$A40,tbl_data[T2],$E$3)</f>
        <v>0</v>
      </c>
      <c r="AY40" s="198">
        <f>COUNTIFS(tbl_data[12. Consultation Group of],$E$2,tbl_data[3:T2C],$A40,tbl_data[T2],$E$3)</f>
        <v>0</v>
      </c>
      <c r="AZ40" s="198">
        <f>COUNTIFS(tbl_data[12. Consultation Group of],$E$2,tbl_data[1:T3C],$A40,tbl_data[T3],$E$3)</f>
        <v>0</v>
      </c>
      <c r="BA40" s="198">
        <f>COUNTIFS(tbl_data[12. Consultation Group of],$E$2,tbl_data[2:T3C],$A40,tbl_data[T3],$E$3)</f>
        <v>0</v>
      </c>
      <c r="BB40" s="198">
        <f>COUNTIFS(tbl_data[12. Consultation Group of],$E$2,tbl_data[3:T3C],$A40,tbl_data[T3],$E$3)</f>
        <v>0</v>
      </c>
      <c r="BC40" s="198">
        <f t="shared" si="4"/>
        <v>0</v>
      </c>
      <c r="BD40" s="199" t="str">
        <f t="shared" si="12"/>
        <v>Price Rises (0)</v>
      </c>
      <c r="BE40" s="205">
        <f>COUNTIFS(tbl_data[1:T1C],$A40,tbl_data[T1],$F$3)</f>
        <v>0</v>
      </c>
      <c r="BF40" s="198">
        <f>COUNTIFS(tbl_data[2:T1C],$A40,tbl_data[T1],$F$3)</f>
        <v>0</v>
      </c>
      <c r="BG40" s="198">
        <f>COUNTIFS(tbl_data[3:T1C],$A40,tbl_data[T1],$F$3)</f>
        <v>0</v>
      </c>
      <c r="BH40" s="198">
        <f>COUNTIFS(tbl_data[1:T2C],$A40,tbl_data[T2],$F$3)</f>
        <v>0</v>
      </c>
      <c r="BI40" s="198">
        <f>COUNTIFS(tbl_data[2:T2C],$A40,tbl_data[T2],$F$3)</f>
        <v>0</v>
      </c>
      <c r="BJ40" s="198">
        <f>COUNTIFS(tbl_data[3:T2C],$A40,tbl_data[T2],$F$3)</f>
        <v>0</v>
      </c>
      <c r="BK40" s="198">
        <f>COUNTIFS(tbl_data[1:T3C],$A40,tbl_data[T3],$F$3)</f>
        <v>0</v>
      </c>
      <c r="BL40" s="198">
        <f>COUNTIFS(tbl_data[2:T3C],$A40,tbl_data[T3],$F$3)</f>
        <v>0</v>
      </c>
      <c r="BM40" s="198">
        <f>COUNTIFS(tbl_data[3:T3C],$A40,tbl_data[T3],$F$3)</f>
        <v>0</v>
      </c>
      <c r="BN40" s="198">
        <f t="shared" si="5"/>
        <v>0</v>
      </c>
      <c r="BO40" s="199" t="str">
        <f t="shared" si="13"/>
        <v>Price Rises (0)</v>
      </c>
      <c r="BQ40" t="str">
        <f t="shared" si="6"/>
        <v>Price Rises</v>
      </c>
      <c r="BR40">
        <f t="shared" si="7"/>
        <v>0</v>
      </c>
    </row>
    <row r="41" spans="1:73" x14ac:dyDescent="0.25">
      <c r="A41" s="203" t="s">
        <v>234</v>
      </c>
      <c r="B41" s="205">
        <f>COUNTIFS(tbl_data[12. Consultation Group of],$A$2,tbl_data[1:T1C],$A41,tbl_data[T1],$A$3)</f>
        <v>0</v>
      </c>
      <c r="C41" s="198">
        <f>COUNTIFS(tbl_data[12. Consultation Group of],$A$2,tbl_data[2:T1C],$A41,tbl_data[T1],$A$3)</f>
        <v>0</v>
      </c>
      <c r="D41" s="198">
        <f>COUNTIFS(tbl_data[12. Consultation Group of],$A$2,tbl_data[3:T1C],$A41,tbl_data[T1],$A$3)</f>
        <v>0</v>
      </c>
      <c r="E41" s="198">
        <f>COUNTIFS(tbl_data[12. Consultation Group of],$A$2,tbl_data[1:T2C],$A41,tbl_data[T2],$A$3)</f>
        <v>0</v>
      </c>
      <c r="F41" s="198">
        <f>COUNTIFS(tbl_data[12. Consultation Group of],$A$2,tbl_data[2:T2C],$A41,tbl_data[T2],$A$3)</f>
        <v>0</v>
      </c>
      <c r="G41" s="198">
        <f>COUNTIFS(tbl_data[12. Consultation Group of],$A$2,tbl_data[3:T2C],$A41,tbl_data[T2],$A$3)</f>
        <v>0</v>
      </c>
      <c r="H41" s="198">
        <f>COUNTIFS(tbl_data[12. Consultation Group of],$A$2,tbl_data[1:T3C],$A41,tbl_data[T3],$A$3)</f>
        <v>0</v>
      </c>
      <c r="I41" s="198">
        <f>COUNTIFS(tbl_data[12. Consultation Group of],$A$2,tbl_data[2:T3C],$A41,tbl_data[T3],$A$3)</f>
        <v>0</v>
      </c>
      <c r="J41" s="198">
        <f>COUNTIFS(tbl_data[12. Consultation Group of],$A$2,tbl_data[3:T3C],$A41,tbl_data[T3],$A$3)</f>
        <v>0</v>
      </c>
      <c r="K41" s="198">
        <f t="shared" si="0"/>
        <v>0</v>
      </c>
      <c r="L41" s="199" t="str">
        <f t="shared" si="8"/>
        <v>Impact on Biodiversity (0)</v>
      </c>
      <c r="M41" s="205">
        <f>COUNTIFS(tbl_data[12. Consultation Group of],$B$2,tbl_data[1:T1C],$A41,tbl_data[T1],$B$3)</f>
        <v>0</v>
      </c>
      <c r="N41" s="198">
        <f>COUNTIFS(tbl_data[12. Consultation Group of],$B$2,tbl_data[2:T1C],$A41,tbl_data[T1],$B$3)</f>
        <v>0</v>
      </c>
      <c r="O41" s="198">
        <f>COUNTIFS(tbl_data[12. Consultation Group of],$B$2,tbl_data[3:T1C],$A41,tbl_data[T1],$B$3)</f>
        <v>0</v>
      </c>
      <c r="P41" s="198">
        <f>COUNTIFS(tbl_data[12. Consultation Group of],$B$2,tbl_data[1:T2C],$A41,tbl_data[T2],$B$3)</f>
        <v>0</v>
      </c>
      <c r="Q41" s="198">
        <f>COUNTIFS(tbl_data[12. Consultation Group of],$B$2,tbl_data[2:T2C],$A41,tbl_data[T2],$B$3)</f>
        <v>0</v>
      </c>
      <c r="R41" s="198">
        <f>COUNTIFS(tbl_data[12. Consultation Group of],$B$2,tbl_data[3:T2C],$A41,tbl_data[T2],$B$3)</f>
        <v>0</v>
      </c>
      <c r="S41" s="198">
        <f>COUNTIFS(tbl_data[12. Consultation Group of],$B$2,tbl_data[1:T3C],$A41,tbl_data[T3],$B$3)</f>
        <v>0</v>
      </c>
      <c r="T41" s="198">
        <f>COUNTIFS(tbl_data[12. Consultation Group of],$B$2,tbl_data[2:T3C],$A41,tbl_data[T3],$B$3)</f>
        <v>1</v>
      </c>
      <c r="U41" s="198">
        <f>COUNTIFS(tbl_data[12. Consultation Group of],$B$2,tbl_data[3:T3C],$A41,tbl_data[T3],$B$3)</f>
        <v>0</v>
      </c>
      <c r="V41" s="198">
        <f t="shared" si="1"/>
        <v>1</v>
      </c>
      <c r="W41" s="199" t="str">
        <f t="shared" si="9"/>
        <v>Impact on Biodiversity (1)</v>
      </c>
      <c r="X41" s="205">
        <f>COUNTIFS(tbl_data[12. Consultation Group of],$C$2,tbl_data[1:T1C],$A41,tbl_data[T1],$C$3)</f>
        <v>0</v>
      </c>
      <c r="Y41" s="198">
        <f>COUNTIFS(tbl_data[12. Consultation Group of],$C$2,tbl_data[2:T1C],$A41,tbl_data[T1],$C$3)</f>
        <v>0</v>
      </c>
      <c r="Z41" s="198">
        <f>COUNTIFS(tbl_data[12. Consultation Group of],$C$2,tbl_data[3:T1C],$A41,tbl_data[T1],$C$3)</f>
        <v>0</v>
      </c>
      <c r="AA41" s="198">
        <f>COUNTIFS(tbl_data[12. Consultation Group of],$C$2,tbl_data[1:T2C],$A41,tbl_data[T2],$C$3)</f>
        <v>0</v>
      </c>
      <c r="AB41" s="198">
        <f>COUNTIFS(tbl_data[12. Consultation Group of],$C$2,tbl_data[2:T2C],$A41,tbl_data[T2],$C$3)</f>
        <v>0</v>
      </c>
      <c r="AC41" s="198">
        <f>COUNTIFS(tbl_data[12. Consultation Group of],$C$2,tbl_data[3:T2C],$A41,tbl_data[T2],$C$3)</f>
        <v>0</v>
      </c>
      <c r="AD41" s="198">
        <f>COUNTIFS(tbl_data[12. Consultation Group of],$C$2,tbl_data[1:T3C],$A41,tbl_data[T3],$C$3)</f>
        <v>0</v>
      </c>
      <c r="AE41" s="198">
        <f>COUNTIFS(tbl_data[12. Consultation Group of],$C$2,tbl_data[2:T3C],$A41,tbl_data[T3],$C$3)</f>
        <v>0</v>
      </c>
      <c r="AF41" s="198">
        <f>COUNTIFS(tbl_data[12. Consultation Group of],$C$2,tbl_data[3:T3C],$A41,tbl_data[T3],$C$3)</f>
        <v>0</v>
      </c>
      <c r="AG41" s="198">
        <f t="shared" si="2"/>
        <v>0</v>
      </c>
      <c r="AH41" s="199" t="str">
        <f t="shared" si="10"/>
        <v>Impact on Biodiversity (0)</v>
      </c>
      <c r="AI41" s="205">
        <f>COUNTIFS(tbl_data[12. Consultation Group of],$D$2,tbl_data[1:T1C],$A41,tbl_data[T1],$D$3)</f>
        <v>0</v>
      </c>
      <c r="AJ41" s="198">
        <f>COUNTIFS(tbl_data[12. Consultation Group of],$D$2,tbl_data[2:T1C],$A41,tbl_data[T1],$D$3)</f>
        <v>1</v>
      </c>
      <c r="AK41" s="198">
        <f>COUNTIFS(tbl_data[12. Consultation Group of],$D$2,tbl_data[3:T1C],$A41,tbl_data[T1],$D$3)</f>
        <v>0</v>
      </c>
      <c r="AL41" s="198">
        <f>COUNTIFS(tbl_data[12. Consultation Group of],$D$2,tbl_data[1:T2C],$A41,tbl_data[T2],$D$3)</f>
        <v>0</v>
      </c>
      <c r="AM41" s="198">
        <f>COUNTIFS(tbl_data[12. Consultation Group of],$D$2,tbl_data[2:T2C],$A41,tbl_data[T2],$D$3)</f>
        <v>0</v>
      </c>
      <c r="AN41" s="198">
        <f>COUNTIFS(tbl_data[12. Consultation Group of],$D$2,tbl_data[3:T2C],$A41,tbl_data[T2],$D$3)</f>
        <v>0</v>
      </c>
      <c r="AO41" s="198">
        <f>COUNTIFS(tbl_data[12. Consultation Group of],$D$2,tbl_data[1:T3C],$A41,tbl_data[T3],$D$3)</f>
        <v>0</v>
      </c>
      <c r="AP41" s="198">
        <f>COUNTIFS(tbl_data[12. Consultation Group of],$D$2,tbl_data[2:T3C],$A41,tbl_data[T3],$D$3)</f>
        <v>0</v>
      </c>
      <c r="AQ41" s="198">
        <f>COUNTIFS(tbl_data[12. Consultation Group of],$D$2,tbl_data[3:T3C],$A41,tbl_data[T3],$D$3)</f>
        <v>1</v>
      </c>
      <c r="AR41" s="198">
        <f t="shared" si="3"/>
        <v>2</v>
      </c>
      <c r="AS41" s="199" t="str">
        <f t="shared" si="11"/>
        <v>Impact on Biodiversity (2)</v>
      </c>
      <c r="AT41" s="205">
        <f>COUNTIFS(tbl_data[12. Consultation Group of],$E$2,tbl_data[1:T1C],$A41,tbl_data[T1],$E$3)</f>
        <v>0</v>
      </c>
      <c r="AU41" s="198">
        <f>COUNTIFS(tbl_data[12. Consultation Group of],$E$2,tbl_data[2:T1C],$A41,tbl_data[T1],$E$3)</f>
        <v>0</v>
      </c>
      <c r="AV41" s="198">
        <f>COUNTIFS(tbl_data[12. Consultation Group of],$E$2,tbl_data[3:T1C],$A41,tbl_data[T1],$E$3)</f>
        <v>0</v>
      </c>
      <c r="AW41" s="198">
        <f>COUNTIFS(tbl_data[12. Consultation Group of],$E$2,tbl_data[1:T2C],$A41,tbl_data[T2],$E$3)</f>
        <v>0</v>
      </c>
      <c r="AX41" s="198">
        <f>COUNTIFS(tbl_data[12. Consultation Group of],$E$2,tbl_data[2:T2C],$A41,tbl_data[T2],$E$3)</f>
        <v>0</v>
      </c>
      <c r="AY41" s="198">
        <f>COUNTIFS(tbl_data[12. Consultation Group of],$E$2,tbl_data[3:T2C],$A41,tbl_data[T2],$E$3)</f>
        <v>0</v>
      </c>
      <c r="AZ41" s="198">
        <f>COUNTIFS(tbl_data[12. Consultation Group of],$E$2,tbl_data[1:T3C],$A41,tbl_data[T3],$E$3)</f>
        <v>0</v>
      </c>
      <c r="BA41" s="198">
        <f>COUNTIFS(tbl_data[12. Consultation Group of],$E$2,tbl_data[2:T3C],$A41,tbl_data[T3],$E$3)</f>
        <v>0</v>
      </c>
      <c r="BB41" s="198">
        <f>COUNTIFS(tbl_data[12. Consultation Group of],$E$2,tbl_data[3:T3C],$A41,tbl_data[T3],$E$3)</f>
        <v>0</v>
      </c>
      <c r="BC41" s="198">
        <f t="shared" si="4"/>
        <v>0</v>
      </c>
      <c r="BD41" s="199" t="str">
        <f t="shared" si="12"/>
        <v>Impact on Biodiversity (0)</v>
      </c>
      <c r="BE41" s="205">
        <f>COUNTIFS(tbl_data[1:T1C],$A41,tbl_data[T1],$F$3)</f>
        <v>0</v>
      </c>
      <c r="BF41" s="198">
        <f>COUNTIFS(tbl_data[2:T1C],$A41,tbl_data[T1],$F$3)</f>
        <v>1</v>
      </c>
      <c r="BG41" s="198">
        <f>COUNTIFS(tbl_data[3:T1C],$A41,tbl_data[T1],$F$3)</f>
        <v>0</v>
      </c>
      <c r="BH41" s="198">
        <f>COUNTIFS(tbl_data[1:T2C],$A41,tbl_data[T2],$F$3)</f>
        <v>0</v>
      </c>
      <c r="BI41" s="198">
        <f>COUNTIFS(tbl_data[2:T2C],$A41,tbl_data[T2],$F$3)</f>
        <v>0</v>
      </c>
      <c r="BJ41" s="198">
        <f>COUNTIFS(tbl_data[3:T2C],$A41,tbl_data[T2],$F$3)</f>
        <v>0</v>
      </c>
      <c r="BK41" s="198">
        <f>COUNTIFS(tbl_data[1:T3C],$A41,tbl_data[T3],$F$3)</f>
        <v>0</v>
      </c>
      <c r="BL41" s="198">
        <f>COUNTIFS(tbl_data[2:T3C],$A41,tbl_data[T3],$F$3)</f>
        <v>0</v>
      </c>
      <c r="BM41" s="198">
        <f>COUNTIFS(tbl_data[3:T3C],$A41,tbl_data[T3],$F$3)</f>
        <v>1</v>
      </c>
      <c r="BN41" s="198">
        <f t="shared" si="5"/>
        <v>2</v>
      </c>
      <c r="BO41" s="199" t="str">
        <f t="shared" si="13"/>
        <v>Impact on Biodiversity (2)</v>
      </c>
      <c r="BQ41" t="str">
        <f t="shared" si="6"/>
        <v>Impact on Biodiversity</v>
      </c>
      <c r="BR41">
        <f t="shared" si="7"/>
        <v>5</v>
      </c>
      <c r="BS41" t="s">
        <v>923</v>
      </c>
      <c r="BU41" s="39" t="s">
        <v>923</v>
      </c>
    </row>
    <row r="42" spans="1:73" x14ac:dyDescent="0.25">
      <c r="A42" s="203" t="s">
        <v>318</v>
      </c>
      <c r="B42" s="205">
        <f>COUNTIFS(tbl_data[12. Consultation Group of],$A$2,tbl_data[1:T1C],$A42,tbl_data[T1],$A$3)</f>
        <v>0</v>
      </c>
      <c r="C42" s="198">
        <f>COUNTIFS(tbl_data[12. Consultation Group of],$A$2,tbl_data[2:T1C],$A42,tbl_data[T1],$A$3)</f>
        <v>0</v>
      </c>
      <c r="D42" s="198">
        <f>COUNTIFS(tbl_data[12. Consultation Group of],$A$2,tbl_data[3:T1C],$A42,tbl_data[T1],$A$3)</f>
        <v>0</v>
      </c>
      <c r="E42" s="198">
        <f>COUNTIFS(tbl_data[12. Consultation Group of],$A$2,tbl_data[1:T2C],$A42,tbl_data[T2],$A$3)</f>
        <v>0</v>
      </c>
      <c r="F42" s="198">
        <f>COUNTIFS(tbl_data[12. Consultation Group of],$A$2,tbl_data[2:T2C],$A42,tbl_data[T2],$A$3)</f>
        <v>0</v>
      </c>
      <c r="G42" s="198">
        <f>COUNTIFS(tbl_data[12. Consultation Group of],$A$2,tbl_data[3:T2C],$A42,tbl_data[T2],$A$3)</f>
        <v>0</v>
      </c>
      <c r="H42" s="198">
        <f>COUNTIFS(tbl_data[12. Consultation Group of],$A$2,tbl_data[1:T3C],$A42,tbl_data[T3],$A$3)</f>
        <v>0</v>
      </c>
      <c r="I42" s="198">
        <f>COUNTIFS(tbl_data[12. Consultation Group of],$A$2,tbl_data[2:T3C],$A42,tbl_data[T3],$A$3)</f>
        <v>0</v>
      </c>
      <c r="J42" s="198">
        <f>COUNTIFS(tbl_data[12. Consultation Group of],$A$2,tbl_data[3:T3C],$A42,tbl_data[T3],$A$3)</f>
        <v>0</v>
      </c>
      <c r="K42" s="198">
        <f t="shared" si="0"/>
        <v>0</v>
      </c>
      <c r="L42" s="199" t="str">
        <f t="shared" si="8"/>
        <v>Erosion (0)</v>
      </c>
      <c r="M42" s="205">
        <f>COUNTIFS(tbl_data[12. Consultation Group of],$B$2,tbl_data[1:T1C],$A42,tbl_data[T1],$B$3)</f>
        <v>0</v>
      </c>
      <c r="N42" s="198">
        <f>COUNTIFS(tbl_data[12. Consultation Group of],$B$2,tbl_data[2:T1C],$A42,tbl_data[T1],$B$3)</f>
        <v>0</v>
      </c>
      <c r="O42" s="198">
        <f>COUNTIFS(tbl_data[12. Consultation Group of],$B$2,tbl_data[3:T1C],$A42,tbl_data[T1],$B$3)</f>
        <v>0</v>
      </c>
      <c r="P42" s="198">
        <f>COUNTIFS(tbl_data[12. Consultation Group of],$B$2,tbl_data[1:T2C],$A42,tbl_data[T2],$B$3)</f>
        <v>0</v>
      </c>
      <c r="Q42" s="198">
        <f>COUNTIFS(tbl_data[12. Consultation Group of],$B$2,tbl_data[2:T2C],$A42,tbl_data[T2],$B$3)</f>
        <v>0</v>
      </c>
      <c r="R42" s="198">
        <f>COUNTIFS(tbl_data[12. Consultation Group of],$B$2,tbl_data[3:T2C],$A42,tbl_data[T2],$B$3)</f>
        <v>0</v>
      </c>
      <c r="S42" s="198">
        <f>COUNTIFS(tbl_data[12. Consultation Group of],$B$2,tbl_data[1:T3C],$A42,tbl_data[T3],$B$3)</f>
        <v>0</v>
      </c>
      <c r="T42" s="198">
        <f>COUNTIFS(tbl_data[12. Consultation Group of],$B$2,tbl_data[2:T3C],$A42,tbl_data[T3],$B$3)</f>
        <v>0</v>
      </c>
      <c r="U42" s="198">
        <f>COUNTIFS(tbl_data[12. Consultation Group of],$B$2,tbl_data[3:T3C],$A42,tbl_data[T3],$B$3)</f>
        <v>0</v>
      </c>
      <c r="V42" s="198">
        <f t="shared" si="1"/>
        <v>0</v>
      </c>
      <c r="W42" s="199" t="str">
        <f t="shared" si="9"/>
        <v>Erosion (0)</v>
      </c>
      <c r="X42" s="205">
        <f>COUNTIFS(tbl_data[12. Consultation Group of],$C$2,tbl_data[1:T1C],$A42,tbl_data[T1],$C$3)</f>
        <v>0</v>
      </c>
      <c r="Y42" s="198">
        <f>COUNTIFS(tbl_data[12. Consultation Group of],$C$2,tbl_data[2:T1C],$A42,tbl_data[T1],$C$3)</f>
        <v>0</v>
      </c>
      <c r="Z42" s="198">
        <f>COUNTIFS(tbl_data[12. Consultation Group of],$C$2,tbl_data[3:T1C],$A42,tbl_data[T1],$C$3)</f>
        <v>0</v>
      </c>
      <c r="AA42" s="198">
        <f>COUNTIFS(tbl_data[12. Consultation Group of],$C$2,tbl_data[1:T2C],$A42,tbl_data[T2],$C$3)</f>
        <v>0</v>
      </c>
      <c r="AB42" s="198">
        <f>COUNTIFS(tbl_data[12. Consultation Group of],$C$2,tbl_data[2:T2C],$A42,tbl_data[T2],$C$3)</f>
        <v>0</v>
      </c>
      <c r="AC42" s="198">
        <f>COUNTIFS(tbl_data[12. Consultation Group of],$C$2,tbl_data[3:T2C],$A42,tbl_data[T2],$C$3)</f>
        <v>0</v>
      </c>
      <c r="AD42" s="198">
        <f>COUNTIFS(tbl_data[12. Consultation Group of],$C$2,tbl_data[1:T3C],$A42,tbl_data[T3],$C$3)</f>
        <v>0</v>
      </c>
      <c r="AE42" s="198">
        <f>COUNTIFS(tbl_data[12. Consultation Group of],$C$2,tbl_data[2:T3C],$A42,tbl_data[T3],$C$3)</f>
        <v>0</v>
      </c>
      <c r="AF42" s="198">
        <f>COUNTIFS(tbl_data[12. Consultation Group of],$C$2,tbl_data[3:T3C],$A42,tbl_data[T3],$C$3)</f>
        <v>0</v>
      </c>
      <c r="AG42" s="198">
        <f t="shared" si="2"/>
        <v>0</v>
      </c>
      <c r="AH42" s="199" t="str">
        <f t="shared" si="10"/>
        <v>Erosion (0)</v>
      </c>
      <c r="AI42" s="205">
        <f>COUNTIFS(tbl_data[12. Consultation Group of],$D$2,tbl_data[1:T1C],$A42,tbl_data[T1],$D$3)</f>
        <v>1</v>
      </c>
      <c r="AJ42" s="198">
        <f>COUNTIFS(tbl_data[12. Consultation Group of],$D$2,tbl_data[2:T1C],$A42,tbl_data[T1],$D$3)</f>
        <v>0</v>
      </c>
      <c r="AK42" s="198">
        <f>COUNTIFS(tbl_data[12. Consultation Group of],$D$2,tbl_data[3:T1C],$A42,tbl_data[T1],$D$3)</f>
        <v>0</v>
      </c>
      <c r="AL42" s="198">
        <f>COUNTIFS(tbl_data[12. Consultation Group of],$D$2,tbl_data[1:T2C],$A42,tbl_data[T2],$D$3)</f>
        <v>0</v>
      </c>
      <c r="AM42" s="198">
        <f>COUNTIFS(tbl_data[12. Consultation Group of],$D$2,tbl_data[2:T2C],$A42,tbl_data[T2],$D$3)</f>
        <v>0</v>
      </c>
      <c r="AN42" s="198">
        <f>COUNTIFS(tbl_data[12. Consultation Group of],$D$2,tbl_data[3:T2C],$A42,tbl_data[T2],$D$3)</f>
        <v>0</v>
      </c>
      <c r="AO42" s="198">
        <f>COUNTIFS(tbl_data[12. Consultation Group of],$D$2,tbl_data[1:T3C],$A42,tbl_data[T3],$D$3)</f>
        <v>0</v>
      </c>
      <c r="AP42" s="198">
        <f>COUNTIFS(tbl_data[12. Consultation Group of],$D$2,tbl_data[2:T3C],$A42,tbl_data[T3],$D$3)</f>
        <v>0</v>
      </c>
      <c r="AQ42" s="198">
        <f>COUNTIFS(tbl_data[12. Consultation Group of],$D$2,tbl_data[3:T3C],$A42,tbl_data[T3],$D$3)</f>
        <v>0</v>
      </c>
      <c r="AR42" s="198">
        <f t="shared" si="3"/>
        <v>1</v>
      </c>
      <c r="AS42" s="199" t="str">
        <f t="shared" si="11"/>
        <v>Erosion (1)</v>
      </c>
      <c r="AT42" s="205">
        <f>COUNTIFS(tbl_data[12. Consultation Group of],$E$2,tbl_data[1:T1C],$A42,tbl_data[T1],$E$3)</f>
        <v>0</v>
      </c>
      <c r="AU42" s="198">
        <f>COUNTIFS(tbl_data[12. Consultation Group of],$E$2,tbl_data[2:T1C],$A42,tbl_data[T1],$E$3)</f>
        <v>0</v>
      </c>
      <c r="AV42" s="198">
        <f>COUNTIFS(tbl_data[12. Consultation Group of],$E$2,tbl_data[3:T1C],$A42,tbl_data[T1],$E$3)</f>
        <v>0</v>
      </c>
      <c r="AW42" s="198">
        <f>COUNTIFS(tbl_data[12. Consultation Group of],$E$2,tbl_data[1:T2C],$A42,tbl_data[T2],$E$3)</f>
        <v>0</v>
      </c>
      <c r="AX42" s="198">
        <f>COUNTIFS(tbl_data[12. Consultation Group of],$E$2,tbl_data[2:T2C],$A42,tbl_data[T2],$E$3)</f>
        <v>0</v>
      </c>
      <c r="AY42" s="198">
        <f>COUNTIFS(tbl_data[12. Consultation Group of],$E$2,tbl_data[3:T2C],$A42,tbl_data[T2],$E$3)</f>
        <v>0</v>
      </c>
      <c r="AZ42" s="198">
        <f>COUNTIFS(tbl_data[12. Consultation Group of],$E$2,tbl_data[1:T3C],$A42,tbl_data[T3],$E$3)</f>
        <v>0</v>
      </c>
      <c r="BA42" s="198">
        <f>COUNTIFS(tbl_data[12. Consultation Group of],$E$2,tbl_data[2:T3C],$A42,tbl_data[T3],$E$3)</f>
        <v>0</v>
      </c>
      <c r="BB42" s="198">
        <f>COUNTIFS(tbl_data[12. Consultation Group of],$E$2,tbl_data[3:T3C],$A42,tbl_data[T3],$E$3)</f>
        <v>0</v>
      </c>
      <c r="BC42" s="198">
        <f t="shared" si="4"/>
        <v>0</v>
      </c>
      <c r="BD42" s="199" t="str">
        <f t="shared" si="12"/>
        <v>Erosion (0)</v>
      </c>
      <c r="BE42" s="205">
        <f>COUNTIFS(tbl_data[1:T1C],$A42,tbl_data[T1],$F$3)</f>
        <v>2</v>
      </c>
      <c r="BF42" s="198">
        <f>COUNTIFS(tbl_data[2:T1C],$A42,tbl_data[T1],$F$3)</f>
        <v>0</v>
      </c>
      <c r="BG42" s="198">
        <f>COUNTIFS(tbl_data[3:T1C],$A42,tbl_data[T1],$F$3)</f>
        <v>0</v>
      </c>
      <c r="BH42" s="198">
        <f>COUNTIFS(tbl_data[1:T2C],$A42,tbl_data[T2],$F$3)</f>
        <v>0</v>
      </c>
      <c r="BI42" s="198">
        <f>COUNTIFS(tbl_data[2:T2C],$A42,tbl_data[T2],$F$3)</f>
        <v>0</v>
      </c>
      <c r="BJ42" s="198">
        <f>COUNTIFS(tbl_data[3:T2C],$A42,tbl_data[T2],$F$3)</f>
        <v>0</v>
      </c>
      <c r="BK42" s="198">
        <f>COUNTIFS(tbl_data[1:T3C],$A42,tbl_data[T3],$F$3)</f>
        <v>0</v>
      </c>
      <c r="BL42" s="198">
        <f>COUNTIFS(tbl_data[2:T3C],$A42,tbl_data[T3],$F$3)</f>
        <v>0</v>
      </c>
      <c r="BM42" s="198">
        <f>COUNTIFS(tbl_data[3:T3C],$A42,tbl_data[T3],$F$3)</f>
        <v>0</v>
      </c>
      <c r="BN42" s="198">
        <f t="shared" si="5"/>
        <v>2</v>
      </c>
      <c r="BO42" s="199" t="str">
        <f t="shared" si="13"/>
        <v>Erosion (2)</v>
      </c>
      <c r="BQ42" t="str">
        <f t="shared" si="6"/>
        <v>Erosion</v>
      </c>
      <c r="BR42">
        <f t="shared" si="7"/>
        <v>3</v>
      </c>
      <c r="BS42" t="s">
        <v>923</v>
      </c>
      <c r="BU42" s="39" t="s">
        <v>923</v>
      </c>
    </row>
    <row r="43" spans="1:73" x14ac:dyDescent="0.25">
      <c r="A43" s="203" t="s">
        <v>497</v>
      </c>
      <c r="B43" s="205">
        <f>COUNTIFS(tbl_data[12. Consultation Group of],$A$2,tbl_data[1:T1C],$A43,tbl_data[T1],$A$3)</f>
        <v>0</v>
      </c>
      <c r="C43" s="198">
        <f>COUNTIFS(tbl_data[12. Consultation Group of],$A$2,tbl_data[2:T1C],$A43,tbl_data[T1],$A$3)</f>
        <v>0</v>
      </c>
      <c r="D43" s="198">
        <f>COUNTIFS(tbl_data[12. Consultation Group of],$A$2,tbl_data[3:T1C],$A43,tbl_data[T1],$A$3)</f>
        <v>0</v>
      </c>
      <c r="E43" s="198">
        <f>COUNTIFS(tbl_data[12. Consultation Group of],$A$2,tbl_data[1:T2C],$A43,tbl_data[T2],$A$3)</f>
        <v>0</v>
      </c>
      <c r="F43" s="198">
        <f>COUNTIFS(tbl_data[12. Consultation Group of],$A$2,tbl_data[2:T2C],$A43,tbl_data[T2],$A$3)</f>
        <v>0</v>
      </c>
      <c r="G43" s="198">
        <f>COUNTIFS(tbl_data[12. Consultation Group of],$A$2,tbl_data[3:T2C],$A43,tbl_data[T2],$A$3)</f>
        <v>0</v>
      </c>
      <c r="H43" s="198">
        <f>COUNTIFS(tbl_data[12. Consultation Group of],$A$2,tbl_data[1:T3C],$A43,tbl_data[T3],$A$3)</f>
        <v>0</v>
      </c>
      <c r="I43" s="198">
        <f>COUNTIFS(tbl_data[12. Consultation Group of],$A$2,tbl_data[2:T3C],$A43,tbl_data[T3],$A$3)</f>
        <v>0</v>
      </c>
      <c r="J43" s="198">
        <f>COUNTIFS(tbl_data[12. Consultation Group of],$A$2,tbl_data[3:T3C],$A43,tbl_data[T3],$A$3)</f>
        <v>0</v>
      </c>
      <c r="K43" s="198">
        <f t="shared" si="0"/>
        <v>0</v>
      </c>
      <c r="L43" s="199" t="str">
        <f t="shared" si="8"/>
        <v>School/Education Drop Out (0)</v>
      </c>
      <c r="M43" s="205">
        <f>COUNTIFS(tbl_data[12. Consultation Group of],$B$2,tbl_data[1:T1C],$A43,tbl_data[T1],$B$3)</f>
        <v>0</v>
      </c>
      <c r="N43" s="198">
        <f>COUNTIFS(tbl_data[12. Consultation Group of],$B$2,tbl_data[2:T1C],$A43,tbl_data[T1],$B$3)</f>
        <v>0</v>
      </c>
      <c r="O43" s="198">
        <f>COUNTIFS(tbl_data[12. Consultation Group of],$B$2,tbl_data[3:T1C],$A43,tbl_data[T1],$B$3)</f>
        <v>0</v>
      </c>
      <c r="P43" s="198">
        <f>COUNTIFS(tbl_data[12. Consultation Group of],$B$2,tbl_data[1:T2C],$A43,tbl_data[T2],$B$3)</f>
        <v>0</v>
      </c>
      <c r="Q43" s="198">
        <f>COUNTIFS(tbl_data[12. Consultation Group of],$B$2,tbl_data[2:T2C],$A43,tbl_data[T2],$B$3)</f>
        <v>0</v>
      </c>
      <c r="R43" s="198">
        <f>COUNTIFS(tbl_data[12. Consultation Group of],$B$2,tbl_data[3:T2C],$A43,tbl_data[T2],$B$3)</f>
        <v>0</v>
      </c>
      <c r="S43" s="198">
        <f>COUNTIFS(tbl_data[12. Consultation Group of],$B$2,tbl_data[1:T3C],$A43,tbl_data[T3],$B$3)</f>
        <v>0</v>
      </c>
      <c r="T43" s="198">
        <f>COUNTIFS(tbl_data[12. Consultation Group of],$B$2,tbl_data[2:T3C],$A43,tbl_data[T3],$B$3)</f>
        <v>0</v>
      </c>
      <c r="U43" s="198">
        <f>COUNTIFS(tbl_data[12. Consultation Group of],$B$2,tbl_data[3:T3C],$A43,tbl_data[T3],$B$3)</f>
        <v>0</v>
      </c>
      <c r="V43" s="198">
        <f t="shared" si="1"/>
        <v>0</v>
      </c>
      <c r="W43" s="199" t="str">
        <f t="shared" si="9"/>
        <v>School/Education Drop Out (0)</v>
      </c>
      <c r="X43" s="205">
        <f>COUNTIFS(tbl_data[12. Consultation Group of],$C$2,tbl_data[1:T1C],$A43,tbl_data[T1],$C$3)</f>
        <v>1</v>
      </c>
      <c r="Y43" s="198">
        <f>COUNTIFS(tbl_data[12. Consultation Group of],$C$2,tbl_data[2:T1C],$A43,tbl_data[T1],$C$3)</f>
        <v>0</v>
      </c>
      <c r="Z43" s="198">
        <f>COUNTIFS(tbl_data[12. Consultation Group of],$C$2,tbl_data[3:T1C],$A43,tbl_data[T1],$C$3)</f>
        <v>0</v>
      </c>
      <c r="AA43" s="198">
        <f>COUNTIFS(tbl_data[12. Consultation Group of],$C$2,tbl_data[1:T2C],$A43,tbl_data[T2],$C$3)</f>
        <v>0</v>
      </c>
      <c r="AB43" s="198">
        <f>COUNTIFS(tbl_data[12. Consultation Group of],$C$2,tbl_data[2:T2C],$A43,tbl_data[T2],$C$3)</f>
        <v>0</v>
      </c>
      <c r="AC43" s="198">
        <f>COUNTIFS(tbl_data[12. Consultation Group of],$C$2,tbl_data[3:T2C],$A43,tbl_data[T2],$C$3)</f>
        <v>0</v>
      </c>
      <c r="AD43" s="198">
        <f>COUNTIFS(tbl_data[12. Consultation Group of],$C$2,tbl_data[1:T3C],$A43,tbl_data[T3],$C$3)</f>
        <v>0</v>
      </c>
      <c r="AE43" s="198">
        <f>COUNTIFS(tbl_data[12. Consultation Group of],$C$2,tbl_data[2:T3C],$A43,tbl_data[T3],$C$3)</f>
        <v>0</v>
      </c>
      <c r="AF43" s="198">
        <f>COUNTIFS(tbl_data[12. Consultation Group of],$C$2,tbl_data[3:T3C],$A43,tbl_data[T3],$C$3)</f>
        <v>0</v>
      </c>
      <c r="AG43" s="198">
        <f t="shared" si="2"/>
        <v>1</v>
      </c>
      <c r="AH43" s="199" t="str">
        <f t="shared" si="10"/>
        <v>School/Education Drop Out (1)</v>
      </c>
      <c r="AI43" s="205">
        <f>COUNTIFS(tbl_data[12. Consultation Group of],$D$2,tbl_data[1:T1C],$A43,tbl_data[T1],$D$3)</f>
        <v>0</v>
      </c>
      <c r="AJ43" s="198">
        <f>COUNTIFS(tbl_data[12. Consultation Group of],$D$2,tbl_data[2:T1C],$A43,tbl_data[T1],$D$3)</f>
        <v>0</v>
      </c>
      <c r="AK43" s="198">
        <f>COUNTIFS(tbl_data[12. Consultation Group of],$D$2,tbl_data[3:T1C],$A43,tbl_data[T1],$D$3)</f>
        <v>0</v>
      </c>
      <c r="AL43" s="198">
        <f>COUNTIFS(tbl_data[12. Consultation Group of],$D$2,tbl_data[1:T2C],$A43,tbl_data[T2],$D$3)</f>
        <v>0</v>
      </c>
      <c r="AM43" s="198">
        <f>COUNTIFS(tbl_data[12. Consultation Group of],$D$2,tbl_data[2:T2C],$A43,tbl_data[T2],$D$3)</f>
        <v>0</v>
      </c>
      <c r="AN43" s="198">
        <f>COUNTIFS(tbl_data[12. Consultation Group of],$D$2,tbl_data[3:T2C],$A43,tbl_data[T2],$D$3)</f>
        <v>0</v>
      </c>
      <c r="AO43" s="198">
        <f>COUNTIFS(tbl_data[12. Consultation Group of],$D$2,tbl_data[1:T3C],$A43,tbl_data[T3],$D$3)</f>
        <v>0</v>
      </c>
      <c r="AP43" s="198">
        <f>COUNTIFS(tbl_data[12. Consultation Group of],$D$2,tbl_data[2:T3C],$A43,tbl_data[T3],$D$3)</f>
        <v>0</v>
      </c>
      <c r="AQ43" s="198">
        <f>COUNTIFS(tbl_data[12. Consultation Group of],$D$2,tbl_data[3:T3C],$A43,tbl_data[T3],$D$3)</f>
        <v>0</v>
      </c>
      <c r="AR43" s="198">
        <f t="shared" si="3"/>
        <v>0</v>
      </c>
      <c r="AS43" s="199" t="str">
        <f t="shared" si="11"/>
        <v>School/Education Drop Out (0)</v>
      </c>
      <c r="AT43" s="205">
        <f>COUNTIFS(tbl_data[12. Consultation Group of],$E$2,tbl_data[1:T1C],$A43,tbl_data[T1],$E$3)</f>
        <v>0</v>
      </c>
      <c r="AU43" s="198">
        <f>COUNTIFS(tbl_data[12. Consultation Group of],$E$2,tbl_data[2:T1C],$A43,tbl_data[T1],$E$3)</f>
        <v>0</v>
      </c>
      <c r="AV43" s="198">
        <f>COUNTIFS(tbl_data[12. Consultation Group of],$E$2,tbl_data[3:T1C],$A43,tbl_data[T1],$E$3)</f>
        <v>0</v>
      </c>
      <c r="AW43" s="198">
        <f>COUNTIFS(tbl_data[12. Consultation Group of],$E$2,tbl_data[1:T2C],$A43,tbl_data[T2],$E$3)</f>
        <v>0</v>
      </c>
      <c r="AX43" s="198">
        <f>COUNTIFS(tbl_data[12. Consultation Group of],$E$2,tbl_data[2:T2C],$A43,tbl_data[T2],$E$3)</f>
        <v>0</v>
      </c>
      <c r="AY43" s="198">
        <f>COUNTIFS(tbl_data[12. Consultation Group of],$E$2,tbl_data[3:T2C],$A43,tbl_data[T2],$E$3)</f>
        <v>0</v>
      </c>
      <c r="AZ43" s="198">
        <f>COUNTIFS(tbl_data[12. Consultation Group of],$E$2,tbl_data[1:T3C],$A43,tbl_data[T3],$E$3)</f>
        <v>1</v>
      </c>
      <c r="BA43" s="198">
        <f>COUNTIFS(tbl_data[12. Consultation Group of],$E$2,tbl_data[2:T3C],$A43,tbl_data[T3],$E$3)</f>
        <v>0</v>
      </c>
      <c r="BB43" s="198">
        <f>COUNTIFS(tbl_data[12. Consultation Group of],$E$2,tbl_data[3:T3C],$A43,tbl_data[T3],$E$3)</f>
        <v>0</v>
      </c>
      <c r="BC43" s="198">
        <f t="shared" si="4"/>
        <v>1</v>
      </c>
      <c r="BD43" s="199" t="str">
        <f t="shared" si="12"/>
        <v>School/Education Drop Out (1)</v>
      </c>
      <c r="BE43" s="205">
        <f>COUNTIFS(tbl_data[1:T1C],$A43,tbl_data[T1],$F$3)</f>
        <v>1</v>
      </c>
      <c r="BF43" s="198">
        <f>COUNTIFS(tbl_data[2:T1C],$A43,tbl_data[T1],$F$3)</f>
        <v>0</v>
      </c>
      <c r="BG43" s="198">
        <f>COUNTIFS(tbl_data[3:T1C],$A43,tbl_data[T1],$F$3)</f>
        <v>0</v>
      </c>
      <c r="BH43" s="198">
        <f>COUNTIFS(tbl_data[1:T2C],$A43,tbl_data[T2],$F$3)</f>
        <v>0</v>
      </c>
      <c r="BI43" s="198">
        <f>COUNTIFS(tbl_data[2:T2C],$A43,tbl_data[T2],$F$3)</f>
        <v>0</v>
      </c>
      <c r="BJ43" s="198">
        <f>COUNTIFS(tbl_data[3:T2C],$A43,tbl_data[T2],$F$3)</f>
        <v>0</v>
      </c>
      <c r="BK43" s="198">
        <f>COUNTIFS(tbl_data[1:T3C],$A43,tbl_data[T3],$F$3)</f>
        <v>0</v>
      </c>
      <c r="BL43" s="198">
        <f>COUNTIFS(tbl_data[2:T3C],$A43,tbl_data[T3],$F$3)</f>
        <v>0</v>
      </c>
      <c r="BM43" s="198">
        <f>COUNTIFS(tbl_data[3:T3C],$A43,tbl_data[T3],$F$3)</f>
        <v>0</v>
      </c>
      <c r="BN43" s="198">
        <f t="shared" si="5"/>
        <v>1</v>
      </c>
      <c r="BO43" s="199" t="str">
        <f t="shared" si="13"/>
        <v>School/Education Drop Out (1)</v>
      </c>
      <c r="BQ43" t="str">
        <f t="shared" si="6"/>
        <v>School/Education Drop Out</v>
      </c>
      <c r="BR43">
        <f t="shared" si="7"/>
        <v>3</v>
      </c>
      <c r="BS43" t="s">
        <v>922</v>
      </c>
      <c r="BU43" s="275" t="s">
        <v>922</v>
      </c>
    </row>
    <row r="44" spans="1:73" x14ac:dyDescent="0.25">
      <c r="A44" s="203" t="s">
        <v>203</v>
      </c>
      <c r="B44" s="205">
        <f>COUNTIFS(tbl_data[12. Consultation Group of],$A$2,tbl_data[1:T1C],$A44,tbl_data[T1],$A$3)</f>
        <v>0</v>
      </c>
      <c r="C44" s="198">
        <f>COUNTIFS(tbl_data[12. Consultation Group of],$A$2,tbl_data[2:T1C],$A44,tbl_data[T1],$A$3)</f>
        <v>0</v>
      </c>
      <c r="D44" s="198">
        <f>COUNTIFS(tbl_data[12. Consultation Group of],$A$2,tbl_data[3:T1C],$A44,tbl_data[T1],$A$3)</f>
        <v>0</v>
      </c>
      <c r="E44" s="198">
        <f>COUNTIFS(tbl_data[12. Consultation Group of],$A$2,tbl_data[1:T2C],$A44,tbl_data[T2],$A$3)</f>
        <v>0</v>
      </c>
      <c r="F44" s="198">
        <f>COUNTIFS(tbl_data[12. Consultation Group of],$A$2,tbl_data[2:T2C],$A44,tbl_data[T2],$A$3)</f>
        <v>0</v>
      </c>
      <c r="G44" s="198">
        <f>COUNTIFS(tbl_data[12. Consultation Group of],$A$2,tbl_data[3:T2C],$A44,tbl_data[T2],$A$3)</f>
        <v>0</v>
      </c>
      <c r="H44" s="198">
        <f>COUNTIFS(tbl_data[12. Consultation Group of],$A$2,tbl_data[1:T3C],$A44,tbl_data[T3],$A$3)</f>
        <v>0</v>
      </c>
      <c r="I44" s="198">
        <f>COUNTIFS(tbl_data[12. Consultation Group of],$A$2,tbl_data[2:T3C],$A44,tbl_data[T3],$A$3)</f>
        <v>0</v>
      </c>
      <c r="J44" s="198">
        <f>COUNTIFS(tbl_data[12. Consultation Group of],$A$2,tbl_data[3:T3C],$A44,tbl_data[T3],$A$3)</f>
        <v>0</v>
      </c>
      <c r="K44" s="198">
        <f t="shared" si="0"/>
        <v>0</v>
      </c>
      <c r="L44" s="199" t="str">
        <f t="shared" si="8"/>
        <v>Increased Money Borrowing (0)</v>
      </c>
      <c r="M44" s="205">
        <f>COUNTIFS(tbl_data[12. Consultation Group of],$B$2,tbl_data[1:T1C],$A44,tbl_data[T1],$B$3)</f>
        <v>0</v>
      </c>
      <c r="N44" s="198">
        <f>COUNTIFS(tbl_data[12. Consultation Group of],$B$2,tbl_data[2:T1C],$A44,tbl_data[T1],$B$3)</f>
        <v>0</v>
      </c>
      <c r="O44" s="198">
        <f>COUNTIFS(tbl_data[12. Consultation Group of],$B$2,tbl_data[3:T1C],$A44,tbl_data[T1],$B$3)</f>
        <v>0</v>
      </c>
      <c r="P44" s="198">
        <f>COUNTIFS(tbl_data[12. Consultation Group of],$B$2,tbl_data[1:T2C],$A44,tbl_data[T2],$B$3)</f>
        <v>0</v>
      </c>
      <c r="Q44" s="198">
        <f>COUNTIFS(tbl_data[12. Consultation Group of],$B$2,tbl_data[2:T2C],$A44,tbl_data[T2],$B$3)</f>
        <v>0</v>
      </c>
      <c r="R44" s="198">
        <f>COUNTIFS(tbl_data[12. Consultation Group of],$B$2,tbl_data[3:T2C],$A44,tbl_data[T2],$B$3)</f>
        <v>0</v>
      </c>
      <c r="S44" s="198">
        <f>COUNTIFS(tbl_data[12. Consultation Group of],$B$2,tbl_data[1:T3C],$A44,tbl_data[T3],$B$3)</f>
        <v>0</v>
      </c>
      <c r="T44" s="198">
        <f>COUNTIFS(tbl_data[12. Consultation Group of],$B$2,tbl_data[2:T3C],$A44,tbl_data[T3],$B$3)</f>
        <v>0</v>
      </c>
      <c r="U44" s="198">
        <f>COUNTIFS(tbl_data[12. Consultation Group of],$B$2,tbl_data[3:T3C],$A44,tbl_data[T3],$B$3)</f>
        <v>0</v>
      </c>
      <c r="V44" s="198">
        <f t="shared" si="1"/>
        <v>0</v>
      </c>
      <c r="W44" s="199" t="str">
        <f t="shared" si="9"/>
        <v>Increased Money Borrowing (0)</v>
      </c>
      <c r="X44" s="205">
        <f>COUNTIFS(tbl_data[12. Consultation Group of],$C$2,tbl_data[1:T1C],$A44,tbl_data[T1],$C$3)</f>
        <v>0</v>
      </c>
      <c r="Y44" s="198">
        <f>COUNTIFS(tbl_data[12. Consultation Group of],$C$2,tbl_data[2:T1C],$A44,tbl_data[T1],$C$3)</f>
        <v>0</v>
      </c>
      <c r="Z44" s="198">
        <f>COUNTIFS(tbl_data[12. Consultation Group of],$C$2,tbl_data[3:T1C],$A44,tbl_data[T1],$C$3)</f>
        <v>0</v>
      </c>
      <c r="AA44" s="198">
        <f>COUNTIFS(tbl_data[12. Consultation Group of],$C$2,tbl_data[1:T2C],$A44,tbl_data[T2],$C$3)</f>
        <v>0</v>
      </c>
      <c r="AB44" s="198">
        <f>COUNTIFS(tbl_data[12. Consultation Group of],$C$2,tbl_data[2:T2C],$A44,tbl_data[T2],$C$3)</f>
        <v>0</v>
      </c>
      <c r="AC44" s="198">
        <f>COUNTIFS(tbl_data[12. Consultation Group of],$C$2,tbl_data[3:T2C],$A44,tbl_data[T2],$C$3)</f>
        <v>0</v>
      </c>
      <c r="AD44" s="198">
        <f>COUNTIFS(tbl_data[12. Consultation Group of],$C$2,tbl_data[1:T3C],$A44,tbl_data[T3],$C$3)</f>
        <v>0</v>
      </c>
      <c r="AE44" s="198">
        <f>COUNTIFS(tbl_data[12. Consultation Group of],$C$2,tbl_data[2:T3C],$A44,tbl_data[T3],$C$3)</f>
        <v>0</v>
      </c>
      <c r="AF44" s="198">
        <f>COUNTIFS(tbl_data[12. Consultation Group of],$C$2,tbl_data[3:T3C],$A44,tbl_data[T3],$C$3)</f>
        <v>0</v>
      </c>
      <c r="AG44" s="198">
        <f t="shared" si="2"/>
        <v>0</v>
      </c>
      <c r="AH44" s="199" t="str">
        <f t="shared" si="10"/>
        <v>Increased Money Borrowing (0)</v>
      </c>
      <c r="AI44" s="205">
        <f>COUNTIFS(tbl_data[12. Consultation Group of],$D$2,tbl_data[1:T1C],$A44,tbl_data[T1],$D$3)</f>
        <v>0</v>
      </c>
      <c r="AJ44" s="198">
        <f>COUNTIFS(tbl_data[12. Consultation Group of],$D$2,tbl_data[2:T1C],$A44,tbl_data[T1],$D$3)</f>
        <v>0</v>
      </c>
      <c r="AK44" s="198">
        <f>COUNTIFS(tbl_data[12. Consultation Group of],$D$2,tbl_data[3:T1C],$A44,tbl_data[T1],$D$3)</f>
        <v>0</v>
      </c>
      <c r="AL44" s="198">
        <f>COUNTIFS(tbl_data[12. Consultation Group of],$D$2,tbl_data[1:T2C],$A44,tbl_data[T2],$D$3)</f>
        <v>0</v>
      </c>
      <c r="AM44" s="198">
        <f>COUNTIFS(tbl_data[12. Consultation Group of],$D$2,tbl_data[2:T2C],$A44,tbl_data[T2],$D$3)</f>
        <v>0</v>
      </c>
      <c r="AN44" s="198">
        <f>COUNTIFS(tbl_data[12. Consultation Group of],$D$2,tbl_data[3:T2C],$A44,tbl_data[T2],$D$3)</f>
        <v>0</v>
      </c>
      <c r="AO44" s="198">
        <f>COUNTIFS(tbl_data[12. Consultation Group of],$D$2,tbl_data[1:T3C],$A44,tbl_data[T3],$D$3)</f>
        <v>0</v>
      </c>
      <c r="AP44" s="198">
        <f>COUNTIFS(tbl_data[12. Consultation Group of],$D$2,tbl_data[2:T3C],$A44,tbl_data[T3],$D$3)</f>
        <v>0</v>
      </c>
      <c r="AQ44" s="198">
        <f>COUNTIFS(tbl_data[12. Consultation Group of],$D$2,tbl_data[3:T3C],$A44,tbl_data[T3],$D$3)</f>
        <v>0</v>
      </c>
      <c r="AR44" s="198">
        <f t="shared" si="3"/>
        <v>0</v>
      </c>
      <c r="AS44" s="199" t="str">
        <f t="shared" si="11"/>
        <v>Increased Money Borrowing (0)</v>
      </c>
      <c r="AT44" s="205">
        <f>COUNTIFS(tbl_data[12. Consultation Group of],$E$2,tbl_data[1:T1C],$A44,tbl_data[T1],$E$3)</f>
        <v>0</v>
      </c>
      <c r="AU44" s="198">
        <f>COUNTIFS(tbl_data[12. Consultation Group of],$E$2,tbl_data[2:T1C],$A44,tbl_data[T1],$E$3)</f>
        <v>0</v>
      </c>
      <c r="AV44" s="198">
        <f>COUNTIFS(tbl_data[12. Consultation Group of],$E$2,tbl_data[3:T1C],$A44,tbl_data[T1],$E$3)</f>
        <v>0</v>
      </c>
      <c r="AW44" s="198">
        <f>COUNTIFS(tbl_data[12. Consultation Group of],$E$2,tbl_data[1:T2C],$A44,tbl_data[T2],$E$3)</f>
        <v>0</v>
      </c>
      <c r="AX44" s="198">
        <f>COUNTIFS(tbl_data[12. Consultation Group of],$E$2,tbl_data[2:T2C],$A44,tbl_data[T2],$E$3)</f>
        <v>0</v>
      </c>
      <c r="AY44" s="198">
        <f>COUNTIFS(tbl_data[12. Consultation Group of],$E$2,tbl_data[3:T2C],$A44,tbl_data[T2],$E$3)</f>
        <v>0</v>
      </c>
      <c r="AZ44" s="198">
        <f>COUNTIFS(tbl_data[12. Consultation Group of],$E$2,tbl_data[1:T3C],$A44,tbl_data[T3],$E$3)</f>
        <v>0</v>
      </c>
      <c r="BA44" s="198">
        <f>COUNTIFS(tbl_data[12. Consultation Group of],$E$2,tbl_data[2:T3C],$A44,tbl_data[T3],$E$3)</f>
        <v>0</v>
      </c>
      <c r="BB44" s="198">
        <f>COUNTIFS(tbl_data[12. Consultation Group of],$E$2,tbl_data[3:T3C],$A44,tbl_data[T3],$E$3)</f>
        <v>0</v>
      </c>
      <c r="BC44" s="198">
        <f t="shared" si="4"/>
        <v>0</v>
      </c>
      <c r="BD44" s="199" t="str">
        <f t="shared" si="12"/>
        <v>Increased Money Borrowing (0)</v>
      </c>
      <c r="BE44" s="205">
        <f>COUNTIFS(tbl_data[1:T1C],$A44,tbl_data[T1],$F$3)</f>
        <v>0</v>
      </c>
      <c r="BF44" s="198">
        <f>COUNTIFS(tbl_data[2:T1C],$A44,tbl_data[T1],$F$3)</f>
        <v>0</v>
      </c>
      <c r="BG44" s="198">
        <f>COUNTIFS(tbl_data[3:T1C],$A44,tbl_data[T1],$F$3)</f>
        <v>0</v>
      </c>
      <c r="BH44" s="198">
        <f>COUNTIFS(tbl_data[1:T2C],$A44,tbl_data[T2],$F$3)</f>
        <v>0</v>
      </c>
      <c r="BI44" s="198">
        <f>COUNTIFS(tbl_data[2:T2C],$A44,tbl_data[T2],$F$3)</f>
        <v>0</v>
      </c>
      <c r="BJ44" s="198">
        <f>COUNTIFS(tbl_data[3:T2C],$A44,tbl_data[T2],$F$3)</f>
        <v>0</v>
      </c>
      <c r="BK44" s="198">
        <f>COUNTIFS(tbl_data[1:T3C],$A44,tbl_data[T3],$F$3)</f>
        <v>0</v>
      </c>
      <c r="BL44" s="198">
        <f>COUNTIFS(tbl_data[2:T3C],$A44,tbl_data[T3],$F$3)</f>
        <v>0</v>
      </c>
      <c r="BM44" s="198">
        <f>COUNTIFS(tbl_data[3:T3C],$A44,tbl_data[T3],$F$3)</f>
        <v>0</v>
      </c>
      <c r="BN44" s="198">
        <f t="shared" si="5"/>
        <v>0</v>
      </c>
      <c r="BO44" s="199" t="str">
        <f t="shared" si="13"/>
        <v>Increased Money Borrowing (0)</v>
      </c>
      <c r="BQ44" t="str">
        <f t="shared" si="6"/>
        <v>Increased Money Borrowing</v>
      </c>
      <c r="BR44">
        <f t="shared" si="7"/>
        <v>0</v>
      </c>
    </row>
    <row r="45" spans="1:73" x14ac:dyDescent="0.25">
      <c r="A45" s="203" t="s">
        <v>259</v>
      </c>
      <c r="B45" s="205">
        <f>COUNTIFS(tbl_data[12. Consultation Group of],$A$2,tbl_data[1:T1C],$A45,tbl_data[T1],$A$3)</f>
        <v>0</v>
      </c>
      <c r="C45" s="198">
        <f>COUNTIFS(tbl_data[12. Consultation Group of],$A$2,tbl_data[2:T1C],$A45,tbl_data[T1],$A$3)</f>
        <v>0</v>
      </c>
      <c r="D45" s="198">
        <f>COUNTIFS(tbl_data[12. Consultation Group of],$A$2,tbl_data[3:T1C],$A45,tbl_data[T1],$A$3)</f>
        <v>0</v>
      </c>
      <c r="E45" s="198">
        <f>COUNTIFS(tbl_data[12. Consultation Group of],$A$2,tbl_data[1:T2C],$A45,tbl_data[T2],$A$3)</f>
        <v>0</v>
      </c>
      <c r="F45" s="198">
        <f>COUNTIFS(tbl_data[12. Consultation Group of],$A$2,tbl_data[2:T2C],$A45,tbl_data[T2],$A$3)</f>
        <v>0</v>
      </c>
      <c r="G45" s="198">
        <f>COUNTIFS(tbl_data[12. Consultation Group of],$A$2,tbl_data[3:T2C],$A45,tbl_data[T2],$A$3)</f>
        <v>0</v>
      </c>
      <c r="H45" s="198">
        <f>COUNTIFS(tbl_data[12. Consultation Group of],$A$2,tbl_data[1:T3C],$A45,tbl_data[T3],$A$3)</f>
        <v>0</v>
      </c>
      <c r="I45" s="198">
        <f>COUNTIFS(tbl_data[12. Consultation Group of],$A$2,tbl_data[2:T3C],$A45,tbl_data[T3],$A$3)</f>
        <v>0</v>
      </c>
      <c r="J45" s="198">
        <f>COUNTIFS(tbl_data[12. Consultation Group of],$A$2,tbl_data[3:T3C],$A45,tbl_data[T3],$A$3)</f>
        <v>0</v>
      </c>
      <c r="K45" s="198">
        <f t="shared" si="0"/>
        <v>0</v>
      </c>
      <c r="L45" s="199" t="str">
        <f t="shared" si="8"/>
        <v>Hopelessness (0)</v>
      </c>
      <c r="M45" s="205">
        <f>COUNTIFS(tbl_data[12. Consultation Group of],$B$2,tbl_data[1:T1C],$A45,tbl_data[T1],$B$3)</f>
        <v>0</v>
      </c>
      <c r="N45" s="198">
        <f>COUNTIFS(tbl_data[12. Consultation Group of],$B$2,tbl_data[2:T1C],$A45,tbl_data[T1],$B$3)</f>
        <v>0</v>
      </c>
      <c r="O45" s="198">
        <f>COUNTIFS(tbl_data[12. Consultation Group of],$B$2,tbl_data[3:T1C],$A45,tbl_data[T1],$B$3)</f>
        <v>0</v>
      </c>
      <c r="P45" s="198">
        <f>COUNTIFS(tbl_data[12. Consultation Group of],$B$2,tbl_data[1:T2C],$A45,tbl_data[T2],$B$3)</f>
        <v>0</v>
      </c>
      <c r="Q45" s="198">
        <f>COUNTIFS(tbl_data[12. Consultation Group of],$B$2,tbl_data[2:T2C],$A45,tbl_data[T2],$B$3)</f>
        <v>0</v>
      </c>
      <c r="R45" s="198">
        <f>COUNTIFS(tbl_data[12. Consultation Group of],$B$2,tbl_data[3:T2C],$A45,tbl_data[T2],$B$3)</f>
        <v>0</v>
      </c>
      <c r="S45" s="198">
        <f>COUNTIFS(tbl_data[12. Consultation Group of],$B$2,tbl_data[1:T3C],$A45,tbl_data[T3],$B$3)</f>
        <v>0</v>
      </c>
      <c r="T45" s="198">
        <f>COUNTIFS(tbl_data[12. Consultation Group of],$B$2,tbl_data[2:T3C],$A45,tbl_data[T3],$B$3)</f>
        <v>0</v>
      </c>
      <c r="U45" s="198">
        <f>COUNTIFS(tbl_data[12. Consultation Group of],$B$2,tbl_data[3:T3C],$A45,tbl_data[T3],$B$3)</f>
        <v>0</v>
      </c>
      <c r="V45" s="198">
        <f t="shared" si="1"/>
        <v>0</v>
      </c>
      <c r="W45" s="199" t="str">
        <f t="shared" si="9"/>
        <v>Hopelessness (0)</v>
      </c>
      <c r="X45" s="205">
        <f>COUNTIFS(tbl_data[12. Consultation Group of],$C$2,tbl_data[1:T1C],$A45,tbl_data[T1],$C$3)</f>
        <v>0</v>
      </c>
      <c r="Y45" s="198">
        <f>COUNTIFS(tbl_data[12. Consultation Group of],$C$2,tbl_data[2:T1C],$A45,tbl_data[T1],$C$3)</f>
        <v>0</v>
      </c>
      <c r="Z45" s="198">
        <f>COUNTIFS(tbl_data[12. Consultation Group of],$C$2,tbl_data[3:T1C],$A45,tbl_data[T1],$C$3)</f>
        <v>0</v>
      </c>
      <c r="AA45" s="198">
        <f>COUNTIFS(tbl_data[12. Consultation Group of],$C$2,tbl_data[1:T2C],$A45,tbl_data[T2],$C$3)</f>
        <v>0</v>
      </c>
      <c r="AB45" s="198">
        <f>COUNTIFS(tbl_data[12. Consultation Group of],$C$2,tbl_data[2:T2C],$A45,tbl_data[T2],$C$3)</f>
        <v>0</v>
      </c>
      <c r="AC45" s="198">
        <f>COUNTIFS(tbl_data[12. Consultation Group of],$C$2,tbl_data[3:T2C],$A45,tbl_data[T2],$C$3)</f>
        <v>0</v>
      </c>
      <c r="AD45" s="198">
        <f>COUNTIFS(tbl_data[12. Consultation Group of],$C$2,tbl_data[1:T3C],$A45,tbl_data[T3],$C$3)</f>
        <v>0</v>
      </c>
      <c r="AE45" s="198">
        <f>COUNTIFS(tbl_data[12. Consultation Group of],$C$2,tbl_data[2:T3C],$A45,tbl_data[T3],$C$3)</f>
        <v>0</v>
      </c>
      <c r="AF45" s="198">
        <f>COUNTIFS(tbl_data[12. Consultation Group of],$C$2,tbl_data[3:T3C],$A45,tbl_data[T3],$C$3)</f>
        <v>0</v>
      </c>
      <c r="AG45" s="198">
        <f t="shared" si="2"/>
        <v>0</v>
      </c>
      <c r="AH45" s="199" t="str">
        <f t="shared" si="10"/>
        <v>Hopelessness (0)</v>
      </c>
      <c r="AI45" s="205">
        <f>COUNTIFS(tbl_data[12. Consultation Group of],$D$2,tbl_data[1:T1C],$A45,tbl_data[T1],$D$3)</f>
        <v>0</v>
      </c>
      <c r="AJ45" s="198">
        <f>COUNTIFS(tbl_data[12. Consultation Group of],$D$2,tbl_data[2:T1C],$A45,tbl_data[T1],$D$3)</f>
        <v>0</v>
      </c>
      <c r="AK45" s="198">
        <f>COUNTIFS(tbl_data[12. Consultation Group of],$D$2,tbl_data[3:T1C],$A45,tbl_data[T1],$D$3)</f>
        <v>0</v>
      </c>
      <c r="AL45" s="198">
        <f>COUNTIFS(tbl_data[12. Consultation Group of],$D$2,tbl_data[1:T2C],$A45,tbl_data[T2],$D$3)</f>
        <v>0</v>
      </c>
      <c r="AM45" s="198">
        <f>COUNTIFS(tbl_data[12. Consultation Group of],$D$2,tbl_data[2:T2C],$A45,tbl_data[T2],$D$3)</f>
        <v>0</v>
      </c>
      <c r="AN45" s="198">
        <f>COUNTIFS(tbl_data[12. Consultation Group of],$D$2,tbl_data[3:T2C],$A45,tbl_data[T2],$D$3)</f>
        <v>0</v>
      </c>
      <c r="AO45" s="198">
        <f>COUNTIFS(tbl_data[12. Consultation Group of],$D$2,tbl_data[1:T3C],$A45,tbl_data[T3],$D$3)</f>
        <v>0</v>
      </c>
      <c r="AP45" s="198">
        <f>COUNTIFS(tbl_data[12. Consultation Group of],$D$2,tbl_data[2:T3C],$A45,tbl_data[T3],$D$3)</f>
        <v>0</v>
      </c>
      <c r="AQ45" s="198">
        <f>COUNTIFS(tbl_data[12. Consultation Group of],$D$2,tbl_data[3:T3C],$A45,tbl_data[T3],$D$3)</f>
        <v>0</v>
      </c>
      <c r="AR45" s="198">
        <f t="shared" si="3"/>
        <v>0</v>
      </c>
      <c r="AS45" s="199" t="str">
        <f t="shared" si="11"/>
        <v>Hopelessness (0)</v>
      </c>
      <c r="AT45" s="205">
        <f>COUNTIFS(tbl_data[12. Consultation Group of],$E$2,tbl_data[1:T1C],$A45,tbl_data[T1],$E$3)</f>
        <v>0</v>
      </c>
      <c r="AU45" s="198">
        <f>COUNTIFS(tbl_data[12. Consultation Group of],$E$2,tbl_data[2:T1C],$A45,tbl_data[T1],$E$3)</f>
        <v>0</v>
      </c>
      <c r="AV45" s="198">
        <f>COUNTIFS(tbl_data[12. Consultation Group of],$E$2,tbl_data[3:T1C],$A45,tbl_data[T1],$E$3)</f>
        <v>0</v>
      </c>
      <c r="AW45" s="198">
        <f>COUNTIFS(tbl_data[12. Consultation Group of],$E$2,tbl_data[1:T2C],$A45,tbl_data[T2],$E$3)</f>
        <v>0</v>
      </c>
      <c r="AX45" s="198">
        <f>COUNTIFS(tbl_data[12. Consultation Group of],$E$2,tbl_data[2:T2C],$A45,tbl_data[T2],$E$3)</f>
        <v>0</v>
      </c>
      <c r="AY45" s="198">
        <f>COUNTIFS(tbl_data[12. Consultation Group of],$E$2,tbl_data[3:T2C],$A45,tbl_data[T2],$E$3)</f>
        <v>0</v>
      </c>
      <c r="AZ45" s="198">
        <f>COUNTIFS(tbl_data[12. Consultation Group of],$E$2,tbl_data[1:T3C],$A45,tbl_data[T3],$E$3)</f>
        <v>0</v>
      </c>
      <c r="BA45" s="198">
        <f>COUNTIFS(tbl_data[12. Consultation Group of],$E$2,tbl_data[2:T3C],$A45,tbl_data[T3],$E$3)</f>
        <v>0</v>
      </c>
      <c r="BB45" s="198">
        <f>COUNTIFS(tbl_data[12. Consultation Group of],$E$2,tbl_data[3:T3C],$A45,tbl_data[T3],$E$3)</f>
        <v>0</v>
      </c>
      <c r="BC45" s="198">
        <f t="shared" si="4"/>
        <v>0</v>
      </c>
      <c r="BD45" s="199" t="str">
        <f t="shared" si="12"/>
        <v>Hopelessness (0)</v>
      </c>
      <c r="BE45" s="205">
        <f>COUNTIFS(tbl_data[1:T1C],$A45,tbl_data[T1],$F$3)</f>
        <v>0</v>
      </c>
      <c r="BF45" s="198">
        <f>COUNTIFS(tbl_data[2:T1C],$A45,tbl_data[T1],$F$3)</f>
        <v>0</v>
      </c>
      <c r="BG45" s="198">
        <f>COUNTIFS(tbl_data[3:T1C],$A45,tbl_data[T1],$F$3)</f>
        <v>0</v>
      </c>
      <c r="BH45" s="198">
        <f>COUNTIFS(tbl_data[1:T2C],$A45,tbl_data[T2],$F$3)</f>
        <v>0</v>
      </c>
      <c r="BI45" s="198">
        <f>COUNTIFS(tbl_data[2:T2C],$A45,tbl_data[T2],$F$3)</f>
        <v>0</v>
      </c>
      <c r="BJ45" s="198">
        <f>COUNTIFS(tbl_data[3:T2C],$A45,tbl_data[T2],$F$3)</f>
        <v>0</v>
      </c>
      <c r="BK45" s="198">
        <f>COUNTIFS(tbl_data[1:T3C],$A45,tbl_data[T3],$F$3)</f>
        <v>0</v>
      </c>
      <c r="BL45" s="198">
        <f>COUNTIFS(tbl_data[2:T3C],$A45,tbl_data[T3],$F$3)</f>
        <v>0</v>
      </c>
      <c r="BM45" s="198">
        <f>COUNTIFS(tbl_data[3:T3C],$A45,tbl_data[T3],$F$3)</f>
        <v>0</v>
      </c>
      <c r="BN45" s="198">
        <f t="shared" si="5"/>
        <v>0</v>
      </c>
      <c r="BO45" s="199" t="str">
        <f t="shared" si="13"/>
        <v>Hopelessness (0)</v>
      </c>
      <c r="BQ45" t="str">
        <f t="shared" si="6"/>
        <v>Hopelessness</v>
      </c>
      <c r="BR45">
        <f t="shared" si="7"/>
        <v>0</v>
      </c>
    </row>
    <row r="46" spans="1:73" x14ac:dyDescent="0.25">
      <c r="A46" s="203" t="s">
        <v>307</v>
      </c>
      <c r="B46" s="205">
        <f>COUNTIFS(tbl_data[12. Consultation Group of],$A$2,tbl_data[1:T1C],$A46,tbl_data[T1],$A$3)</f>
        <v>0</v>
      </c>
      <c r="C46" s="198">
        <f>COUNTIFS(tbl_data[12. Consultation Group of],$A$2,tbl_data[2:T1C],$A46,tbl_data[T1],$A$3)</f>
        <v>0</v>
      </c>
      <c r="D46" s="198">
        <f>COUNTIFS(tbl_data[12. Consultation Group of],$A$2,tbl_data[3:T1C],$A46,tbl_data[T1],$A$3)</f>
        <v>0</v>
      </c>
      <c r="E46" s="198">
        <f>COUNTIFS(tbl_data[12. Consultation Group of],$A$2,tbl_data[1:T2C],$A46,tbl_data[T2],$A$3)</f>
        <v>0</v>
      </c>
      <c r="F46" s="198">
        <f>COUNTIFS(tbl_data[12. Consultation Group of],$A$2,tbl_data[2:T2C],$A46,tbl_data[T2],$A$3)</f>
        <v>0</v>
      </c>
      <c r="G46" s="198">
        <f>COUNTIFS(tbl_data[12. Consultation Group of],$A$2,tbl_data[3:T2C],$A46,tbl_data[T2],$A$3)</f>
        <v>0</v>
      </c>
      <c r="H46" s="198">
        <f>COUNTIFS(tbl_data[12. Consultation Group of],$A$2,tbl_data[1:T3C],$A46,tbl_data[T3],$A$3)</f>
        <v>0</v>
      </c>
      <c r="I46" s="198">
        <f>COUNTIFS(tbl_data[12. Consultation Group of],$A$2,tbl_data[2:T3C],$A46,tbl_data[T3],$A$3)</f>
        <v>0</v>
      </c>
      <c r="J46" s="198">
        <f>COUNTIFS(tbl_data[12. Consultation Group of],$A$2,tbl_data[3:T3C],$A46,tbl_data[T3],$A$3)</f>
        <v>0</v>
      </c>
      <c r="K46" s="198">
        <f t="shared" si="0"/>
        <v>0</v>
      </c>
      <c r="L46" s="199" t="str">
        <f t="shared" si="8"/>
        <v>Impoverishment (0)</v>
      </c>
      <c r="M46" s="205">
        <f>COUNTIFS(tbl_data[12. Consultation Group of],$B$2,tbl_data[1:T1C],$A46,tbl_data[T1],$B$3)</f>
        <v>0</v>
      </c>
      <c r="N46" s="198">
        <f>COUNTIFS(tbl_data[12. Consultation Group of],$B$2,tbl_data[2:T1C],$A46,tbl_data[T1],$B$3)</f>
        <v>0</v>
      </c>
      <c r="O46" s="198">
        <f>COUNTIFS(tbl_data[12. Consultation Group of],$B$2,tbl_data[3:T1C],$A46,tbl_data[T1],$B$3)</f>
        <v>0</v>
      </c>
      <c r="P46" s="198">
        <f>COUNTIFS(tbl_data[12. Consultation Group of],$B$2,tbl_data[1:T2C],$A46,tbl_data[T2],$B$3)</f>
        <v>0</v>
      </c>
      <c r="Q46" s="198">
        <f>COUNTIFS(tbl_data[12. Consultation Group of],$B$2,tbl_data[2:T2C],$A46,tbl_data[T2],$B$3)</f>
        <v>0</v>
      </c>
      <c r="R46" s="198">
        <f>COUNTIFS(tbl_data[12. Consultation Group of],$B$2,tbl_data[3:T2C],$A46,tbl_data[T2],$B$3)</f>
        <v>0</v>
      </c>
      <c r="S46" s="198">
        <f>COUNTIFS(tbl_data[12. Consultation Group of],$B$2,tbl_data[1:T3C],$A46,tbl_data[T3],$B$3)</f>
        <v>0</v>
      </c>
      <c r="T46" s="198">
        <f>COUNTIFS(tbl_data[12. Consultation Group of],$B$2,tbl_data[2:T3C],$A46,tbl_data[T3],$B$3)</f>
        <v>0</v>
      </c>
      <c r="U46" s="198">
        <f>COUNTIFS(tbl_data[12. Consultation Group of],$B$2,tbl_data[3:T3C],$A46,tbl_data[T3],$B$3)</f>
        <v>0</v>
      </c>
      <c r="V46" s="198">
        <f t="shared" si="1"/>
        <v>0</v>
      </c>
      <c r="W46" s="199" t="str">
        <f t="shared" si="9"/>
        <v>Impoverishment (0)</v>
      </c>
      <c r="X46" s="205">
        <f>COUNTIFS(tbl_data[12. Consultation Group of],$C$2,tbl_data[1:T1C],$A46,tbl_data[T1],$C$3)</f>
        <v>0</v>
      </c>
      <c r="Y46" s="198">
        <f>COUNTIFS(tbl_data[12. Consultation Group of],$C$2,tbl_data[2:T1C],$A46,tbl_data[T1],$C$3)</f>
        <v>0</v>
      </c>
      <c r="Z46" s="198">
        <f>COUNTIFS(tbl_data[12. Consultation Group of],$C$2,tbl_data[3:T1C],$A46,tbl_data[T1],$C$3)</f>
        <v>0</v>
      </c>
      <c r="AA46" s="198">
        <f>COUNTIFS(tbl_data[12. Consultation Group of],$C$2,tbl_data[1:T2C],$A46,tbl_data[T2],$C$3)</f>
        <v>0</v>
      </c>
      <c r="AB46" s="198">
        <f>COUNTIFS(tbl_data[12. Consultation Group of],$C$2,tbl_data[2:T2C],$A46,tbl_data[T2],$C$3)</f>
        <v>0</v>
      </c>
      <c r="AC46" s="198">
        <f>COUNTIFS(tbl_data[12. Consultation Group of],$C$2,tbl_data[3:T2C],$A46,tbl_data[T2],$C$3)</f>
        <v>0</v>
      </c>
      <c r="AD46" s="198">
        <f>COUNTIFS(tbl_data[12. Consultation Group of],$C$2,tbl_data[1:T3C],$A46,tbl_data[T3],$C$3)</f>
        <v>0</v>
      </c>
      <c r="AE46" s="198">
        <f>COUNTIFS(tbl_data[12. Consultation Group of],$C$2,tbl_data[2:T3C],$A46,tbl_data[T3],$C$3)</f>
        <v>0</v>
      </c>
      <c r="AF46" s="198">
        <f>COUNTIFS(tbl_data[12. Consultation Group of],$C$2,tbl_data[3:T3C],$A46,tbl_data[T3],$C$3)</f>
        <v>0</v>
      </c>
      <c r="AG46" s="198">
        <f t="shared" si="2"/>
        <v>0</v>
      </c>
      <c r="AH46" s="199" t="str">
        <f t="shared" si="10"/>
        <v>Impoverishment (0)</v>
      </c>
      <c r="AI46" s="205">
        <f>COUNTIFS(tbl_data[12. Consultation Group of],$D$2,tbl_data[1:T1C],$A46,tbl_data[T1],$D$3)</f>
        <v>0</v>
      </c>
      <c r="AJ46" s="198">
        <f>COUNTIFS(tbl_data[12. Consultation Group of],$D$2,tbl_data[2:T1C],$A46,tbl_data[T1],$D$3)</f>
        <v>0</v>
      </c>
      <c r="AK46" s="198">
        <f>COUNTIFS(tbl_data[12. Consultation Group of],$D$2,tbl_data[3:T1C],$A46,tbl_data[T1],$D$3)</f>
        <v>0</v>
      </c>
      <c r="AL46" s="198">
        <f>COUNTIFS(tbl_data[12. Consultation Group of],$D$2,tbl_data[1:T2C],$A46,tbl_data[T2],$D$3)</f>
        <v>0</v>
      </c>
      <c r="AM46" s="198">
        <f>COUNTIFS(tbl_data[12. Consultation Group of],$D$2,tbl_data[2:T2C],$A46,tbl_data[T2],$D$3)</f>
        <v>0</v>
      </c>
      <c r="AN46" s="198">
        <f>COUNTIFS(tbl_data[12. Consultation Group of],$D$2,tbl_data[3:T2C],$A46,tbl_data[T2],$D$3)</f>
        <v>0</v>
      </c>
      <c r="AO46" s="198">
        <f>COUNTIFS(tbl_data[12. Consultation Group of],$D$2,tbl_data[1:T3C],$A46,tbl_data[T3],$D$3)</f>
        <v>0</v>
      </c>
      <c r="AP46" s="198">
        <f>COUNTIFS(tbl_data[12. Consultation Group of],$D$2,tbl_data[2:T3C],$A46,tbl_data[T3],$D$3)</f>
        <v>0</v>
      </c>
      <c r="AQ46" s="198">
        <f>COUNTIFS(tbl_data[12. Consultation Group of],$D$2,tbl_data[3:T3C],$A46,tbl_data[T3],$D$3)</f>
        <v>0</v>
      </c>
      <c r="AR46" s="198">
        <f t="shared" si="3"/>
        <v>0</v>
      </c>
      <c r="AS46" s="199" t="str">
        <f t="shared" si="11"/>
        <v>Impoverishment (0)</v>
      </c>
      <c r="AT46" s="205">
        <f>COUNTIFS(tbl_data[12. Consultation Group of],$E$2,tbl_data[1:T1C],$A46,tbl_data[T1],$E$3)</f>
        <v>0</v>
      </c>
      <c r="AU46" s="198">
        <f>COUNTIFS(tbl_data[12. Consultation Group of],$E$2,tbl_data[2:T1C],$A46,tbl_data[T1],$E$3)</f>
        <v>0</v>
      </c>
      <c r="AV46" s="198">
        <f>COUNTIFS(tbl_data[12. Consultation Group of],$E$2,tbl_data[3:T1C],$A46,tbl_data[T1],$E$3)</f>
        <v>0</v>
      </c>
      <c r="AW46" s="198">
        <f>COUNTIFS(tbl_data[12. Consultation Group of],$E$2,tbl_data[1:T2C],$A46,tbl_data[T2],$E$3)</f>
        <v>0</v>
      </c>
      <c r="AX46" s="198">
        <f>COUNTIFS(tbl_data[12. Consultation Group of],$E$2,tbl_data[2:T2C],$A46,tbl_data[T2],$E$3)</f>
        <v>0</v>
      </c>
      <c r="AY46" s="198">
        <f>COUNTIFS(tbl_data[12. Consultation Group of],$E$2,tbl_data[3:T2C],$A46,tbl_data[T2],$E$3)</f>
        <v>0</v>
      </c>
      <c r="AZ46" s="198">
        <f>COUNTIFS(tbl_data[12. Consultation Group of],$E$2,tbl_data[1:T3C],$A46,tbl_data[T3],$E$3)</f>
        <v>0</v>
      </c>
      <c r="BA46" s="198">
        <f>COUNTIFS(tbl_data[12. Consultation Group of],$E$2,tbl_data[2:T3C],$A46,tbl_data[T3],$E$3)</f>
        <v>0</v>
      </c>
      <c r="BB46" s="198">
        <f>COUNTIFS(tbl_data[12. Consultation Group of],$E$2,tbl_data[3:T3C],$A46,tbl_data[T3],$E$3)</f>
        <v>0</v>
      </c>
      <c r="BC46" s="198">
        <f t="shared" si="4"/>
        <v>0</v>
      </c>
      <c r="BD46" s="199" t="str">
        <f t="shared" si="12"/>
        <v>Impoverishment (0)</v>
      </c>
      <c r="BE46" s="205">
        <f>COUNTIFS(tbl_data[1:T1C],$A46,tbl_data[T1],$F$3)</f>
        <v>0</v>
      </c>
      <c r="BF46" s="198">
        <f>COUNTIFS(tbl_data[2:T1C],$A46,tbl_data[T1],$F$3)</f>
        <v>0</v>
      </c>
      <c r="BG46" s="198">
        <f>COUNTIFS(tbl_data[3:T1C],$A46,tbl_data[T1],$F$3)</f>
        <v>0</v>
      </c>
      <c r="BH46" s="198">
        <f>COUNTIFS(tbl_data[1:T2C],$A46,tbl_data[T2],$F$3)</f>
        <v>0</v>
      </c>
      <c r="BI46" s="198">
        <f>COUNTIFS(tbl_data[2:T2C],$A46,tbl_data[T2],$F$3)</f>
        <v>0</v>
      </c>
      <c r="BJ46" s="198">
        <f>COUNTIFS(tbl_data[3:T2C],$A46,tbl_data[T2],$F$3)</f>
        <v>0</v>
      </c>
      <c r="BK46" s="198">
        <f>COUNTIFS(tbl_data[1:T3C],$A46,tbl_data[T3],$F$3)</f>
        <v>0</v>
      </c>
      <c r="BL46" s="198">
        <f>COUNTIFS(tbl_data[2:T3C],$A46,tbl_data[T3],$F$3)</f>
        <v>0</v>
      </c>
      <c r="BM46" s="198">
        <f>COUNTIFS(tbl_data[3:T3C],$A46,tbl_data[T3],$F$3)</f>
        <v>0</v>
      </c>
      <c r="BN46" s="198">
        <f t="shared" si="5"/>
        <v>0</v>
      </c>
      <c r="BO46" s="199" t="str">
        <f t="shared" si="13"/>
        <v>Impoverishment (0)</v>
      </c>
      <c r="BQ46" t="str">
        <f t="shared" si="6"/>
        <v>Impoverishment</v>
      </c>
      <c r="BR46">
        <f t="shared" si="7"/>
        <v>0</v>
      </c>
    </row>
    <row r="47" spans="1:73" x14ac:dyDescent="0.25">
      <c r="A47" s="203" t="s">
        <v>451</v>
      </c>
      <c r="B47" s="205">
        <f>COUNTIFS(tbl_data[12. Consultation Group of],$A$2,tbl_data[1:T1C],$A47,tbl_data[T1],$A$3)</f>
        <v>0</v>
      </c>
      <c r="C47" s="198">
        <f>COUNTIFS(tbl_data[12. Consultation Group of],$A$2,tbl_data[2:T1C],$A47,tbl_data[T1],$A$3)</f>
        <v>0</v>
      </c>
      <c r="D47" s="198">
        <f>COUNTIFS(tbl_data[12. Consultation Group of],$A$2,tbl_data[3:T1C],$A47,tbl_data[T1],$A$3)</f>
        <v>0</v>
      </c>
      <c r="E47" s="198">
        <f>COUNTIFS(tbl_data[12. Consultation Group of],$A$2,tbl_data[1:T2C],$A47,tbl_data[T2],$A$3)</f>
        <v>0</v>
      </c>
      <c r="F47" s="198">
        <f>COUNTIFS(tbl_data[12. Consultation Group of],$A$2,tbl_data[2:T2C],$A47,tbl_data[T2],$A$3)</f>
        <v>0</v>
      </c>
      <c r="G47" s="198">
        <f>COUNTIFS(tbl_data[12. Consultation Group of],$A$2,tbl_data[3:T2C],$A47,tbl_data[T2],$A$3)</f>
        <v>0</v>
      </c>
      <c r="H47" s="198">
        <f>COUNTIFS(tbl_data[12. Consultation Group of],$A$2,tbl_data[1:T3C],$A47,tbl_data[T3],$A$3)</f>
        <v>0</v>
      </c>
      <c r="I47" s="198">
        <f>COUNTIFS(tbl_data[12. Consultation Group of],$A$2,tbl_data[2:T3C],$A47,tbl_data[T3],$A$3)</f>
        <v>0</v>
      </c>
      <c r="J47" s="198">
        <f>COUNTIFS(tbl_data[12. Consultation Group of],$A$2,tbl_data[3:T3C],$A47,tbl_data[T3],$A$3)</f>
        <v>0</v>
      </c>
      <c r="K47" s="198">
        <f t="shared" si="0"/>
        <v>0</v>
      </c>
      <c r="L47" s="199" t="str">
        <f t="shared" si="8"/>
        <v>Sanitation problems (0)</v>
      </c>
      <c r="M47" s="205">
        <f>COUNTIFS(tbl_data[12. Consultation Group of],$B$2,tbl_data[1:T1C],$A47,tbl_data[T1],$B$3)</f>
        <v>0</v>
      </c>
      <c r="N47" s="198">
        <f>COUNTIFS(tbl_data[12. Consultation Group of],$B$2,tbl_data[2:T1C],$A47,tbl_data[T1],$B$3)</f>
        <v>0</v>
      </c>
      <c r="O47" s="198">
        <f>COUNTIFS(tbl_data[12. Consultation Group of],$B$2,tbl_data[3:T1C],$A47,tbl_data[T1],$B$3)</f>
        <v>0</v>
      </c>
      <c r="P47" s="198">
        <f>COUNTIFS(tbl_data[12. Consultation Group of],$B$2,tbl_data[1:T2C],$A47,tbl_data[T2],$B$3)</f>
        <v>0</v>
      </c>
      <c r="Q47" s="198">
        <f>COUNTIFS(tbl_data[12. Consultation Group of],$B$2,tbl_data[2:T2C],$A47,tbl_data[T2],$B$3)</f>
        <v>0</v>
      </c>
      <c r="R47" s="198">
        <f>COUNTIFS(tbl_data[12. Consultation Group of],$B$2,tbl_data[3:T2C],$A47,tbl_data[T2],$B$3)</f>
        <v>0</v>
      </c>
      <c r="S47" s="198">
        <f>COUNTIFS(tbl_data[12. Consultation Group of],$B$2,tbl_data[1:T3C],$A47,tbl_data[T3],$B$3)</f>
        <v>0</v>
      </c>
      <c r="T47" s="198">
        <f>COUNTIFS(tbl_data[12. Consultation Group of],$B$2,tbl_data[2:T3C],$A47,tbl_data[T3],$B$3)</f>
        <v>0</v>
      </c>
      <c r="U47" s="198">
        <f>COUNTIFS(tbl_data[12. Consultation Group of],$B$2,tbl_data[3:T3C],$A47,tbl_data[T3],$B$3)</f>
        <v>0</v>
      </c>
      <c r="V47" s="198">
        <f t="shared" si="1"/>
        <v>0</v>
      </c>
      <c r="W47" s="199" t="str">
        <f t="shared" si="9"/>
        <v>Sanitation problems (0)</v>
      </c>
      <c r="X47" s="205">
        <f>COUNTIFS(tbl_data[12. Consultation Group of],$C$2,tbl_data[1:T1C],$A47,tbl_data[T1],$C$3)</f>
        <v>0</v>
      </c>
      <c r="Y47" s="198">
        <f>COUNTIFS(tbl_data[12. Consultation Group of],$C$2,tbl_data[2:T1C],$A47,tbl_data[T1],$C$3)</f>
        <v>0</v>
      </c>
      <c r="Z47" s="198">
        <f>COUNTIFS(tbl_data[12. Consultation Group of],$C$2,tbl_data[3:T1C],$A47,tbl_data[T1],$C$3)</f>
        <v>0</v>
      </c>
      <c r="AA47" s="198">
        <f>COUNTIFS(tbl_data[12. Consultation Group of],$C$2,tbl_data[1:T2C],$A47,tbl_data[T2],$C$3)</f>
        <v>0</v>
      </c>
      <c r="AB47" s="198">
        <f>COUNTIFS(tbl_data[12. Consultation Group of],$C$2,tbl_data[2:T2C],$A47,tbl_data[T2],$C$3)</f>
        <v>0</v>
      </c>
      <c r="AC47" s="198">
        <f>COUNTIFS(tbl_data[12. Consultation Group of],$C$2,tbl_data[3:T2C],$A47,tbl_data[T2],$C$3)</f>
        <v>0</v>
      </c>
      <c r="AD47" s="198">
        <f>COUNTIFS(tbl_data[12. Consultation Group of],$C$2,tbl_data[1:T3C],$A47,tbl_data[T3],$C$3)</f>
        <v>0</v>
      </c>
      <c r="AE47" s="198">
        <f>COUNTIFS(tbl_data[12. Consultation Group of],$C$2,tbl_data[2:T3C],$A47,tbl_data[T3],$C$3)</f>
        <v>0</v>
      </c>
      <c r="AF47" s="198">
        <f>COUNTIFS(tbl_data[12. Consultation Group of],$C$2,tbl_data[3:T3C],$A47,tbl_data[T3],$C$3)</f>
        <v>0</v>
      </c>
      <c r="AG47" s="198">
        <f t="shared" si="2"/>
        <v>0</v>
      </c>
      <c r="AH47" s="199" t="str">
        <f t="shared" si="10"/>
        <v>Sanitation problems (0)</v>
      </c>
      <c r="AI47" s="205">
        <f>COUNTIFS(tbl_data[12. Consultation Group of],$D$2,tbl_data[1:T1C],$A47,tbl_data[T1],$D$3)</f>
        <v>0</v>
      </c>
      <c r="AJ47" s="198">
        <f>COUNTIFS(tbl_data[12. Consultation Group of],$D$2,tbl_data[2:T1C],$A47,tbl_data[T1],$D$3)</f>
        <v>0</v>
      </c>
      <c r="AK47" s="198">
        <f>COUNTIFS(tbl_data[12. Consultation Group of],$D$2,tbl_data[3:T1C],$A47,tbl_data[T1],$D$3)</f>
        <v>0</v>
      </c>
      <c r="AL47" s="198">
        <f>COUNTIFS(tbl_data[12. Consultation Group of],$D$2,tbl_data[1:T2C],$A47,tbl_data[T2],$D$3)</f>
        <v>0</v>
      </c>
      <c r="AM47" s="198">
        <f>COUNTIFS(tbl_data[12. Consultation Group of],$D$2,tbl_data[2:T2C],$A47,tbl_data[T2],$D$3)</f>
        <v>0</v>
      </c>
      <c r="AN47" s="198">
        <f>COUNTIFS(tbl_data[12. Consultation Group of],$D$2,tbl_data[3:T2C],$A47,tbl_data[T2],$D$3)</f>
        <v>0</v>
      </c>
      <c r="AO47" s="198">
        <f>COUNTIFS(tbl_data[12. Consultation Group of],$D$2,tbl_data[1:T3C],$A47,tbl_data[T3],$D$3)</f>
        <v>0</v>
      </c>
      <c r="AP47" s="198">
        <f>COUNTIFS(tbl_data[12. Consultation Group of],$D$2,tbl_data[2:T3C],$A47,tbl_data[T3],$D$3)</f>
        <v>0</v>
      </c>
      <c r="AQ47" s="198">
        <f>COUNTIFS(tbl_data[12. Consultation Group of],$D$2,tbl_data[3:T3C],$A47,tbl_data[T3],$D$3)</f>
        <v>0</v>
      </c>
      <c r="AR47" s="198">
        <f t="shared" si="3"/>
        <v>0</v>
      </c>
      <c r="AS47" s="199" t="str">
        <f t="shared" si="11"/>
        <v>Sanitation problems (0)</v>
      </c>
      <c r="AT47" s="205">
        <f>COUNTIFS(tbl_data[12. Consultation Group of],$E$2,tbl_data[1:T1C],$A47,tbl_data[T1],$E$3)</f>
        <v>0</v>
      </c>
      <c r="AU47" s="198">
        <f>COUNTIFS(tbl_data[12. Consultation Group of],$E$2,tbl_data[2:T1C],$A47,tbl_data[T1],$E$3)</f>
        <v>0</v>
      </c>
      <c r="AV47" s="198">
        <f>COUNTIFS(tbl_data[12. Consultation Group of],$E$2,tbl_data[3:T1C],$A47,tbl_data[T1],$E$3)</f>
        <v>0</v>
      </c>
      <c r="AW47" s="198">
        <f>COUNTIFS(tbl_data[12. Consultation Group of],$E$2,tbl_data[1:T2C],$A47,tbl_data[T2],$E$3)</f>
        <v>0</v>
      </c>
      <c r="AX47" s="198">
        <f>COUNTIFS(tbl_data[12. Consultation Group of],$E$2,tbl_data[2:T2C],$A47,tbl_data[T2],$E$3)</f>
        <v>0</v>
      </c>
      <c r="AY47" s="198">
        <f>COUNTIFS(tbl_data[12. Consultation Group of],$E$2,tbl_data[3:T2C],$A47,tbl_data[T2],$E$3)</f>
        <v>0</v>
      </c>
      <c r="AZ47" s="198">
        <f>COUNTIFS(tbl_data[12. Consultation Group of],$E$2,tbl_data[1:T3C],$A47,tbl_data[T3],$E$3)</f>
        <v>0</v>
      </c>
      <c r="BA47" s="198">
        <f>COUNTIFS(tbl_data[12. Consultation Group of],$E$2,tbl_data[2:T3C],$A47,tbl_data[T3],$E$3)</f>
        <v>0</v>
      </c>
      <c r="BB47" s="198">
        <f>COUNTIFS(tbl_data[12. Consultation Group of],$E$2,tbl_data[3:T3C],$A47,tbl_data[T3],$E$3)</f>
        <v>0</v>
      </c>
      <c r="BC47" s="198">
        <f t="shared" si="4"/>
        <v>0</v>
      </c>
      <c r="BD47" s="199" t="str">
        <f t="shared" si="12"/>
        <v>Sanitation problems (0)</v>
      </c>
      <c r="BE47" s="205">
        <f>COUNTIFS(tbl_data[1:T1C],$A47,tbl_data[T1],$F$3)</f>
        <v>0</v>
      </c>
      <c r="BF47" s="198">
        <f>COUNTIFS(tbl_data[2:T1C],$A47,tbl_data[T1],$F$3)</f>
        <v>0</v>
      </c>
      <c r="BG47" s="198">
        <f>COUNTIFS(tbl_data[3:T1C],$A47,tbl_data[T1],$F$3)</f>
        <v>0</v>
      </c>
      <c r="BH47" s="198">
        <f>COUNTIFS(tbl_data[1:T2C],$A47,tbl_data[T2],$F$3)</f>
        <v>0</v>
      </c>
      <c r="BI47" s="198">
        <f>COUNTIFS(tbl_data[2:T2C],$A47,tbl_data[T2],$F$3)</f>
        <v>0</v>
      </c>
      <c r="BJ47" s="198">
        <f>COUNTIFS(tbl_data[3:T2C],$A47,tbl_data[T2],$F$3)</f>
        <v>0</v>
      </c>
      <c r="BK47" s="198">
        <f>COUNTIFS(tbl_data[1:T3C],$A47,tbl_data[T3],$F$3)</f>
        <v>0</v>
      </c>
      <c r="BL47" s="198">
        <f>COUNTIFS(tbl_data[2:T3C],$A47,tbl_data[T3],$F$3)</f>
        <v>0</v>
      </c>
      <c r="BM47" s="198">
        <f>COUNTIFS(tbl_data[3:T3C],$A47,tbl_data[T3],$F$3)</f>
        <v>0</v>
      </c>
      <c r="BN47" s="198">
        <f t="shared" si="5"/>
        <v>0</v>
      </c>
      <c r="BO47" s="199" t="str">
        <f t="shared" si="13"/>
        <v>Sanitation problems (0)</v>
      </c>
      <c r="BQ47" t="str">
        <f t="shared" si="6"/>
        <v>Sanitation problems</v>
      </c>
      <c r="BR47">
        <f t="shared" si="7"/>
        <v>0</v>
      </c>
    </row>
    <row r="48" spans="1:73" x14ac:dyDescent="0.25">
      <c r="A48" s="203" t="s">
        <v>480</v>
      </c>
      <c r="B48" s="205">
        <f>COUNTIFS(tbl_data[12. Consultation Group of],$A$2,tbl_data[1:T1C],$A48,tbl_data[T1],$A$3)</f>
        <v>0</v>
      </c>
      <c r="C48" s="198">
        <f>COUNTIFS(tbl_data[12. Consultation Group of],$A$2,tbl_data[2:T1C],$A48,tbl_data[T1],$A$3)</f>
        <v>0</v>
      </c>
      <c r="D48" s="198">
        <f>COUNTIFS(tbl_data[12. Consultation Group of],$A$2,tbl_data[3:T1C],$A48,tbl_data[T1],$A$3)</f>
        <v>0</v>
      </c>
      <c r="E48" s="198">
        <f>COUNTIFS(tbl_data[12. Consultation Group of],$A$2,tbl_data[1:T2C],$A48,tbl_data[T2],$A$3)</f>
        <v>0</v>
      </c>
      <c r="F48" s="198">
        <f>COUNTIFS(tbl_data[12. Consultation Group of],$A$2,tbl_data[2:T2C],$A48,tbl_data[T2],$A$3)</f>
        <v>0</v>
      </c>
      <c r="G48" s="198">
        <f>COUNTIFS(tbl_data[12. Consultation Group of],$A$2,tbl_data[3:T2C],$A48,tbl_data[T2],$A$3)</f>
        <v>0</v>
      </c>
      <c r="H48" s="198">
        <f>COUNTIFS(tbl_data[12. Consultation Group of],$A$2,tbl_data[1:T3C],$A48,tbl_data[T3],$A$3)</f>
        <v>0</v>
      </c>
      <c r="I48" s="198">
        <f>COUNTIFS(tbl_data[12. Consultation Group of],$A$2,tbl_data[2:T3C],$A48,tbl_data[T3],$A$3)</f>
        <v>0</v>
      </c>
      <c r="J48" s="198">
        <f>COUNTIFS(tbl_data[12. Consultation Group of],$A$2,tbl_data[3:T3C],$A48,tbl_data[T3],$A$3)</f>
        <v>0</v>
      </c>
      <c r="K48" s="198">
        <f t="shared" si="0"/>
        <v>0</v>
      </c>
      <c r="L48" s="199" t="str">
        <f t="shared" si="8"/>
        <v>Psychosocial Violence (0)</v>
      </c>
      <c r="M48" s="205">
        <f>COUNTIFS(tbl_data[12. Consultation Group of],$B$2,tbl_data[1:T1C],$A48,tbl_data[T1],$B$3)</f>
        <v>0</v>
      </c>
      <c r="N48" s="198">
        <f>COUNTIFS(tbl_data[12. Consultation Group of],$B$2,tbl_data[2:T1C],$A48,tbl_data[T1],$B$3)</f>
        <v>0</v>
      </c>
      <c r="O48" s="198">
        <f>COUNTIFS(tbl_data[12. Consultation Group of],$B$2,tbl_data[3:T1C],$A48,tbl_data[T1],$B$3)</f>
        <v>0</v>
      </c>
      <c r="P48" s="198">
        <f>COUNTIFS(tbl_data[12. Consultation Group of],$B$2,tbl_data[1:T2C],$A48,tbl_data[T2],$B$3)</f>
        <v>0</v>
      </c>
      <c r="Q48" s="198">
        <f>COUNTIFS(tbl_data[12. Consultation Group of],$B$2,tbl_data[2:T2C],$A48,tbl_data[T2],$B$3)</f>
        <v>0</v>
      </c>
      <c r="R48" s="198">
        <f>COUNTIFS(tbl_data[12. Consultation Group of],$B$2,tbl_data[3:T2C],$A48,tbl_data[T2],$B$3)</f>
        <v>0</v>
      </c>
      <c r="S48" s="198">
        <f>COUNTIFS(tbl_data[12. Consultation Group of],$B$2,tbl_data[1:T3C],$A48,tbl_data[T3],$B$3)</f>
        <v>0</v>
      </c>
      <c r="T48" s="198">
        <f>COUNTIFS(tbl_data[12. Consultation Group of],$B$2,tbl_data[2:T3C],$A48,tbl_data[T3],$B$3)</f>
        <v>0</v>
      </c>
      <c r="U48" s="198">
        <f>COUNTIFS(tbl_data[12. Consultation Group of],$B$2,tbl_data[3:T3C],$A48,tbl_data[T3],$B$3)</f>
        <v>0</v>
      </c>
      <c r="V48" s="198">
        <f t="shared" si="1"/>
        <v>0</v>
      </c>
      <c r="W48" s="199" t="str">
        <f t="shared" si="9"/>
        <v>Psychosocial Violence (0)</v>
      </c>
      <c r="X48" s="205">
        <f>COUNTIFS(tbl_data[12. Consultation Group of],$C$2,tbl_data[1:T1C],$A48,tbl_data[T1],$C$3)</f>
        <v>0</v>
      </c>
      <c r="Y48" s="198">
        <f>COUNTIFS(tbl_data[12. Consultation Group of],$C$2,tbl_data[2:T1C],$A48,tbl_data[T1],$C$3)</f>
        <v>0</v>
      </c>
      <c r="Z48" s="198">
        <f>COUNTIFS(tbl_data[12. Consultation Group of],$C$2,tbl_data[3:T1C],$A48,tbl_data[T1],$C$3)</f>
        <v>0</v>
      </c>
      <c r="AA48" s="198">
        <f>COUNTIFS(tbl_data[12. Consultation Group of],$C$2,tbl_data[1:T2C],$A48,tbl_data[T2],$C$3)</f>
        <v>0</v>
      </c>
      <c r="AB48" s="198">
        <f>COUNTIFS(tbl_data[12. Consultation Group of],$C$2,tbl_data[2:T2C],$A48,tbl_data[T2],$C$3)</f>
        <v>0</v>
      </c>
      <c r="AC48" s="198">
        <f>COUNTIFS(tbl_data[12. Consultation Group of],$C$2,tbl_data[3:T2C],$A48,tbl_data[T2],$C$3)</f>
        <v>0</v>
      </c>
      <c r="AD48" s="198">
        <f>COUNTIFS(tbl_data[12. Consultation Group of],$C$2,tbl_data[1:T3C],$A48,tbl_data[T3],$C$3)</f>
        <v>0</v>
      </c>
      <c r="AE48" s="198">
        <f>COUNTIFS(tbl_data[12. Consultation Group of],$C$2,tbl_data[2:T3C],$A48,tbl_data[T3],$C$3)</f>
        <v>0</v>
      </c>
      <c r="AF48" s="198">
        <f>COUNTIFS(tbl_data[12. Consultation Group of],$C$2,tbl_data[3:T3C],$A48,tbl_data[T3],$C$3)</f>
        <v>0</v>
      </c>
      <c r="AG48" s="198">
        <f t="shared" si="2"/>
        <v>0</v>
      </c>
      <c r="AH48" s="199" t="str">
        <f t="shared" si="10"/>
        <v>Psychosocial Violence (0)</v>
      </c>
      <c r="AI48" s="205">
        <f>COUNTIFS(tbl_data[12. Consultation Group of],$D$2,tbl_data[1:T1C],$A48,tbl_data[T1],$D$3)</f>
        <v>0</v>
      </c>
      <c r="AJ48" s="198">
        <f>COUNTIFS(tbl_data[12. Consultation Group of],$D$2,tbl_data[2:T1C],$A48,tbl_data[T1],$D$3)</f>
        <v>0</v>
      </c>
      <c r="AK48" s="198">
        <f>COUNTIFS(tbl_data[12. Consultation Group of],$D$2,tbl_data[3:T1C],$A48,tbl_data[T1],$D$3)</f>
        <v>0</v>
      </c>
      <c r="AL48" s="198">
        <f>COUNTIFS(tbl_data[12. Consultation Group of],$D$2,tbl_data[1:T2C],$A48,tbl_data[T2],$D$3)</f>
        <v>0</v>
      </c>
      <c r="AM48" s="198">
        <f>COUNTIFS(tbl_data[12. Consultation Group of],$D$2,tbl_data[2:T2C],$A48,tbl_data[T2],$D$3)</f>
        <v>0</v>
      </c>
      <c r="AN48" s="198">
        <f>COUNTIFS(tbl_data[12. Consultation Group of],$D$2,tbl_data[3:T2C],$A48,tbl_data[T2],$D$3)</f>
        <v>0</v>
      </c>
      <c r="AO48" s="198">
        <f>COUNTIFS(tbl_data[12. Consultation Group of],$D$2,tbl_data[1:T3C],$A48,tbl_data[T3],$D$3)</f>
        <v>0</v>
      </c>
      <c r="AP48" s="198">
        <f>COUNTIFS(tbl_data[12. Consultation Group of],$D$2,tbl_data[2:T3C],$A48,tbl_data[T3],$D$3)</f>
        <v>0</v>
      </c>
      <c r="AQ48" s="198">
        <f>COUNTIFS(tbl_data[12. Consultation Group of],$D$2,tbl_data[3:T3C],$A48,tbl_data[T3],$D$3)</f>
        <v>0</v>
      </c>
      <c r="AR48" s="198">
        <f t="shared" si="3"/>
        <v>0</v>
      </c>
      <c r="AS48" s="199" t="str">
        <f t="shared" si="11"/>
        <v>Psychosocial Violence (0)</v>
      </c>
      <c r="AT48" s="205">
        <f>COUNTIFS(tbl_data[12. Consultation Group of],$E$2,tbl_data[1:T1C],$A48,tbl_data[T1],$E$3)</f>
        <v>0</v>
      </c>
      <c r="AU48" s="198">
        <f>COUNTIFS(tbl_data[12. Consultation Group of],$E$2,tbl_data[2:T1C],$A48,tbl_data[T1],$E$3)</f>
        <v>0</v>
      </c>
      <c r="AV48" s="198">
        <f>COUNTIFS(tbl_data[12. Consultation Group of],$E$2,tbl_data[3:T1C],$A48,tbl_data[T1],$E$3)</f>
        <v>0</v>
      </c>
      <c r="AW48" s="198">
        <f>COUNTIFS(tbl_data[12. Consultation Group of],$E$2,tbl_data[1:T2C],$A48,tbl_data[T2],$E$3)</f>
        <v>0</v>
      </c>
      <c r="AX48" s="198">
        <f>COUNTIFS(tbl_data[12. Consultation Group of],$E$2,tbl_data[2:T2C],$A48,tbl_data[T2],$E$3)</f>
        <v>0</v>
      </c>
      <c r="AY48" s="198">
        <f>COUNTIFS(tbl_data[12. Consultation Group of],$E$2,tbl_data[3:T2C],$A48,tbl_data[T2],$E$3)</f>
        <v>0</v>
      </c>
      <c r="AZ48" s="198">
        <f>COUNTIFS(tbl_data[12. Consultation Group of],$E$2,tbl_data[1:T3C],$A48,tbl_data[T3],$E$3)</f>
        <v>0</v>
      </c>
      <c r="BA48" s="198">
        <f>COUNTIFS(tbl_data[12. Consultation Group of],$E$2,tbl_data[2:T3C],$A48,tbl_data[T3],$E$3)</f>
        <v>0</v>
      </c>
      <c r="BB48" s="198">
        <f>COUNTIFS(tbl_data[12. Consultation Group of],$E$2,tbl_data[3:T3C],$A48,tbl_data[T3],$E$3)</f>
        <v>0</v>
      </c>
      <c r="BC48" s="198">
        <f t="shared" si="4"/>
        <v>0</v>
      </c>
      <c r="BD48" s="199" t="str">
        <f t="shared" si="12"/>
        <v>Psychosocial Violence (0)</v>
      </c>
      <c r="BE48" s="205">
        <f>COUNTIFS(tbl_data[1:T1C],$A48,tbl_data[T1],$F$3)</f>
        <v>0</v>
      </c>
      <c r="BF48" s="198">
        <f>COUNTIFS(tbl_data[2:T1C],$A48,tbl_data[T1],$F$3)</f>
        <v>0</v>
      </c>
      <c r="BG48" s="198">
        <f>COUNTIFS(tbl_data[3:T1C],$A48,tbl_data[T1],$F$3)</f>
        <v>0</v>
      </c>
      <c r="BH48" s="198">
        <f>COUNTIFS(tbl_data[1:T2C],$A48,tbl_data[T2],$F$3)</f>
        <v>0</v>
      </c>
      <c r="BI48" s="198">
        <f>COUNTIFS(tbl_data[2:T2C],$A48,tbl_data[T2],$F$3)</f>
        <v>0</v>
      </c>
      <c r="BJ48" s="198">
        <f>COUNTIFS(tbl_data[3:T2C],$A48,tbl_data[T2],$F$3)</f>
        <v>0</v>
      </c>
      <c r="BK48" s="198">
        <f>COUNTIFS(tbl_data[1:T3C],$A48,tbl_data[T3],$F$3)</f>
        <v>0</v>
      </c>
      <c r="BL48" s="198">
        <f>COUNTIFS(tbl_data[2:T3C],$A48,tbl_data[T3],$F$3)</f>
        <v>0</v>
      </c>
      <c r="BM48" s="198">
        <f>COUNTIFS(tbl_data[3:T3C],$A48,tbl_data[T3],$F$3)</f>
        <v>0</v>
      </c>
      <c r="BN48" s="198">
        <f t="shared" si="5"/>
        <v>0</v>
      </c>
      <c r="BO48" s="199" t="str">
        <f t="shared" si="13"/>
        <v>Psychosocial Violence (0)</v>
      </c>
      <c r="BQ48" t="str">
        <f t="shared" si="6"/>
        <v>Psychosocial Violence</v>
      </c>
      <c r="BR48">
        <f t="shared" si="7"/>
        <v>0</v>
      </c>
    </row>
    <row r="49" spans="1:74" ht="15.75" thickBot="1" x14ac:dyDescent="0.3">
      <c r="A49" s="204" t="s">
        <v>498</v>
      </c>
      <c r="B49" s="206">
        <f>COUNTIFS(tbl_data[12. Consultation Group of],$A$2,tbl_data[1:T1C],$A49,tbl_data[T1],$A$3)</f>
        <v>0</v>
      </c>
      <c r="C49" s="200">
        <f>COUNTIFS(tbl_data[12. Consultation Group of],$A$2,tbl_data[2:T1C],$A49,tbl_data[T1],$A$3)</f>
        <v>0</v>
      </c>
      <c r="D49" s="200">
        <f>COUNTIFS(tbl_data[12. Consultation Group of],$A$2,tbl_data[3:T1C],$A49,tbl_data[T1],$A$3)</f>
        <v>0</v>
      </c>
      <c r="E49" s="200">
        <f>COUNTIFS(tbl_data[12. Consultation Group of],$A$2,tbl_data[1:T2C],$A49,tbl_data[T2],$A$3)</f>
        <v>0</v>
      </c>
      <c r="F49" s="200">
        <f>COUNTIFS(tbl_data[12. Consultation Group of],$A$2,tbl_data[2:T2C],$A49,tbl_data[T2],$A$3)</f>
        <v>0</v>
      </c>
      <c r="G49" s="200">
        <f>COUNTIFS(tbl_data[12. Consultation Group of],$A$2,tbl_data[3:T2C],$A49,tbl_data[T2],$A$3)</f>
        <v>0</v>
      </c>
      <c r="H49" s="200">
        <f>COUNTIFS(tbl_data[12. Consultation Group of],$A$2,tbl_data[1:T3C],$A49,tbl_data[T3],$A$3)</f>
        <v>0</v>
      </c>
      <c r="I49" s="200">
        <f>COUNTIFS(tbl_data[12. Consultation Group of],$A$2,tbl_data[2:T3C],$A49,tbl_data[T3],$A$3)</f>
        <v>0</v>
      </c>
      <c r="J49" s="200">
        <f>COUNTIFS(tbl_data[12. Consultation Group of],$A$2,tbl_data[3:T3C],$A49,tbl_data[T3],$A$3)</f>
        <v>0</v>
      </c>
      <c r="K49" s="200">
        <f t="shared" si="0"/>
        <v>0</v>
      </c>
      <c r="L49" s="201" t="str">
        <f>CONCATENATE($A49," (",K49,")")</f>
        <v>Lack of Peace and order (0)</v>
      </c>
      <c r="M49" s="206">
        <f>COUNTIFS(tbl_data[12. Consultation Group of],$B$2,tbl_data[1:T1C],$A49,tbl_data[T1],$B$3)</f>
        <v>0</v>
      </c>
      <c r="N49" s="200">
        <f>COUNTIFS(tbl_data[12. Consultation Group of],$B$2,tbl_data[2:T1C],$A49,tbl_data[T1],$B$3)</f>
        <v>0</v>
      </c>
      <c r="O49" s="200">
        <f>COUNTIFS(tbl_data[12. Consultation Group of],$B$2,tbl_data[3:T1C],$A49,tbl_data[T1],$B$3)</f>
        <v>0</v>
      </c>
      <c r="P49" s="200">
        <f>COUNTIFS(tbl_data[12. Consultation Group of],$B$2,tbl_data[1:T2C],$A49,tbl_data[T2],$B$3)</f>
        <v>0</v>
      </c>
      <c r="Q49" s="200">
        <f>COUNTIFS(tbl_data[12. Consultation Group of],$B$2,tbl_data[2:T2C],$A49,tbl_data[T2],$B$3)</f>
        <v>0</v>
      </c>
      <c r="R49" s="200">
        <f>COUNTIFS(tbl_data[12. Consultation Group of],$B$2,tbl_data[3:T2C],$A49,tbl_data[T2],$B$3)</f>
        <v>0</v>
      </c>
      <c r="S49" s="200">
        <f>COUNTIFS(tbl_data[12. Consultation Group of],$B$2,tbl_data[1:T3C],$A49,tbl_data[T3],$B$3)</f>
        <v>0</v>
      </c>
      <c r="T49" s="200">
        <f>COUNTIFS(tbl_data[12. Consultation Group of],$B$2,tbl_data[2:T3C],$A49,tbl_data[T3],$B$3)</f>
        <v>0</v>
      </c>
      <c r="U49" s="200">
        <f>COUNTIFS(tbl_data[12. Consultation Group of],$B$2,tbl_data[3:T3C],$A49,tbl_data[T3],$B$3)</f>
        <v>0</v>
      </c>
      <c r="V49" s="200">
        <f t="shared" si="1"/>
        <v>0</v>
      </c>
      <c r="W49" s="201" t="str">
        <f>CONCATENATE($A49," (",V49,")")</f>
        <v>Lack of Peace and order (0)</v>
      </c>
      <c r="X49" s="206">
        <f>COUNTIFS(tbl_data[12. Consultation Group of],$C$2,tbl_data[1:T1C],$A49,tbl_data[T1],$C$3)</f>
        <v>0</v>
      </c>
      <c r="Y49" s="200">
        <f>COUNTIFS(tbl_data[12. Consultation Group of],$C$2,tbl_data[2:T1C],$A49,tbl_data[T1],$C$3)</f>
        <v>0</v>
      </c>
      <c r="Z49" s="200">
        <f>COUNTIFS(tbl_data[12. Consultation Group of],$C$2,tbl_data[3:T1C],$A49,tbl_data[T1],$C$3)</f>
        <v>0</v>
      </c>
      <c r="AA49" s="200">
        <f>COUNTIFS(tbl_data[12. Consultation Group of],$C$2,tbl_data[1:T2C],$A49,tbl_data[T2],$C$3)</f>
        <v>0</v>
      </c>
      <c r="AB49" s="200">
        <f>COUNTIFS(tbl_data[12. Consultation Group of],$C$2,tbl_data[2:T2C],$A49,tbl_data[T2],$C$3)</f>
        <v>0</v>
      </c>
      <c r="AC49" s="200">
        <f>COUNTIFS(tbl_data[12. Consultation Group of],$C$2,tbl_data[3:T2C],$A49,tbl_data[T2],$C$3)</f>
        <v>0</v>
      </c>
      <c r="AD49" s="200">
        <f>COUNTIFS(tbl_data[12. Consultation Group of],$C$2,tbl_data[1:T3C],$A49,tbl_data[T3],$C$3)</f>
        <v>0</v>
      </c>
      <c r="AE49" s="200">
        <f>COUNTIFS(tbl_data[12. Consultation Group of],$C$2,tbl_data[2:T3C],$A49,tbl_data[T3],$C$3)</f>
        <v>0</v>
      </c>
      <c r="AF49" s="200">
        <f>COUNTIFS(tbl_data[12. Consultation Group of],$C$2,tbl_data[3:T3C],$A49,tbl_data[T3],$C$3)</f>
        <v>0</v>
      </c>
      <c r="AG49" s="200">
        <f t="shared" si="2"/>
        <v>0</v>
      </c>
      <c r="AH49" s="201" t="str">
        <f>CONCATENATE($A49," (",AG49,")")</f>
        <v>Lack of Peace and order (0)</v>
      </c>
      <c r="AI49" s="206">
        <f>COUNTIFS(tbl_data[12. Consultation Group of],$D$2,tbl_data[1:T1C],$A49,tbl_data[T1],$D$3)</f>
        <v>0</v>
      </c>
      <c r="AJ49" s="200">
        <f>COUNTIFS(tbl_data[12. Consultation Group of],$D$2,tbl_data[2:T1C],$A49,tbl_data[T1],$D$3)</f>
        <v>0</v>
      </c>
      <c r="AK49" s="200">
        <f>COUNTIFS(tbl_data[12. Consultation Group of],$D$2,tbl_data[3:T1C],$A49,tbl_data[T1],$D$3)</f>
        <v>0</v>
      </c>
      <c r="AL49" s="200">
        <f>COUNTIFS(tbl_data[12. Consultation Group of],$D$2,tbl_data[1:T2C],$A49,tbl_data[T2],$D$3)</f>
        <v>0</v>
      </c>
      <c r="AM49" s="200">
        <f>COUNTIFS(tbl_data[12. Consultation Group of],$D$2,tbl_data[2:T2C],$A49,tbl_data[T2],$D$3)</f>
        <v>0</v>
      </c>
      <c r="AN49" s="200">
        <f>COUNTIFS(tbl_data[12. Consultation Group of],$D$2,tbl_data[3:T2C],$A49,tbl_data[T2],$D$3)</f>
        <v>0</v>
      </c>
      <c r="AO49" s="200">
        <f>COUNTIFS(tbl_data[12. Consultation Group of],$D$2,tbl_data[1:T3C],$A49,tbl_data[T3],$D$3)</f>
        <v>0</v>
      </c>
      <c r="AP49" s="200">
        <f>COUNTIFS(tbl_data[12. Consultation Group of],$D$2,tbl_data[2:T3C],$A49,tbl_data[T3],$D$3)</f>
        <v>0</v>
      </c>
      <c r="AQ49" s="200">
        <f>COUNTIFS(tbl_data[12. Consultation Group of],$D$2,tbl_data[3:T3C],$A49,tbl_data[T3],$D$3)</f>
        <v>0</v>
      </c>
      <c r="AR49" s="200">
        <f t="shared" si="3"/>
        <v>0</v>
      </c>
      <c r="AS49" s="201" t="str">
        <f>CONCATENATE($A49," (",AR49,")")</f>
        <v>Lack of Peace and order (0)</v>
      </c>
      <c r="AT49" s="206">
        <f>COUNTIFS(tbl_data[12. Consultation Group of],$E$2,tbl_data[1:T1C],$A49,tbl_data[T1],$E$3)</f>
        <v>0</v>
      </c>
      <c r="AU49" s="200">
        <f>COUNTIFS(tbl_data[12. Consultation Group of],$E$2,tbl_data[2:T1C],$A49,tbl_data[T1],$E$3)</f>
        <v>0</v>
      </c>
      <c r="AV49" s="200">
        <f>COUNTIFS(tbl_data[12. Consultation Group of],$E$2,tbl_data[3:T1C],$A49,tbl_data[T1],$E$3)</f>
        <v>0</v>
      </c>
      <c r="AW49" s="200">
        <f>COUNTIFS(tbl_data[12. Consultation Group of],$E$2,tbl_data[1:T2C],$A49,tbl_data[T2],$E$3)</f>
        <v>0</v>
      </c>
      <c r="AX49" s="200">
        <f>COUNTIFS(tbl_data[12. Consultation Group of],$E$2,tbl_data[2:T2C],$A49,tbl_data[T2],$E$3)</f>
        <v>0</v>
      </c>
      <c r="AY49" s="200">
        <f>COUNTIFS(tbl_data[12. Consultation Group of],$E$2,tbl_data[3:T2C],$A49,tbl_data[T2],$E$3)</f>
        <v>0</v>
      </c>
      <c r="AZ49" s="200">
        <f>COUNTIFS(tbl_data[12. Consultation Group of],$E$2,tbl_data[1:T3C],$A49,tbl_data[T3],$E$3)</f>
        <v>0</v>
      </c>
      <c r="BA49" s="200">
        <f>COUNTIFS(tbl_data[12. Consultation Group of],$E$2,tbl_data[2:T3C],$A49,tbl_data[T3],$E$3)</f>
        <v>0</v>
      </c>
      <c r="BB49" s="200">
        <f>COUNTIFS(tbl_data[12. Consultation Group of],$E$2,tbl_data[3:T3C],$A49,tbl_data[T3],$E$3)</f>
        <v>0</v>
      </c>
      <c r="BC49" s="200">
        <f t="shared" si="4"/>
        <v>0</v>
      </c>
      <c r="BD49" s="201" t="str">
        <f>CONCATENATE($A49," (",BC49,")")</f>
        <v>Lack of Peace and order (0)</v>
      </c>
      <c r="BE49" s="206">
        <f>COUNTIFS(tbl_data[1:T1C],$A49,tbl_data[T1],$F$3)</f>
        <v>0</v>
      </c>
      <c r="BF49" s="200">
        <f>COUNTIFS(tbl_data[2:T1C],$A49,tbl_data[T1],$F$3)</f>
        <v>0</v>
      </c>
      <c r="BG49" s="200">
        <f>COUNTIFS(tbl_data[3:T1C],$A49,tbl_data[T1],$F$3)</f>
        <v>0</v>
      </c>
      <c r="BH49" s="200">
        <f>COUNTIFS(tbl_data[1:T2C],$A49,tbl_data[T2],$F$3)</f>
        <v>0</v>
      </c>
      <c r="BI49" s="200">
        <f>COUNTIFS(tbl_data[2:T2C],$A49,tbl_data[T2],$F$3)</f>
        <v>0</v>
      </c>
      <c r="BJ49" s="200">
        <f>COUNTIFS(tbl_data[3:T2C],$A49,tbl_data[T2],$F$3)</f>
        <v>0</v>
      </c>
      <c r="BK49" s="200">
        <f>COUNTIFS(tbl_data[1:T3C],$A49,tbl_data[T3],$F$3)</f>
        <v>0</v>
      </c>
      <c r="BL49" s="200">
        <f>COUNTIFS(tbl_data[2:T3C],$A49,tbl_data[T3],$F$3)</f>
        <v>0</v>
      </c>
      <c r="BM49" s="200">
        <f>COUNTIFS(tbl_data[3:T3C],$A49,tbl_data[T3],$F$3)</f>
        <v>0</v>
      </c>
      <c r="BN49" s="200">
        <f t="shared" si="5"/>
        <v>0</v>
      </c>
      <c r="BO49" s="201" t="str">
        <f>CONCATENATE($A49," (",BN49,")")</f>
        <v>Lack of Peace and order (0)</v>
      </c>
      <c r="BQ49" t="str">
        <f t="shared" si="6"/>
        <v>Lack of Peace and order</v>
      </c>
      <c r="BR49">
        <f t="shared" si="7"/>
        <v>0</v>
      </c>
    </row>
    <row r="50" spans="1:74" x14ac:dyDescent="0.25">
      <c r="A50" s="21"/>
      <c r="B50" s="21"/>
      <c r="C50" s="21"/>
      <c r="D50" s="21"/>
      <c r="E50" s="21"/>
      <c r="F50" s="21"/>
      <c r="G50" s="21"/>
      <c r="H50" s="21"/>
      <c r="I50" s="21"/>
      <c r="J50" s="21"/>
      <c r="K50" s="21">
        <f>SUM(K10:K49)</f>
        <v>17</v>
      </c>
      <c r="L50" s="21"/>
      <c r="M50" s="21"/>
      <c r="N50" s="21"/>
      <c r="O50" s="21"/>
      <c r="P50" s="21"/>
      <c r="Q50" s="21"/>
      <c r="R50" s="21"/>
      <c r="S50" s="21"/>
      <c r="T50" s="21"/>
      <c r="U50" s="21"/>
      <c r="V50" s="21">
        <f>SUM(V10:V49)</f>
        <v>9</v>
      </c>
      <c r="W50" s="21"/>
      <c r="X50" s="21"/>
      <c r="Y50" s="21"/>
      <c r="Z50" s="21"/>
      <c r="AA50" s="21"/>
      <c r="AB50" s="21"/>
      <c r="AC50" s="21"/>
      <c r="AD50" s="21"/>
      <c r="AE50" s="21"/>
      <c r="AF50" s="21"/>
      <c r="AG50" s="21">
        <f>SUM(AG10:AG49)</f>
        <v>7</v>
      </c>
      <c r="AH50" s="21"/>
      <c r="AI50" s="21"/>
      <c r="AJ50" s="21"/>
      <c r="AK50" s="21"/>
      <c r="AL50" s="21"/>
      <c r="AM50" s="21"/>
      <c r="AN50" s="21"/>
      <c r="AO50" s="21"/>
      <c r="AP50" s="21"/>
      <c r="AQ50" s="21"/>
      <c r="AR50" s="21">
        <f>SUM(AR10:AR49)</f>
        <v>18</v>
      </c>
      <c r="AS50" s="21"/>
      <c r="AT50" s="21"/>
      <c r="AU50" s="21"/>
      <c r="AV50" s="21"/>
      <c r="AW50" s="21"/>
      <c r="AX50" s="21"/>
      <c r="AY50" s="21"/>
      <c r="AZ50" s="21"/>
      <c r="BA50" s="21"/>
      <c r="BB50" s="21"/>
      <c r="BC50" s="21">
        <f>SUM(BC10:BC49)</f>
        <v>7</v>
      </c>
      <c r="BD50" s="21"/>
      <c r="BE50" s="21"/>
      <c r="BF50" s="21"/>
      <c r="BG50" s="21"/>
      <c r="BH50" s="21"/>
      <c r="BI50" s="21"/>
      <c r="BJ50" s="21"/>
      <c r="BK50" s="21"/>
      <c r="BL50" s="21"/>
      <c r="BM50" s="21"/>
      <c r="BN50" s="21">
        <f>SUM(BN10:BN49)</f>
        <v>45</v>
      </c>
      <c r="BO50" s="21"/>
      <c r="BP50">
        <f>BN50+BC50+AR50+AG50+V50+K50</f>
        <v>103</v>
      </c>
    </row>
    <row r="51" spans="1:74" x14ac:dyDescent="0.25">
      <c r="A51" s="215"/>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row>
    <row r="52" spans="1:74" ht="15.75" thickBot="1" x14ac:dyDescent="0.3">
      <c r="A52" s="207"/>
      <c r="B52" s="229" t="str">
        <f>$A$2</f>
        <v>Women</v>
      </c>
      <c r="C52" s="229"/>
      <c r="D52" s="229"/>
      <c r="E52" s="229"/>
      <c r="F52" s="229"/>
      <c r="G52" s="229"/>
      <c r="H52" s="229"/>
      <c r="I52" s="229"/>
      <c r="J52" s="229"/>
      <c r="K52" s="229"/>
      <c r="L52" s="229"/>
      <c r="M52" s="229" t="str">
        <f>$B$2</f>
        <v>Elderly</v>
      </c>
      <c r="N52" s="229"/>
      <c r="O52" s="229"/>
      <c r="P52" s="229"/>
      <c r="Q52" s="229"/>
      <c r="R52" s="229"/>
      <c r="S52" s="229"/>
      <c r="T52" s="229"/>
      <c r="U52" s="229"/>
      <c r="V52" s="229"/>
      <c r="W52" s="229"/>
      <c r="X52" s="229" t="str">
        <f>$C$2</f>
        <v>Children &amp; Youth</v>
      </c>
      <c r="Y52" s="229"/>
      <c r="Z52" s="229"/>
      <c r="AA52" s="229"/>
      <c r="AB52" s="229"/>
      <c r="AC52" s="229"/>
      <c r="AD52" s="229"/>
      <c r="AE52" s="229"/>
      <c r="AF52" s="229"/>
      <c r="AG52" s="229"/>
      <c r="AH52" s="229"/>
      <c r="AI52" s="229" t="str">
        <f>$D$2</f>
        <v>Men</v>
      </c>
      <c r="AJ52" s="229"/>
      <c r="AK52" s="229"/>
      <c r="AL52" s="229"/>
      <c r="AM52" s="229"/>
      <c r="AN52" s="229"/>
      <c r="AO52" s="229"/>
      <c r="AP52" s="229"/>
      <c r="AQ52" s="229"/>
      <c r="AR52" s="229"/>
      <c r="AS52" s="229"/>
      <c r="AT52" s="229" t="str">
        <f>$E$2</f>
        <v>Persons with disability</v>
      </c>
      <c r="AU52" s="229"/>
      <c r="AV52" s="229"/>
      <c r="AW52" s="229"/>
      <c r="AX52" s="229"/>
      <c r="AY52" s="229"/>
      <c r="AZ52" s="229"/>
      <c r="BA52" s="229"/>
      <c r="BB52" s="229"/>
      <c r="BC52" s="229"/>
      <c r="BD52" s="229"/>
      <c r="BE52" s="229" t="str">
        <f>$F$2</f>
        <v>All</v>
      </c>
      <c r="BF52" s="229"/>
      <c r="BG52" s="229"/>
      <c r="BH52" s="229"/>
      <c r="BI52" s="229"/>
      <c r="BJ52" s="229"/>
      <c r="BK52" s="229"/>
      <c r="BL52" s="229"/>
      <c r="BM52" s="229"/>
      <c r="BN52" s="229"/>
      <c r="BO52" s="229"/>
    </row>
    <row r="53" spans="1:74" ht="15.75" thickBot="1" x14ac:dyDescent="0.3">
      <c r="A53" s="207"/>
      <c r="B53" s="223" t="str">
        <f>$A$3</f>
        <v>Lack of Access to Water</v>
      </c>
      <c r="C53" s="223"/>
      <c r="D53" s="223"/>
      <c r="E53" s="223"/>
      <c r="F53" s="223"/>
      <c r="G53" s="223"/>
      <c r="H53" s="223"/>
      <c r="I53" s="223"/>
      <c r="J53" s="223"/>
      <c r="K53" s="223"/>
      <c r="L53" s="223"/>
      <c r="M53" s="223" t="str">
        <f>$B$3</f>
        <v>Earthquakes</v>
      </c>
      <c r="N53" s="223"/>
      <c r="O53" s="223"/>
      <c r="P53" s="223"/>
      <c r="Q53" s="223"/>
      <c r="R53" s="223"/>
      <c r="S53" s="223"/>
      <c r="T53" s="223"/>
      <c r="U53" s="223"/>
      <c r="V53" s="223"/>
      <c r="W53" s="223"/>
      <c r="X53" s="223" t="str">
        <f>$C$3</f>
        <v>Floods</v>
      </c>
      <c r="Y53" s="223"/>
      <c r="Z53" s="223"/>
      <c r="AA53" s="223"/>
      <c r="AB53" s="223"/>
      <c r="AC53" s="223"/>
      <c r="AD53" s="223"/>
      <c r="AE53" s="223"/>
      <c r="AF53" s="223"/>
      <c r="AG53" s="223"/>
      <c r="AH53" s="223"/>
      <c r="AI53" s="223" t="str">
        <f>$D$3</f>
        <v>Floods</v>
      </c>
      <c r="AJ53" s="223"/>
      <c r="AK53" s="223"/>
      <c r="AL53" s="223"/>
      <c r="AM53" s="223"/>
      <c r="AN53" s="223"/>
      <c r="AO53" s="223"/>
      <c r="AP53" s="223"/>
      <c r="AQ53" s="223"/>
      <c r="AR53" s="223"/>
      <c r="AS53" s="223"/>
      <c r="AT53" s="223" t="str">
        <f>$E$3</f>
        <v>Lack of Access to Basic Services</v>
      </c>
      <c r="AU53" s="223"/>
      <c r="AV53" s="223"/>
      <c r="AW53" s="223"/>
      <c r="AX53" s="223"/>
      <c r="AY53" s="223"/>
      <c r="AZ53" s="223"/>
      <c r="BA53" s="223"/>
      <c r="BB53" s="223"/>
      <c r="BC53" s="223"/>
      <c r="BD53" s="223"/>
      <c r="BE53" s="223" t="str">
        <f>$F$3</f>
        <v>Floods</v>
      </c>
      <c r="BF53" s="223"/>
      <c r="BG53" s="223"/>
      <c r="BH53" s="223"/>
      <c r="BI53" s="223"/>
      <c r="BJ53" s="223"/>
      <c r="BK53" s="223"/>
      <c r="BL53" s="223"/>
      <c r="BM53" s="223"/>
      <c r="BN53" s="223"/>
      <c r="BO53" s="223"/>
      <c r="BQ53" s="216" t="s">
        <v>892</v>
      </c>
      <c r="BR53" s="217" t="s">
        <v>804</v>
      </c>
      <c r="BS53" s="4" t="s">
        <v>921</v>
      </c>
    </row>
    <row r="54" spans="1:74" x14ac:dyDescent="0.25">
      <c r="A54" s="227" t="s">
        <v>892</v>
      </c>
      <c r="B54" s="225" t="s">
        <v>815</v>
      </c>
      <c r="C54" s="226"/>
      <c r="D54" s="226"/>
      <c r="E54" s="226"/>
      <c r="F54" s="226"/>
      <c r="G54" s="226"/>
      <c r="H54" s="226"/>
      <c r="I54" s="226"/>
      <c r="J54" s="226"/>
      <c r="K54" s="197"/>
      <c r="L54" s="196"/>
      <c r="M54" s="225" t="s">
        <v>815</v>
      </c>
      <c r="N54" s="226"/>
      <c r="O54" s="226"/>
      <c r="P54" s="226"/>
      <c r="Q54" s="226"/>
      <c r="R54" s="226"/>
      <c r="S54" s="226"/>
      <c r="T54" s="226"/>
      <c r="U54" s="226"/>
      <c r="V54" s="197"/>
      <c r="W54" s="196"/>
      <c r="X54" s="225" t="s">
        <v>815</v>
      </c>
      <c r="Y54" s="226"/>
      <c r="Z54" s="226"/>
      <c r="AA54" s="226"/>
      <c r="AB54" s="226"/>
      <c r="AC54" s="226"/>
      <c r="AD54" s="226"/>
      <c r="AE54" s="226"/>
      <c r="AF54" s="226"/>
      <c r="AG54" s="197"/>
      <c r="AH54" s="196"/>
      <c r="AI54" s="225" t="s">
        <v>815</v>
      </c>
      <c r="AJ54" s="226"/>
      <c r="AK54" s="226"/>
      <c r="AL54" s="226"/>
      <c r="AM54" s="226"/>
      <c r="AN54" s="226"/>
      <c r="AO54" s="226"/>
      <c r="AP54" s="226"/>
      <c r="AQ54" s="226"/>
      <c r="AR54" s="197"/>
      <c r="AS54" s="196"/>
      <c r="AT54" s="225" t="s">
        <v>815</v>
      </c>
      <c r="AU54" s="226"/>
      <c r="AV54" s="226"/>
      <c r="AW54" s="226"/>
      <c r="AX54" s="226"/>
      <c r="AY54" s="226"/>
      <c r="AZ54" s="226"/>
      <c r="BA54" s="226"/>
      <c r="BB54" s="226"/>
      <c r="BC54" s="197"/>
      <c r="BD54" s="196"/>
      <c r="BE54" s="225" t="s">
        <v>815</v>
      </c>
      <c r="BF54" s="226"/>
      <c r="BG54" s="226"/>
      <c r="BH54" s="226"/>
      <c r="BI54" s="226"/>
      <c r="BJ54" s="226"/>
      <c r="BK54" s="226"/>
      <c r="BL54" s="226"/>
      <c r="BM54" s="226"/>
      <c r="BN54" s="197"/>
      <c r="BO54" s="196"/>
    </row>
    <row r="55" spans="1:74" ht="15.75" thickBot="1" x14ac:dyDescent="0.3">
      <c r="A55" s="228"/>
      <c r="B55" s="208" t="s">
        <v>32</v>
      </c>
      <c r="C55" s="209" t="s">
        <v>33</v>
      </c>
      <c r="D55" s="209" t="s">
        <v>34</v>
      </c>
      <c r="E55" s="209" t="s">
        <v>42</v>
      </c>
      <c r="F55" s="209" t="s">
        <v>43</v>
      </c>
      <c r="G55" s="209" t="s">
        <v>44</v>
      </c>
      <c r="H55" s="209" t="s">
        <v>52</v>
      </c>
      <c r="I55" s="209" t="s">
        <v>53</v>
      </c>
      <c r="J55" s="209" t="s">
        <v>54</v>
      </c>
      <c r="K55" s="209" t="s">
        <v>700</v>
      </c>
      <c r="L55" s="210"/>
      <c r="M55" s="208" t="s">
        <v>32</v>
      </c>
      <c r="N55" s="209" t="s">
        <v>33</v>
      </c>
      <c r="O55" s="209" t="s">
        <v>34</v>
      </c>
      <c r="P55" s="209" t="s">
        <v>42</v>
      </c>
      <c r="Q55" s="209" t="s">
        <v>43</v>
      </c>
      <c r="R55" s="209" t="s">
        <v>44</v>
      </c>
      <c r="S55" s="209" t="s">
        <v>52</v>
      </c>
      <c r="T55" s="209" t="s">
        <v>53</v>
      </c>
      <c r="U55" s="209" t="s">
        <v>54</v>
      </c>
      <c r="V55" s="209" t="s">
        <v>700</v>
      </c>
      <c r="W55" s="210"/>
      <c r="X55" s="208" t="s">
        <v>32</v>
      </c>
      <c r="Y55" s="209" t="s">
        <v>33</v>
      </c>
      <c r="Z55" s="209" t="s">
        <v>34</v>
      </c>
      <c r="AA55" s="209" t="s">
        <v>42</v>
      </c>
      <c r="AB55" s="209" t="s">
        <v>43</v>
      </c>
      <c r="AC55" s="209" t="s">
        <v>44</v>
      </c>
      <c r="AD55" s="209" t="s">
        <v>52</v>
      </c>
      <c r="AE55" s="209" t="s">
        <v>53</v>
      </c>
      <c r="AF55" s="209" t="s">
        <v>54</v>
      </c>
      <c r="AG55" s="209" t="s">
        <v>700</v>
      </c>
      <c r="AH55" s="210"/>
      <c r="AI55" s="208" t="s">
        <v>32</v>
      </c>
      <c r="AJ55" s="209" t="s">
        <v>33</v>
      </c>
      <c r="AK55" s="209" t="s">
        <v>34</v>
      </c>
      <c r="AL55" s="209" t="s">
        <v>42</v>
      </c>
      <c r="AM55" s="209" t="s">
        <v>43</v>
      </c>
      <c r="AN55" s="209" t="s">
        <v>44</v>
      </c>
      <c r="AO55" s="209" t="s">
        <v>52</v>
      </c>
      <c r="AP55" s="209" t="s">
        <v>53</v>
      </c>
      <c r="AQ55" s="209" t="s">
        <v>54</v>
      </c>
      <c r="AR55" s="209" t="s">
        <v>700</v>
      </c>
      <c r="AS55" s="210"/>
      <c r="AT55" s="208" t="s">
        <v>32</v>
      </c>
      <c r="AU55" s="209" t="s">
        <v>33</v>
      </c>
      <c r="AV55" s="209" t="s">
        <v>34</v>
      </c>
      <c r="AW55" s="209" t="s">
        <v>42</v>
      </c>
      <c r="AX55" s="209" t="s">
        <v>43</v>
      </c>
      <c r="AY55" s="209" t="s">
        <v>44</v>
      </c>
      <c r="AZ55" s="209" t="s">
        <v>52</v>
      </c>
      <c r="BA55" s="209" t="s">
        <v>53</v>
      </c>
      <c r="BB55" s="209" t="s">
        <v>54</v>
      </c>
      <c r="BC55" s="209" t="s">
        <v>700</v>
      </c>
      <c r="BD55" s="210"/>
      <c r="BE55" s="208" t="s">
        <v>32</v>
      </c>
      <c r="BF55" s="209" t="s">
        <v>33</v>
      </c>
      <c r="BG55" s="209" t="s">
        <v>34</v>
      </c>
      <c r="BH55" s="209" t="s">
        <v>42</v>
      </c>
      <c r="BI55" s="209" t="s">
        <v>43</v>
      </c>
      <c r="BJ55" s="209" t="s">
        <v>44</v>
      </c>
      <c r="BK55" s="209" t="s">
        <v>52</v>
      </c>
      <c r="BL55" s="209" t="s">
        <v>53</v>
      </c>
      <c r="BM55" s="209" t="s">
        <v>54</v>
      </c>
      <c r="BN55" s="209" t="s">
        <v>700</v>
      </c>
      <c r="BO55" s="210"/>
    </row>
    <row r="56" spans="1:74" x14ac:dyDescent="0.25">
      <c r="A56" s="215" t="s">
        <v>163</v>
      </c>
      <c r="B56" s="205">
        <f>COUNTIFS(tbl_data[12. Consultation Group of],$A$2,tbl_data[1:T1B],$A56,tbl_data[T1],$A$3)</f>
        <v>2</v>
      </c>
      <c r="C56" s="198">
        <f>COUNTIFS(tbl_data[12. Consultation Group of],$A$2,tbl_data[2:T1B],$A56,tbl_data[T1],$A$3)</f>
        <v>1</v>
      </c>
      <c r="D56" s="198">
        <f>COUNTIFS(tbl_data[12. Consultation Group of],$A$2,tbl_data[3:T1B],$A56,tbl_data[T1],$A$3)</f>
        <v>2</v>
      </c>
      <c r="E56" s="198">
        <f>COUNTIFS(tbl_data[12. Consultation Group of],$A$2,tbl_data[1:T2B],$A56,tbl_data[T2],$A$3)</f>
        <v>1</v>
      </c>
      <c r="F56" s="198">
        <f>COUNTIFS(tbl_data[12. Consultation Group of],$A$2,tbl_data[2:T2B],$A56,tbl_data[T2],$A$3)</f>
        <v>0</v>
      </c>
      <c r="G56" s="198">
        <f>COUNTIFS(tbl_data[12. Consultation Group of],$A$2,tbl_data[3:T2B],$A56,tbl_data[T2],$A$3)</f>
        <v>0</v>
      </c>
      <c r="H56" s="198">
        <f>COUNTIFS(tbl_data[12. Consultation Group of],$A$2,tbl_data[1:T3B],$A56,tbl_data[T3],$A$3)</f>
        <v>0</v>
      </c>
      <c r="I56" s="198">
        <f>COUNTIFS(tbl_data[12. Consultation Group of],$A$2,tbl_data[2:T3B],$A56,tbl_data[T3],$A$3)</f>
        <v>0</v>
      </c>
      <c r="J56" s="198">
        <f>COUNTIFS(tbl_data[12. Consultation Group of],$A$2,tbl_data[3:T3B],$A56,tbl_data[T3],$A$3)</f>
        <v>0</v>
      </c>
      <c r="K56" s="198">
        <f>SUM(B56:J56)</f>
        <v>6</v>
      </c>
      <c r="L56" s="199" t="str">
        <f>CONCATENATE($A56," (",K56,")")</f>
        <v>Economic Policies (6)</v>
      </c>
      <c r="M56" s="205">
        <f>COUNTIFS(tbl_data[12. Consultation Group of],$B$2,tbl_data[1:T1B],$A56,tbl_data[T1],$B$3)</f>
        <v>0</v>
      </c>
      <c r="N56" s="198">
        <f>COUNTIFS(tbl_data[12. Consultation Group of],$B$2,tbl_data[2:T1B],$A56,tbl_data[T1],$B$3)</f>
        <v>0</v>
      </c>
      <c r="O56" s="198">
        <f>COUNTIFS(tbl_data[12. Consultation Group of],$B$2,tbl_data[3:T1B],$A56,tbl_data[T1],$B$3)</f>
        <v>0</v>
      </c>
      <c r="P56" s="198">
        <f>COUNTIFS(tbl_data[12. Consultation Group of],$B$2,tbl_data[1:T2B],$A56,tbl_data[T2],$B$3)</f>
        <v>0</v>
      </c>
      <c r="Q56" s="198">
        <f>COUNTIFS(tbl_data[12. Consultation Group of],$B$2,tbl_data[2:T2B],$A56,tbl_data[T2],$B$3)</f>
        <v>0</v>
      </c>
      <c r="R56" s="198">
        <f>COUNTIFS(tbl_data[12. Consultation Group of],$B$2,tbl_data[3:T2B],$A56,tbl_data[T2],$B$3)</f>
        <v>0</v>
      </c>
      <c r="S56" s="198">
        <f>COUNTIFS(tbl_data[12. Consultation Group of],$B$2,tbl_data[1:T3B],$A56,tbl_data[T3],$B$3)</f>
        <v>0</v>
      </c>
      <c r="T56" s="198">
        <f>COUNTIFS(tbl_data[12. Consultation Group of],$B$2,tbl_data[2:T3B],$A56,tbl_data[T3],$B$3)</f>
        <v>0</v>
      </c>
      <c r="U56" s="198">
        <f>COUNTIFS(tbl_data[12. Consultation Group of],$B$2,tbl_data[3:T3B],$A56,tbl_data[T3],$B$3)</f>
        <v>0</v>
      </c>
      <c r="V56" s="198">
        <f>SUM(M56:U56)</f>
        <v>0</v>
      </c>
      <c r="W56" s="199" t="str">
        <f>CONCATENATE($A56," (",V56,")")</f>
        <v>Economic Policies (0)</v>
      </c>
      <c r="X56" s="205">
        <f>COUNTIFS(tbl_data[12. Consultation Group of],$C$2,tbl_data[1:T1B],$A56,tbl_data[T1],$C$3)</f>
        <v>1</v>
      </c>
      <c r="Y56" s="198">
        <f>COUNTIFS(tbl_data[12. Consultation Group of],$C$2,tbl_data[2:T1B],$A56,tbl_data[T1],$C$3)</f>
        <v>1</v>
      </c>
      <c r="Z56" s="198">
        <f>COUNTIFS(tbl_data[12. Consultation Group of],$C$2,tbl_data[3:T1B],$A56,tbl_data[T1],$C$3)</f>
        <v>0</v>
      </c>
      <c r="AA56" s="198">
        <f>COUNTIFS(tbl_data[12. Consultation Group of],$C$2,tbl_data[1:T2B],$A56,tbl_data[T2],$C$3)</f>
        <v>0</v>
      </c>
      <c r="AB56" s="198">
        <f>COUNTIFS(tbl_data[12. Consultation Group of],$C$2,tbl_data[2:T2B],$A56,tbl_data[T2],$C$3)</f>
        <v>0</v>
      </c>
      <c r="AC56" s="198">
        <f>COUNTIFS(tbl_data[12. Consultation Group of],$C$2,tbl_data[3:T2B],$A56,tbl_data[T2],$C$3)</f>
        <v>0</v>
      </c>
      <c r="AD56" s="198">
        <f>COUNTIFS(tbl_data[12. Consultation Group of],$C$2,tbl_data[1:T3B],$A56,tbl_data[T3],$C$3)</f>
        <v>0</v>
      </c>
      <c r="AE56" s="198">
        <f>COUNTIFS(tbl_data[12. Consultation Group of],$C$2,tbl_data[2:T3B],$A56,tbl_data[T3],$C$3)</f>
        <v>0</v>
      </c>
      <c r="AF56" s="198">
        <f>COUNTIFS(tbl_data[12. Consultation Group of],$C$2,tbl_data[3:T3B],$A56,tbl_data[T3],$C$3)</f>
        <v>0</v>
      </c>
      <c r="AG56" s="198">
        <f>SUM(X56:AF56)</f>
        <v>2</v>
      </c>
      <c r="AH56" s="199" t="str">
        <f>CONCATENATE($A56," (",AG56,")")</f>
        <v>Economic Policies (2)</v>
      </c>
      <c r="AI56" s="205">
        <f>COUNTIFS(tbl_data[12. Consultation Group of],$D$2,tbl_data[1:T1B],$A56,tbl_data[T1],$D$3)</f>
        <v>1</v>
      </c>
      <c r="AJ56" s="198">
        <f>COUNTIFS(tbl_data[12. Consultation Group of],$D$2,tbl_data[2:T1B],$A56,tbl_data[T1],$D$3)</f>
        <v>0</v>
      </c>
      <c r="AK56" s="198">
        <f>COUNTIFS(tbl_data[12. Consultation Group of],$D$2,tbl_data[3:T1B],$A56,tbl_data[T1],$D$3)</f>
        <v>0</v>
      </c>
      <c r="AL56" s="198">
        <f>COUNTIFS(tbl_data[12. Consultation Group of],$D$2,tbl_data[1:T2B],$A56,tbl_data[T2],$D$3)</f>
        <v>0</v>
      </c>
      <c r="AM56" s="198">
        <f>COUNTIFS(tbl_data[12. Consultation Group of],$D$2,tbl_data[2:T2B],$A56,tbl_data[T2],$D$3)</f>
        <v>0</v>
      </c>
      <c r="AN56" s="198">
        <f>COUNTIFS(tbl_data[12. Consultation Group of],$D$2,tbl_data[3:T2B],$A56,tbl_data[T2],$D$3)</f>
        <v>0</v>
      </c>
      <c r="AO56" s="198">
        <f>COUNTIFS(tbl_data[12. Consultation Group of],$D$2,tbl_data[1:T3B],$A56,tbl_data[T3],$D$3)</f>
        <v>1</v>
      </c>
      <c r="AP56" s="198">
        <f>COUNTIFS(tbl_data[12. Consultation Group of],$D$2,tbl_data[2:T3B],$A56,tbl_data[T3],$D$3)</f>
        <v>0</v>
      </c>
      <c r="AQ56" s="198">
        <f>COUNTIFS(tbl_data[12. Consultation Group of],$D$2,tbl_data[3:T3B],$A56,tbl_data[T3],$D$3)</f>
        <v>0</v>
      </c>
      <c r="AR56" s="198">
        <f>SUM(AI56:AQ56)</f>
        <v>2</v>
      </c>
      <c r="AS56" s="199" t="str">
        <f>CONCATENATE($A56," (",AR56,")")</f>
        <v>Economic Policies (2)</v>
      </c>
      <c r="AT56" s="205">
        <f>COUNTIFS(tbl_data[12. Consultation Group of],$E$2,tbl_data[1:T1B],$A56,tbl_data[T1],$E$3)</f>
        <v>0</v>
      </c>
      <c r="AU56" s="198">
        <f>COUNTIFS(tbl_data[12. Consultation Group of],$E$2,tbl_data[2:T1B],$A56,tbl_data[T1],$E$3)</f>
        <v>0</v>
      </c>
      <c r="AV56" s="198">
        <f>COUNTIFS(tbl_data[12. Consultation Group of],$E$2,tbl_data[3:T1B],$A56,tbl_data[T1],$E$3)</f>
        <v>0</v>
      </c>
      <c r="AW56" s="198">
        <f>COUNTIFS(tbl_data[12. Consultation Group of],$E$2,tbl_data[1:T2B],$A56,tbl_data[T2],$E$3)</f>
        <v>0</v>
      </c>
      <c r="AX56" s="198">
        <f>COUNTIFS(tbl_data[12. Consultation Group of],$E$2,tbl_data[2:T2B],$A56,tbl_data[T2],$E$3)</f>
        <v>0</v>
      </c>
      <c r="AY56" s="198">
        <f>COUNTIFS(tbl_data[12. Consultation Group of],$E$2,tbl_data[3:T2B],$A56,tbl_data[T2],$E$3)</f>
        <v>0</v>
      </c>
      <c r="AZ56" s="198">
        <f>COUNTIFS(tbl_data[12. Consultation Group of],$E$2,tbl_data[1:T3B],$A56,tbl_data[T3],$E$3)</f>
        <v>0</v>
      </c>
      <c r="BA56" s="198">
        <f>COUNTIFS(tbl_data[12. Consultation Group of],$E$2,tbl_data[2:T3B],$A56,tbl_data[T3],$E$3)</f>
        <v>0</v>
      </c>
      <c r="BB56" s="198">
        <f>COUNTIFS(tbl_data[12. Consultation Group of],$E$2,tbl_data[3:T3B],$A56,tbl_data[T3],$E$3)</f>
        <v>0</v>
      </c>
      <c r="BC56" s="198">
        <f>SUM(AT56:BB56)</f>
        <v>0</v>
      </c>
      <c r="BD56" s="199" t="str">
        <f>CONCATENATE($A56," (",BC56,")")</f>
        <v>Economic Policies (0)</v>
      </c>
      <c r="BE56" s="205">
        <f>COUNTIFS(tbl_data[1:T1B],$A56,tbl_data[T1],$F$3)</f>
        <v>4</v>
      </c>
      <c r="BF56" s="198">
        <f>COUNTIFS(tbl_data[2:T1B],$A56,tbl_data[T1],$F$3)</f>
        <v>3</v>
      </c>
      <c r="BG56" s="198">
        <f>COUNTIFS(tbl_data[3:T1B],$A56,tbl_data[T1],$F$3)</f>
        <v>0</v>
      </c>
      <c r="BH56" s="198">
        <f>COUNTIFS(tbl_data[1:T2B],$A56,tbl_data[T2],$F$3)</f>
        <v>1</v>
      </c>
      <c r="BI56" s="198">
        <f>COUNTIFS(tbl_data[2:T2B],$A56,tbl_data[T2],$F$3)</f>
        <v>0</v>
      </c>
      <c r="BJ56" s="198">
        <f>COUNTIFS(tbl_data[3:T2B],$A56,tbl_data[T2],$F$3)</f>
        <v>0</v>
      </c>
      <c r="BK56" s="198">
        <f>COUNTIFS(tbl_data[1:T3B],$A56,tbl_data[T3],$F$3)</f>
        <v>1</v>
      </c>
      <c r="BL56" s="198">
        <f>COUNTIFS(tbl_data[2:T3B],$A56,tbl_data[T3],$F$3)</f>
        <v>0</v>
      </c>
      <c r="BM56" s="198">
        <f>COUNTIFS(tbl_data[3:T3B],$A56,tbl_data[T3],$F$3)</f>
        <v>0</v>
      </c>
      <c r="BN56" s="198">
        <f>SUM(BE56:BM56)</f>
        <v>9</v>
      </c>
      <c r="BO56" s="199" t="str">
        <f>CONCATENATE($A56," (",BN56,")")</f>
        <v>Economic Policies (9)</v>
      </c>
      <c r="BQ56" t="str">
        <f>A56</f>
        <v>Economic Policies</v>
      </c>
      <c r="BR56">
        <f>K56+V56+AG56+AR56+BC56+BN56</f>
        <v>19</v>
      </c>
      <c r="BS56" t="s">
        <v>942</v>
      </c>
      <c r="BT56" t="s">
        <v>925</v>
      </c>
      <c r="BU56" s="276" t="s">
        <v>925</v>
      </c>
      <c r="BV56" s="153" t="s">
        <v>932</v>
      </c>
    </row>
    <row r="57" spans="1:74" x14ac:dyDescent="0.25">
      <c r="A57" s="215" t="s">
        <v>164</v>
      </c>
      <c r="B57" s="205">
        <f>COUNTIFS(tbl_data[12. Consultation Group of],$A$2,tbl_data[1:T1B],$A57,tbl_data[T1],$A$3)</f>
        <v>3</v>
      </c>
      <c r="C57" s="198">
        <f>COUNTIFS(tbl_data[12. Consultation Group of],$A$2,tbl_data[2:T1B],$A57,tbl_data[T1],$A$3)</f>
        <v>1</v>
      </c>
      <c r="D57" s="198">
        <f>COUNTIFS(tbl_data[12. Consultation Group of],$A$2,tbl_data[3:T1B],$A57,tbl_data[T1],$A$3)</f>
        <v>0</v>
      </c>
      <c r="E57" s="198">
        <f>COUNTIFS(tbl_data[12. Consultation Group of],$A$2,tbl_data[1:T2B],$A57,tbl_data[T2],$A$3)</f>
        <v>0</v>
      </c>
      <c r="F57" s="198">
        <f>COUNTIFS(tbl_data[12. Consultation Group of],$A$2,tbl_data[2:T2B],$A57,tbl_data[T2],$A$3)</f>
        <v>0</v>
      </c>
      <c r="G57" s="198">
        <f>COUNTIFS(tbl_data[12. Consultation Group of],$A$2,tbl_data[3:T2B],$A57,tbl_data[T2],$A$3)</f>
        <v>0</v>
      </c>
      <c r="H57" s="198">
        <f>COUNTIFS(tbl_data[12. Consultation Group of],$A$2,tbl_data[1:T3B],$A57,tbl_data[T3],$A$3)</f>
        <v>0</v>
      </c>
      <c r="I57" s="198">
        <f>COUNTIFS(tbl_data[12. Consultation Group of],$A$2,tbl_data[2:T3B],$A57,tbl_data[T3],$A$3)</f>
        <v>0</v>
      </c>
      <c r="J57" s="198">
        <f>COUNTIFS(tbl_data[12. Consultation Group of],$A$2,tbl_data[3:T3B],$A57,tbl_data[T3],$A$3)</f>
        <v>0</v>
      </c>
      <c r="K57" s="198">
        <f t="shared" ref="K57:K107" si="14">SUM(B57:J57)</f>
        <v>4</v>
      </c>
      <c r="L57" s="199" t="str">
        <f t="shared" ref="L57:L107" si="15">CONCATENATE($A57," (",K57,")")</f>
        <v>Lack Of Awareness And Education (4)</v>
      </c>
      <c r="M57" s="205">
        <f>COUNTIFS(tbl_data[12. Consultation Group of],$B$2,tbl_data[1:T1B],$A57,tbl_data[T1],$B$3)</f>
        <v>0</v>
      </c>
      <c r="N57" s="198">
        <f>COUNTIFS(tbl_data[12. Consultation Group of],$B$2,tbl_data[2:T1B],$A57,tbl_data[T1],$B$3)</f>
        <v>1</v>
      </c>
      <c r="O57" s="198">
        <f>COUNTIFS(tbl_data[12. Consultation Group of],$B$2,tbl_data[3:T1B],$A57,tbl_data[T1],$B$3)</f>
        <v>1</v>
      </c>
      <c r="P57" s="198">
        <f>COUNTIFS(tbl_data[12. Consultation Group of],$B$2,tbl_data[1:T2B],$A57,tbl_data[T2],$B$3)</f>
        <v>0</v>
      </c>
      <c r="Q57" s="198">
        <f>COUNTIFS(tbl_data[12. Consultation Group of],$B$2,tbl_data[2:T2B],$A57,tbl_data[T2],$B$3)</f>
        <v>0</v>
      </c>
      <c r="R57" s="198">
        <f>COUNTIFS(tbl_data[12. Consultation Group of],$B$2,tbl_data[3:T2B],$A57,tbl_data[T2],$B$3)</f>
        <v>0</v>
      </c>
      <c r="S57" s="198">
        <f>COUNTIFS(tbl_data[12. Consultation Group of],$B$2,tbl_data[1:T3B],$A57,tbl_data[T3],$B$3)</f>
        <v>1</v>
      </c>
      <c r="T57" s="198">
        <f>COUNTIFS(tbl_data[12. Consultation Group of],$B$2,tbl_data[2:T3B],$A57,tbl_data[T3],$B$3)</f>
        <v>0</v>
      </c>
      <c r="U57" s="198">
        <f>COUNTIFS(tbl_data[12. Consultation Group of],$B$2,tbl_data[3:T3B],$A57,tbl_data[T3],$B$3)</f>
        <v>0</v>
      </c>
      <c r="V57" s="198">
        <f t="shared" ref="V57:V107" si="16">SUM(M57:U57)</f>
        <v>3</v>
      </c>
      <c r="W57" s="199" t="str">
        <f t="shared" ref="W57:W107" si="17">CONCATENATE($A57," (",V57,")")</f>
        <v>Lack Of Awareness And Education (3)</v>
      </c>
      <c r="X57" s="205">
        <f>COUNTIFS(tbl_data[12. Consultation Group of],$C$2,tbl_data[1:T1B],$A57,tbl_data[T1],$C$3)</f>
        <v>0</v>
      </c>
      <c r="Y57" s="198">
        <f>COUNTIFS(tbl_data[12. Consultation Group of],$C$2,tbl_data[2:T1B],$A57,tbl_data[T1],$C$3)</f>
        <v>0</v>
      </c>
      <c r="Z57" s="198">
        <f>COUNTIFS(tbl_data[12. Consultation Group of],$C$2,tbl_data[3:T1B],$A57,tbl_data[T1],$C$3)</f>
        <v>1</v>
      </c>
      <c r="AA57" s="198">
        <f>COUNTIFS(tbl_data[12. Consultation Group of],$C$2,tbl_data[1:T2B],$A57,tbl_data[T2],$C$3)</f>
        <v>0</v>
      </c>
      <c r="AB57" s="198">
        <f>COUNTIFS(tbl_data[12. Consultation Group of],$C$2,tbl_data[2:T2B],$A57,tbl_data[T2],$C$3)</f>
        <v>0</v>
      </c>
      <c r="AC57" s="198">
        <f>COUNTIFS(tbl_data[12. Consultation Group of],$C$2,tbl_data[3:T2B],$A57,tbl_data[T2],$C$3)</f>
        <v>0</v>
      </c>
      <c r="AD57" s="198">
        <f>COUNTIFS(tbl_data[12. Consultation Group of],$C$2,tbl_data[1:T3B],$A57,tbl_data[T3],$C$3)</f>
        <v>0</v>
      </c>
      <c r="AE57" s="198">
        <f>COUNTIFS(tbl_data[12. Consultation Group of],$C$2,tbl_data[2:T3B],$A57,tbl_data[T3],$C$3)</f>
        <v>0</v>
      </c>
      <c r="AF57" s="198">
        <f>COUNTIFS(tbl_data[12. Consultation Group of],$C$2,tbl_data[3:T3B],$A57,tbl_data[T3],$C$3)</f>
        <v>0</v>
      </c>
      <c r="AG57" s="198">
        <f t="shared" ref="AG57:AG107" si="18">SUM(X57:AF57)</f>
        <v>1</v>
      </c>
      <c r="AH57" s="199" t="str">
        <f t="shared" ref="AH57:AH107" si="19">CONCATENATE($A57," (",AG57,")")</f>
        <v>Lack Of Awareness And Education (1)</v>
      </c>
      <c r="AI57" s="205">
        <f>COUNTIFS(tbl_data[12. Consultation Group of],$D$2,tbl_data[1:T1B],$A57,tbl_data[T1],$D$3)</f>
        <v>0</v>
      </c>
      <c r="AJ57" s="198">
        <f>COUNTIFS(tbl_data[12. Consultation Group of],$D$2,tbl_data[2:T1B],$A57,tbl_data[T1],$D$3)</f>
        <v>1</v>
      </c>
      <c r="AK57" s="198">
        <f>COUNTIFS(tbl_data[12. Consultation Group of],$D$2,tbl_data[3:T1B],$A57,tbl_data[T1],$D$3)</f>
        <v>0</v>
      </c>
      <c r="AL57" s="198">
        <f>COUNTIFS(tbl_data[12. Consultation Group of],$D$2,tbl_data[1:T2B],$A57,tbl_data[T2],$D$3)</f>
        <v>0</v>
      </c>
      <c r="AM57" s="198">
        <f>COUNTIFS(tbl_data[12. Consultation Group of],$D$2,tbl_data[2:T2B],$A57,tbl_data[T2],$D$3)</f>
        <v>0</v>
      </c>
      <c r="AN57" s="198">
        <f>COUNTIFS(tbl_data[12. Consultation Group of],$D$2,tbl_data[3:T2B],$A57,tbl_data[T2],$D$3)</f>
        <v>0</v>
      </c>
      <c r="AO57" s="198">
        <f>COUNTIFS(tbl_data[12. Consultation Group of],$D$2,tbl_data[1:T3B],$A57,tbl_data[T3],$D$3)</f>
        <v>0</v>
      </c>
      <c r="AP57" s="198">
        <f>COUNTIFS(tbl_data[12. Consultation Group of],$D$2,tbl_data[2:T3B],$A57,tbl_data[T3],$D$3)</f>
        <v>1</v>
      </c>
      <c r="AQ57" s="198">
        <f>COUNTIFS(tbl_data[12. Consultation Group of],$D$2,tbl_data[3:T3B],$A57,tbl_data[T3],$D$3)</f>
        <v>0</v>
      </c>
      <c r="AR57" s="198">
        <f t="shared" ref="AR57:AR107" si="20">SUM(AI57:AQ57)</f>
        <v>2</v>
      </c>
      <c r="AS57" s="199" t="str">
        <f t="shared" ref="AS57:AS107" si="21">CONCATENATE($A57," (",AR57,")")</f>
        <v>Lack Of Awareness And Education (2)</v>
      </c>
      <c r="AT57" s="205">
        <f>COUNTIFS(tbl_data[12. Consultation Group of],$E$2,tbl_data[1:T1B],$A57,tbl_data[T1],$E$3)</f>
        <v>0</v>
      </c>
      <c r="AU57" s="198">
        <f>COUNTIFS(tbl_data[12. Consultation Group of],$E$2,tbl_data[2:T1B],$A57,tbl_data[T1],$E$3)</f>
        <v>1</v>
      </c>
      <c r="AV57" s="198">
        <f>COUNTIFS(tbl_data[12. Consultation Group of],$E$2,tbl_data[3:T1B],$A57,tbl_data[T1],$E$3)</f>
        <v>0</v>
      </c>
      <c r="AW57" s="198">
        <f>COUNTIFS(tbl_data[12. Consultation Group of],$E$2,tbl_data[1:T2B],$A57,tbl_data[T2],$E$3)</f>
        <v>0</v>
      </c>
      <c r="AX57" s="198">
        <f>COUNTIFS(tbl_data[12. Consultation Group of],$E$2,tbl_data[2:T2B],$A57,tbl_data[T2],$E$3)</f>
        <v>0</v>
      </c>
      <c r="AY57" s="198">
        <f>COUNTIFS(tbl_data[12. Consultation Group of],$E$2,tbl_data[3:T2B],$A57,tbl_data[T2],$E$3)</f>
        <v>0</v>
      </c>
      <c r="AZ57" s="198">
        <f>COUNTIFS(tbl_data[12. Consultation Group of],$E$2,tbl_data[1:T3B],$A57,tbl_data[T3],$E$3)</f>
        <v>1</v>
      </c>
      <c r="BA57" s="198">
        <f>COUNTIFS(tbl_data[12. Consultation Group of],$E$2,tbl_data[2:T3B],$A57,tbl_data[T3],$E$3)</f>
        <v>0</v>
      </c>
      <c r="BB57" s="198">
        <f>COUNTIFS(tbl_data[12. Consultation Group of],$E$2,tbl_data[3:T3B],$A57,tbl_data[T3],$E$3)</f>
        <v>0</v>
      </c>
      <c r="BC57" s="198">
        <f t="shared" ref="BC57:BC107" si="22">SUM(AT57:BB57)</f>
        <v>2</v>
      </c>
      <c r="BD57" s="199" t="str">
        <f t="shared" ref="BD57:BD107" si="23">CONCATENATE($A57," (",BC57,")")</f>
        <v>Lack Of Awareness And Education (2)</v>
      </c>
      <c r="BE57" s="205">
        <f>COUNTIFS(tbl_data[1:T1B],$A57,tbl_data[T1],$F$3)</f>
        <v>1</v>
      </c>
      <c r="BF57" s="198">
        <f>COUNTIFS(tbl_data[2:T1B],$A57,tbl_data[T1],$F$3)</f>
        <v>3</v>
      </c>
      <c r="BG57" s="198">
        <f>COUNTIFS(tbl_data[3:T1B],$A57,tbl_data[T1],$F$3)</f>
        <v>2</v>
      </c>
      <c r="BH57" s="198">
        <f>COUNTIFS(tbl_data[1:T2B],$A57,tbl_data[T2],$F$3)</f>
        <v>0</v>
      </c>
      <c r="BI57" s="198">
        <f>COUNTIFS(tbl_data[2:T2B],$A57,tbl_data[T2],$F$3)</f>
        <v>1</v>
      </c>
      <c r="BJ57" s="198">
        <f>COUNTIFS(tbl_data[3:T2B],$A57,tbl_data[T2],$F$3)</f>
        <v>0</v>
      </c>
      <c r="BK57" s="198">
        <f>COUNTIFS(tbl_data[1:T3B],$A57,tbl_data[T3],$F$3)</f>
        <v>0</v>
      </c>
      <c r="BL57" s="198">
        <f>COUNTIFS(tbl_data[2:T3B],$A57,tbl_data[T3],$F$3)</f>
        <v>1</v>
      </c>
      <c r="BM57" s="198">
        <f>COUNTIFS(tbl_data[3:T3B],$A57,tbl_data[T3],$F$3)</f>
        <v>0</v>
      </c>
      <c r="BN57" s="198">
        <f t="shared" ref="BN57:BN107" si="24">SUM(BE57:BM57)</f>
        <v>8</v>
      </c>
      <c r="BO57" s="199" t="str">
        <f t="shared" ref="BO57:BO107" si="25">CONCATENATE($A57," (",BN57,")")</f>
        <v>Lack Of Awareness And Education (8)</v>
      </c>
      <c r="BQ57" t="str">
        <f t="shared" ref="BQ57:BQ107" si="26">A57</f>
        <v>Lack Of Awareness And Education</v>
      </c>
      <c r="BR57">
        <f t="shared" ref="BR57:BR107" si="27">K57+V57+AG57+AR57+BC57+BN57</f>
        <v>20</v>
      </c>
      <c r="BS57" t="s">
        <v>929</v>
      </c>
      <c r="BT57" t="s">
        <v>424</v>
      </c>
      <c r="BU57" s="39" t="s">
        <v>929</v>
      </c>
      <c r="BV57" t="s">
        <v>933</v>
      </c>
    </row>
    <row r="58" spans="1:74" x14ac:dyDescent="0.25">
      <c r="A58" s="215" t="s">
        <v>200</v>
      </c>
      <c r="B58" s="205">
        <f>COUNTIFS(tbl_data[12. Consultation Group of],$A$2,tbl_data[1:T1B],$A58,tbl_data[T1],$A$3)</f>
        <v>0</v>
      </c>
      <c r="C58" s="198">
        <f>COUNTIFS(tbl_data[12. Consultation Group of],$A$2,tbl_data[2:T1B],$A58,tbl_data[T1],$A$3)</f>
        <v>0</v>
      </c>
      <c r="D58" s="198">
        <f>COUNTIFS(tbl_data[12. Consultation Group of],$A$2,tbl_data[3:T1B],$A58,tbl_data[T1],$A$3)</f>
        <v>0</v>
      </c>
      <c r="E58" s="198">
        <f>COUNTIFS(tbl_data[12. Consultation Group of],$A$2,tbl_data[1:T2B],$A58,tbl_data[T2],$A$3)</f>
        <v>0</v>
      </c>
      <c r="F58" s="198">
        <f>COUNTIFS(tbl_data[12. Consultation Group of],$A$2,tbl_data[2:T2B],$A58,tbl_data[T2],$A$3)</f>
        <v>0</v>
      </c>
      <c r="G58" s="198">
        <f>COUNTIFS(tbl_data[12. Consultation Group of],$A$2,tbl_data[3:T2B],$A58,tbl_data[T2],$A$3)</f>
        <v>0</v>
      </c>
      <c r="H58" s="198">
        <f>COUNTIFS(tbl_data[12. Consultation Group of],$A$2,tbl_data[1:T3B],$A58,tbl_data[T3],$A$3)</f>
        <v>0</v>
      </c>
      <c r="I58" s="198">
        <f>COUNTIFS(tbl_data[12. Consultation Group of],$A$2,tbl_data[2:T3B],$A58,tbl_data[T3],$A$3)</f>
        <v>0</v>
      </c>
      <c r="J58" s="198">
        <f>COUNTIFS(tbl_data[12. Consultation Group of],$A$2,tbl_data[3:T3B],$A58,tbl_data[T3],$A$3)</f>
        <v>0</v>
      </c>
      <c r="K58" s="198">
        <f t="shared" si="14"/>
        <v>0</v>
      </c>
      <c r="L58" s="199" t="str">
        <f t="shared" si="15"/>
        <v>Lack Of Initiative (0)</v>
      </c>
      <c r="M58" s="205">
        <f>COUNTIFS(tbl_data[12. Consultation Group of],$B$2,tbl_data[1:T1B],$A58,tbl_data[T1],$B$3)</f>
        <v>0</v>
      </c>
      <c r="N58" s="198">
        <f>COUNTIFS(tbl_data[12. Consultation Group of],$B$2,tbl_data[2:T1B],$A58,tbl_data[T1],$B$3)</f>
        <v>0</v>
      </c>
      <c r="O58" s="198">
        <f>COUNTIFS(tbl_data[12. Consultation Group of],$B$2,tbl_data[3:T1B],$A58,tbl_data[T1],$B$3)</f>
        <v>0</v>
      </c>
      <c r="P58" s="198">
        <f>COUNTIFS(tbl_data[12. Consultation Group of],$B$2,tbl_data[1:T2B],$A58,tbl_data[T2],$B$3)</f>
        <v>0</v>
      </c>
      <c r="Q58" s="198">
        <f>COUNTIFS(tbl_data[12. Consultation Group of],$B$2,tbl_data[2:T2B],$A58,tbl_data[T2],$B$3)</f>
        <v>0</v>
      </c>
      <c r="R58" s="198">
        <f>COUNTIFS(tbl_data[12. Consultation Group of],$B$2,tbl_data[3:T2B],$A58,tbl_data[T2],$B$3)</f>
        <v>0</v>
      </c>
      <c r="S58" s="198">
        <f>COUNTIFS(tbl_data[12. Consultation Group of],$B$2,tbl_data[1:T3B],$A58,tbl_data[T3],$B$3)</f>
        <v>0</v>
      </c>
      <c r="T58" s="198">
        <f>COUNTIFS(tbl_data[12. Consultation Group of],$B$2,tbl_data[2:T3B],$A58,tbl_data[T3],$B$3)</f>
        <v>0</v>
      </c>
      <c r="U58" s="198">
        <f>COUNTIFS(tbl_data[12. Consultation Group of],$B$2,tbl_data[3:T3B],$A58,tbl_data[T3],$B$3)</f>
        <v>0</v>
      </c>
      <c r="V58" s="198">
        <f t="shared" si="16"/>
        <v>0</v>
      </c>
      <c r="W58" s="199" t="str">
        <f t="shared" si="17"/>
        <v>Lack Of Initiative (0)</v>
      </c>
      <c r="X58" s="205">
        <f>COUNTIFS(tbl_data[12. Consultation Group of],$C$2,tbl_data[1:T1B],$A58,tbl_data[T1],$C$3)</f>
        <v>0</v>
      </c>
      <c r="Y58" s="198">
        <f>COUNTIFS(tbl_data[12. Consultation Group of],$C$2,tbl_data[2:T1B],$A58,tbl_data[T1],$C$3)</f>
        <v>0</v>
      </c>
      <c r="Z58" s="198">
        <f>COUNTIFS(tbl_data[12. Consultation Group of],$C$2,tbl_data[3:T1B],$A58,tbl_data[T1],$C$3)</f>
        <v>0</v>
      </c>
      <c r="AA58" s="198">
        <f>COUNTIFS(tbl_data[12. Consultation Group of],$C$2,tbl_data[1:T2B],$A58,tbl_data[T2],$C$3)</f>
        <v>0</v>
      </c>
      <c r="AB58" s="198">
        <f>COUNTIFS(tbl_data[12. Consultation Group of],$C$2,tbl_data[2:T2B],$A58,tbl_data[T2],$C$3)</f>
        <v>0</v>
      </c>
      <c r="AC58" s="198">
        <f>COUNTIFS(tbl_data[12. Consultation Group of],$C$2,tbl_data[3:T2B],$A58,tbl_data[T2],$C$3)</f>
        <v>0</v>
      </c>
      <c r="AD58" s="198">
        <f>COUNTIFS(tbl_data[12. Consultation Group of],$C$2,tbl_data[1:T3B],$A58,tbl_data[T3],$C$3)</f>
        <v>0</v>
      </c>
      <c r="AE58" s="198">
        <f>COUNTIFS(tbl_data[12. Consultation Group of],$C$2,tbl_data[2:T3B],$A58,tbl_data[T3],$C$3)</f>
        <v>0</v>
      </c>
      <c r="AF58" s="198">
        <f>COUNTIFS(tbl_data[12. Consultation Group of],$C$2,tbl_data[3:T3B],$A58,tbl_data[T3],$C$3)</f>
        <v>0</v>
      </c>
      <c r="AG58" s="198">
        <f t="shared" si="18"/>
        <v>0</v>
      </c>
      <c r="AH58" s="199" t="str">
        <f t="shared" si="19"/>
        <v>Lack Of Initiative (0)</v>
      </c>
      <c r="AI58" s="205">
        <f>COUNTIFS(tbl_data[12. Consultation Group of],$D$2,tbl_data[1:T1B],$A58,tbl_data[T1],$D$3)</f>
        <v>0</v>
      </c>
      <c r="AJ58" s="198">
        <f>COUNTIFS(tbl_data[12. Consultation Group of],$D$2,tbl_data[2:T1B],$A58,tbl_data[T1],$D$3)</f>
        <v>0</v>
      </c>
      <c r="AK58" s="198">
        <f>COUNTIFS(tbl_data[12. Consultation Group of],$D$2,tbl_data[3:T1B],$A58,tbl_data[T1],$D$3)</f>
        <v>0</v>
      </c>
      <c r="AL58" s="198">
        <f>COUNTIFS(tbl_data[12. Consultation Group of],$D$2,tbl_data[1:T2B],$A58,tbl_data[T2],$D$3)</f>
        <v>0</v>
      </c>
      <c r="AM58" s="198">
        <f>COUNTIFS(tbl_data[12. Consultation Group of],$D$2,tbl_data[2:T2B],$A58,tbl_data[T2],$D$3)</f>
        <v>0</v>
      </c>
      <c r="AN58" s="198">
        <f>COUNTIFS(tbl_data[12. Consultation Group of],$D$2,tbl_data[3:T2B],$A58,tbl_data[T2],$D$3)</f>
        <v>0</v>
      </c>
      <c r="AO58" s="198">
        <f>COUNTIFS(tbl_data[12. Consultation Group of],$D$2,tbl_data[1:T3B],$A58,tbl_data[T3],$D$3)</f>
        <v>0</v>
      </c>
      <c r="AP58" s="198">
        <f>COUNTIFS(tbl_data[12. Consultation Group of],$D$2,tbl_data[2:T3B],$A58,tbl_data[T3],$D$3)</f>
        <v>0</v>
      </c>
      <c r="AQ58" s="198">
        <f>COUNTIFS(tbl_data[12. Consultation Group of],$D$2,tbl_data[3:T3B],$A58,tbl_data[T3],$D$3)</f>
        <v>0</v>
      </c>
      <c r="AR58" s="198">
        <f t="shared" si="20"/>
        <v>0</v>
      </c>
      <c r="AS58" s="199" t="str">
        <f t="shared" si="21"/>
        <v>Lack Of Initiative (0)</v>
      </c>
      <c r="AT58" s="205">
        <f>COUNTIFS(tbl_data[12. Consultation Group of],$E$2,tbl_data[1:T1B],$A58,tbl_data[T1],$E$3)</f>
        <v>0</v>
      </c>
      <c r="AU58" s="198">
        <f>COUNTIFS(tbl_data[12. Consultation Group of],$E$2,tbl_data[2:T1B],$A58,tbl_data[T1],$E$3)</f>
        <v>0</v>
      </c>
      <c r="AV58" s="198">
        <f>COUNTIFS(tbl_data[12. Consultation Group of],$E$2,tbl_data[3:T1B],$A58,tbl_data[T1],$E$3)</f>
        <v>0</v>
      </c>
      <c r="AW58" s="198">
        <f>COUNTIFS(tbl_data[12. Consultation Group of],$E$2,tbl_data[1:T2B],$A58,tbl_data[T2],$E$3)</f>
        <v>0</v>
      </c>
      <c r="AX58" s="198">
        <f>COUNTIFS(tbl_data[12. Consultation Group of],$E$2,tbl_data[2:T2B],$A58,tbl_data[T2],$E$3)</f>
        <v>0</v>
      </c>
      <c r="AY58" s="198">
        <f>COUNTIFS(tbl_data[12. Consultation Group of],$E$2,tbl_data[3:T2B],$A58,tbl_data[T2],$E$3)</f>
        <v>0</v>
      </c>
      <c r="AZ58" s="198">
        <f>COUNTIFS(tbl_data[12. Consultation Group of],$E$2,tbl_data[1:T3B],$A58,tbl_data[T3],$E$3)</f>
        <v>0</v>
      </c>
      <c r="BA58" s="198">
        <f>COUNTIFS(tbl_data[12. Consultation Group of],$E$2,tbl_data[2:T3B],$A58,tbl_data[T3],$E$3)</f>
        <v>0</v>
      </c>
      <c r="BB58" s="198">
        <f>COUNTIFS(tbl_data[12. Consultation Group of],$E$2,tbl_data[3:T3B],$A58,tbl_data[T3],$E$3)</f>
        <v>0</v>
      </c>
      <c r="BC58" s="198">
        <f t="shared" si="22"/>
        <v>0</v>
      </c>
      <c r="BD58" s="199" t="str">
        <f t="shared" si="23"/>
        <v>Lack Of Initiative (0)</v>
      </c>
      <c r="BE58" s="205">
        <f>COUNTIFS(tbl_data[1:T1B],$A58,tbl_data[T1],$F$3)</f>
        <v>0</v>
      </c>
      <c r="BF58" s="198">
        <f>COUNTIFS(tbl_data[2:T1B],$A58,tbl_data[T1],$F$3)</f>
        <v>0</v>
      </c>
      <c r="BG58" s="198">
        <f>COUNTIFS(tbl_data[3:T1B],$A58,tbl_data[T1],$F$3)</f>
        <v>1</v>
      </c>
      <c r="BH58" s="198">
        <f>COUNTIFS(tbl_data[1:T2B],$A58,tbl_data[T2],$F$3)</f>
        <v>0</v>
      </c>
      <c r="BI58" s="198">
        <f>COUNTIFS(tbl_data[2:T2B],$A58,tbl_data[T2],$F$3)</f>
        <v>0</v>
      </c>
      <c r="BJ58" s="198">
        <f>COUNTIFS(tbl_data[3:T2B],$A58,tbl_data[T2],$F$3)</f>
        <v>0</v>
      </c>
      <c r="BK58" s="198">
        <f>COUNTIFS(tbl_data[1:T3B],$A58,tbl_data[T3],$F$3)</f>
        <v>0</v>
      </c>
      <c r="BL58" s="198">
        <f>COUNTIFS(tbl_data[2:T3B],$A58,tbl_data[T3],$F$3)</f>
        <v>0</v>
      </c>
      <c r="BM58" s="198">
        <f>COUNTIFS(tbl_data[3:T3B],$A58,tbl_data[T3],$F$3)</f>
        <v>0</v>
      </c>
      <c r="BN58" s="198">
        <f t="shared" si="24"/>
        <v>1</v>
      </c>
      <c r="BO58" s="199" t="str">
        <f t="shared" si="25"/>
        <v>Lack Of Initiative (1)</v>
      </c>
      <c r="BQ58" t="str">
        <f t="shared" si="26"/>
        <v>Lack Of Initiative</v>
      </c>
      <c r="BR58">
        <f t="shared" si="27"/>
        <v>1</v>
      </c>
      <c r="BS58" t="s">
        <v>929</v>
      </c>
      <c r="BT58" t="s">
        <v>424</v>
      </c>
      <c r="BU58" s="39" t="s">
        <v>929</v>
      </c>
      <c r="BV58" t="s">
        <v>933</v>
      </c>
    </row>
    <row r="59" spans="1:74" x14ac:dyDescent="0.25">
      <c r="A59" s="215" t="s">
        <v>201</v>
      </c>
      <c r="B59" s="205">
        <f>COUNTIFS(tbl_data[12. Consultation Group of],$A$2,tbl_data[1:T1B],$A59,tbl_data[T1],$A$3)</f>
        <v>0</v>
      </c>
      <c r="C59" s="198">
        <f>COUNTIFS(tbl_data[12. Consultation Group of],$A$2,tbl_data[2:T1B],$A59,tbl_data[T1],$A$3)</f>
        <v>1</v>
      </c>
      <c r="D59" s="198">
        <f>COUNTIFS(tbl_data[12. Consultation Group of],$A$2,tbl_data[3:T1B],$A59,tbl_data[T1],$A$3)</f>
        <v>0</v>
      </c>
      <c r="E59" s="198">
        <f>COUNTIFS(tbl_data[12. Consultation Group of],$A$2,tbl_data[1:T2B],$A59,tbl_data[T2],$A$3)</f>
        <v>0</v>
      </c>
      <c r="F59" s="198">
        <f>COUNTIFS(tbl_data[12. Consultation Group of],$A$2,tbl_data[2:T2B],$A59,tbl_data[T2],$A$3)</f>
        <v>0</v>
      </c>
      <c r="G59" s="198">
        <f>COUNTIFS(tbl_data[12. Consultation Group of],$A$2,tbl_data[3:T2B],$A59,tbl_data[T2],$A$3)</f>
        <v>0</v>
      </c>
      <c r="H59" s="198">
        <f>COUNTIFS(tbl_data[12. Consultation Group of],$A$2,tbl_data[1:T3B],$A59,tbl_data[T3],$A$3)</f>
        <v>0</v>
      </c>
      <c r="I59" s="198">
        <f>COUNTIFS(tbl_data[12. Consultation Group of],$A$2,tbl_data[2:T3B],$A59,tbl_data[T3],$A$3)</f>
        <v>0</v>
      </c>
      <c r="J59" s="198">
        <f>COUNTIFS(tbl_data[12. Consultation Group of],$A$2,tbl_data[3:T3B],$A59,tbl_data[T3],$A$3)</f>
        <v>0</v>
      </c>
      <c r="K59" s="198">
        <f t="shared" si="14"/>
        <v>1</v>
      </c>
      <c r="L59" s="199" t="str">
        <f t="shared" si="15"/>
        <v>Lack Of Government Action (1)</v>
      </c>
      <c r="M59" s="205">
        <f>COUNTIFS(tbl_data[12. Consultation Group of],$B$2,tbl_data[1:T1B],$A59,tbl_data[T1],$B$3)</f>
        <v>0</v>
      </c>
      <c r="N59" s="198">
        <f>COUNTIFS(tbl_data[12. Consultation Group of],$B$2,tbl_data[2:T1B],$A59,tbl_data[T1],$B$3)</f>
        <v>0</v>
      </c>
      <c r="O59" s="198">
        <f>COUNTIFS(tbl_data[12. Consultation Group of],$B$2,tbl_data[3:T1B],$A59,tbl_data[T1],$B$3)</f>
        <v>0</v>
      </c>
      <c r="P59" s="198">
        <f>COUNTIFS(tbl_data[12. Consultation Group of],$B$2,tbl_data[1:T2B],$A59,tbl_data[T2],$B$3)</f>
        <v>0</v>
      </c>
      <c r="Q59" s="198">
        <f>COUNTIFS(tbl_data[12. Consultation Group of],$B$2,tbl_data[2:T2B],$A59,tbl_data[T2],$B$3)</f>
        <v>0</v>
      </c>
      <c r="R59" s="198">
        <f>COUNTIFS(tbl_data[12. Consultation Group of],$B$2,tbl_data[3:T2B],$A59,tbl_data[T2],$B$3)</f>
        <v>0</v>
      </c>
      <c r="S59" s="198">
        <f>COUNTIFS(tbl_data[12. Consultation Group of],$B$2,tbl_data[1:T3B],$A59,tbl_data[T3],$B$3)</f>
        <v>0</v>
      </c>
      <c r="T59" s="198">
        <f>COUNTIFS(tbl_data[12. Consultation Group of],$B$2,tbl_data[2:T3B],$A59,tbl_data[T3],$B$3)</f>
        <v>0</v>
      </c>
      <c r="U59" s="198">
        <f>COUNTIFS(tbl_data[12. Consultation Group of],$B$2,tbl_data[3:T3B],$A59,tbl_data[T3],$B$3)</f>
        <v>0</v>
      </c>
      <c r="V59" s="198">
        <f t="shared" si="16"/>
        <v>0</v>
      </c>
      <c r="W59" s="199" t="str">
        <f t="shared" si="17"/>
        <v>Lack Of Government Action (0)</v>
      </c>
      <c r="X59" s="205">
        <f>COUNTIFS(tbl_data[12. Consultation Group of],$C$2,tbl_data[1:T1B],$A59,tbl_data[T1],$C$3)</f>
        <v>0</v>
      </c>
      <c r="Y59" s="198">
        <f>COUNTIFS(tbl_data[12. Consultation Group of],$C$2,tbl_data[2:T1B],$A59,tbl_data[T1],$C$3)</f>
        <v>0</v>
      </c>
      <c r="Z59" s="198">
        <f>COUNTIFS(tbl_data[12. Consultation Group of],$C$2,tbl_data[3:T1B],$A59,tbl_data[T1],$C$3)</f>
        <v>0</v>
      </c>
      <c r="AA59" s="198">
        <f>COUNTIFS(tbl_data[12. Consultation Group of],$C$2,tbl_data[1:T2B],$A59,tbl_data[T2],$C$3)</f>
        <v>0</v>
      </c>
      <c r="AB59" s="198">
        <f>COUNTIFS(tbl_data[12. Consultation Group of],$C$2,tbl_data[2:T2B],$A59,tbl_data[T2],$C$3)</f>
        <v>0</v>
      </c>
      <c r="AC59" s="198">
        <f>COUNTIFS(tbl_data[12. Consultation Group of],$C$2,tbl_data[3:T2B],$A59,tbl_data[T2],$C$3)</f>
        <v>0</v>
      </c>
      <c r="AD59" s="198">
        <f>COUNTIFS(tbl_data[12. Consultation Group of],$C$2,tbl_data[1:T3B],$A59,tbl_data[T3],$C$3)</f>
        <v>0</v>
      </c>
      <c r="AE59" s="198">
        <f>COUNTIFS(tbl_data[12. Consultation Group of],$C$2,tbl_data[2:T3B],$A59,tbl_data[T3],$C$3)</f>
        <v>0</v>
      </c>
      <c r="AF59" s="198">
        <f>COUNTIFS(tbl_data[12. Consultation Group of],$C$2,tbl_data[3:T3B],$A59,tbl_data[T3],$C$3)</f>
        <v>0</v>
      </c>
      <c r="AG59" s="198">
        <f t="shared" si="18"/>
        <v>0</v>
      </c>
      <c r="AH59" s="199" t="str">
        <f t="shared" si="19"/>
        <v>Lack Of Government Action (0)</v>
      </c>
      <c r="AI59" s="205">
        <f>COUNTIFS(tbl_data[12. Consultation Group of],$D$2,tbl_data[1:T1B],$A59,tbl_data[T1],$D$3)</f>
        <v>0</v>
      </c>
      <c r="AJ59" s="198">
        <f>COUNTIFS(tbl_data[12. Consultation Group of],$D$2,tbl_data[2:T1B],$A59,tbl_data[T1],$D$3)</f>
        <v>0</v>
      </c>
      <c r="AK59" s="198">
        <f>COUNTIFS(tbl_data[12. Consultation Group of],$D$2,tbl_data[3:T1B],$A59,tbl_data[T1],$D$3)</f>
        <v>0</v>
      </c>
      <c r="AL59" s="198">
        <f>COUNTIFS(tbl_data[12. Consultation Group of],$D$2,tbl_data[1:T2B],$A59,tbl_data[T2],$D$3)</f>
        <v>0</v>
      </c>
      <c r="AM59" s="198">
        <f>COUNTIFS(tbl_data[12. Consultation Group of],$D$2,tbl_data[2:T2B],$A59,tbl_data[T2],$D$3)</f>
        <v>0</v>
      </c>
      <c r="AN59" s="198">
        <f>COUNTIFS(tbl_data[12. Consultation Group of],$D$2,tbl_data[3:T2B],$A59,tbl_data[T2],$D$3)</f>
        <v>0</v>
      </c>
      <c r="AO59" s="198">
        <f>COUNTIFS(tbl_data[12. Consultation Group of],$D$2,tbl_data[1:T3B],$A59,tbl_data[T3],$D$3)</f>
        <v>0</v>
      </c>
      <c r="AP59" s="198">
        <f>COUNTIFS(tbl_data[12. Consultation Group of],$D$2,tbl_data[2:T3B],$A59,tbl_data[T3],$D$3)</f>
        <v>0</v>
      </c>
      <c r="AQ59" s="198">
        <f>COUNTIFS(tbl_data[12. Consultation Group of],$D$2,tbl_data[3:T3B],$A59,tbl_data[T3],$D$3)</f>
        <v>0</v>
      </c>
      <c r="AR59" s="198">
        <f t="shared" si="20"/>
        <v>0</v>
      </c>
      <c r="AS59" s="199" t="str">
        <f t="shared" si="21"/>
        <v>Lack Of Government Action (0)</v>
      </c>
      <c r="AT59" s="205">
        <f>COUNTIFS(tbl_data[12. Consultation Group of],$E$2,tbl_data[1:T1B],$A59,tbl_data[T1],$E$3)</f>
        <v>0</v>
      </c>
      <c r="AU59" s="198">
        <f>COUNTIFS(tbl_data[12. Consultation Group of],$E$2,tbl_data[2:T1B],$A59,tbl_data[T1],$E$3)</f>
        <v>1</v>
      </c>
      <c r="AV59" s="198">
        <f>COUNTIFS(tbl_data[12. Consultation Group of],$E$2,tbl_data[3:T1B],$A59,tbl_data[T1],$E$3)</f>
        <v>0</v>
      </c>
      <c r="AW59" s="198">
        <f>COUNTIFS(tbl_data[12. Consultation Group of],$E$2,tbl_data[1:T2B],$A59,tbl_data[T2],$E$3)</f>
        <v>0</v>
      </c>
      <c r="AX59" s="198">
        <f>COUNTIFS(tbl_data[12. Consultation Group of],$E$2,tbl_data[2:T2B],$A59,tbl_data[T2],$E$3)</f>
        <v>0</v>
      </c>
      <c r="AY59" s="198">
        <f>COUNTIFS(tbl_data[12. Consultation Group of],$E$2,tbl_data[3:T2B],$A59,tbl_data[T2],$E$3)</f>
        <v>0</v>
      </c>
      <c r="AZ59" s="198">
        <f>COUNTIFS(tbl_data[12. Consultation Group of],$E$2,tbl_data[1:T3B],$A59,tbl_data[T3],$E$3)</f>
        <v>0</v>
      </c>
      <c r="BA59" s="198">
        <f>COUNTIFS(tbl_data[12. Consultation Group of],$E$2,tbl_data[2:T3B],$A59,tbl_data[T3],$E$3)</f>
        <v>0</v>
      </c>
      <c r="BB59" s="198">
        <f>COUNTIFS(tbl_data[12. Consultation Group of],$E$2,tbl_data[3:T3B],$A59,tbl_data[T3],$E$3)</f>
        <v>0</v>
      </c>
      <c r="BC59" s="198">
        <f t="shared" si="22"/>
        <v>1</v>
      </c>
      <c r="BD59" s="199" t="str">
        <f t="shared" si="23"/>
        <v>Lack Of Government Action (1)</v>
      </c>
      <c r="BE59" s="205">
        <f>COUNTIFS(tbl_data[1:T1B],$A59,tbl_data[T1],$F$3)</f>
        <v>0</v>
      </c>
      <c r="BF59" s="198">
        <f>COUNTIFS(tbl_data[2:T1B],$A59,tbl_data[T1],$F$3)</f>
        <v>0</v>
      </c>
      <c r="BG59" s="198">
        <f>COUNTIFS(tbl_data[3:T1B],$A59,tbl_data[T1],$F$3)</f>
        <v>0</v>
      </c>
      <c r="BH59" s="198">
        <f>COUNTIFS(tbl_data[1:T2B],$A59,tbl_data[T2],$F$3)</f>
        <v>0</v>
      </c>
      <c r="BI59" s="198">
        <f>COUNTIFS(tbl_data[2:T2B],$A59,tbl_data[T2],$F$3)</f>
        <v>0</v>
      </c>
      <c r="BJ59" s="198">
        <f>COUNTIFS(tbl_data[3:T2B],$A59,tbl_data[T2],$F$3)</f>
        <v>0</v>
      </c>
      <c r="BK59" s="198">
        <f>COUNTIFS(tbl_data[1:T3B],$A59,tbl_data[T3],$F$3)</f>
        <v>0</v>
      </c>
      <c r="BL59" s="198">
        <f>COUNTIFS(tbl_data[2:T3B],$A59,tbl_data[T3],$F$3)</f>
        <v>0</v>
      </c>
      <c r="BM59" s="198">
        <f>COUNTIFS(tbl_data[3:T3B],$A59,tbl_data[T3],$F$3)</f>
        <v>0</v>
      </c>
      <c r="BN59" s="198">
        <f t="shared" si="24"/>
        <v>0</v>
      </c>
      <c r="BO59" s="199" t="str">
        <f t="shared" si="25"/>
        <v>Lack Of Government Action (0)</v>
      </c>
      <c r="BQ59" t="str">
        <f t="shared" si="26"/>
        <v>Lack Of Government Action</v>
      </c>
      <c r="BR59">
        <f t="shared" si="27"/>
        <v>2</v>
      </c>
      <c r="BS59" t="s">
        <v>942</v>
      </c>
      <c r="BT59" t="s">
        <v>925</v>
      </c>
      <c r="BU59" s="276" t="s">
        <v>925</v>
      </c>
      <c r="BV59" s="153" t="s">
        <v>932</v>
      </c>
    </row>
    <row r="60" spans="1:74" x14ac:dyDescent="0.25">
      <c r="A60" s="215" t="s">
        <v>232</v>
      </c>
      <c r="B60" s="205">
        <f>COUNTIFS(tbl_data[12. Consultation Group of],$A$2,tbl_data[1:T1B],$A60,tbl_data[T1],$A$3)</f>
        <v>0</v>
      </c>
      <c r="C60" s="198">
        <f>COUNTIFS(tbl_data[12. Consultation Group of],$A$2,tbl_data[2:T1B],$A60,tbl_data[T1],$A$3)</f>
        <v>0</v>
      </c>
      <c r="D60" s="198">
        <f>COUNTIFS(tbl_data[12. Consultation Group of],$A$2,tbl_data[3:T1B],$A60,tbl_data[T1],$A$3)</f>
        <v>0</v>
      </c>
      <c r="E60" s="198">
        <f>COUNTIFS(tbl_data[12. Consultation Group of],$A$2,tbl_data[1:T2B],$A60,tbl_data[T2],$A$3)</f>
        <v>0</v>
      </c>
      <c r="F60" s="198">
        <f>COUNTIFS(tbl_data[12. Consultation Group of],$A$2,tbl_data[2:T2B],$A60,tbl_data[T2],$A$3)</f>
        <v>0</v>
      </c>
      <c r="G60" s="198">
        <f>COUNTIFS(tbl_data[12. Consultation Group of],$A$2,tbl_data[3:T2B],$A60,tbl_data[T2],$A$3)</f>
        <v>0</v>
      </c>
      <c r="H60" s="198">
        <f>COUNTIFS(tbl_data[12. Consultation Group of],$A$2,tbl_data[1:T3B],$A60,tbl_data[T3],$A$3)</f>
        <v>0</v>
      </c>
      <c r="I60" s="198">
        <f>COUNTIFS(tbl_data[12. Consultation Group of],$A$2,tbl_data[2:T3B],$A60,tbl_data[T3],$A$3)</f>
        <v>0</v>
      </c>
      <c r="J60" s="198">
        <f>COUNTIFS(tbl_data[12. Consultation Group of],$A$2,tbl_data[3:T3B],$A60,tbl_data[T3],$A$3)</f>
        <v>0</v>
      </c>
      <c r="K60" s="198">
        <f t="shared" si="14"/>
        <v>0</v>
      </c>
      <c r="L60" s="199" t="str">
        <f t="shared" si="15"/>
        <v>Attitudinal Issues (0)</v>
      </c>
      <c r="M60" s="205">
        <f>COUNTIFS(tbl_data[12. Consultation Group of],$B$2,tbl_data[1:T1B],$A60,tbl_data[T1],$B$3)</f>
        <v>0</v>
      </c>
      <c r="N60" s="198">
        <f>COUNTIFS(tbl_data[12. Consultation Group of],$B$2,tbl_data[2:T1B],$A60,tbl_data[T1],$B$3)</f>
        <v>1</v>
      </c>
      <c r="O60" s="198">
        <f>COUNTIFS(tbl_data[12. Consultation Group of],$B$2,tbl_data[3:T1B],$A60,tbl_data[T1],$B$3)</f>
        <v>0</v>
      </c>
      <c r="P60" s="198">
        <f>COUNTIFS(tbl_data[12. Consultation Group of],$B$2,tbl_data[1:T2B],$A60,tbl_data[T2],$B$3)</f>
        <v>0</v>
      </c>
      <c r="Q60" s="198">
        <f>COUNTIFS(tbl_data[12. Consultation Group of],$B$2,tbl_data[2:T2B],$A60,tbl_data[T2],$B$3)</f>
        <v>0</v>
      </c>
      <c r="R60" s="198">
        <f>COUNTIFS(tbl_data[12. Consultation Group of],$B$2,tbl_data[3:T2B],$A60,tbl_data[T2],$B$3)</f>
        <v>0</v>
      </c>
      <c r="S60" s="198">
        <f>COUNTIFS(tbl_data[12. Consultation Group of],$B$2,tbl_data[1:T3B],$A60,tbl_data[T3],$B$3)</f>
        <v>0</v>
      </c>
      <c r="T60" s="198">
        <f>COUNTIFS(tbl_data[12. Consultation Group of],$B$2,tbl_data[2:T3B],$A60,tbl_data[T3],$B$3)</f>
        <v>0</v>
      </c>
      <c r="U60" s="198">
        <f>COUNTIFS(tbl_data[12. Consultation Group of],$B$2,tbl_data[3:T3B],$A60,tbl_data[T3],$B$3)</f>
        <v>0</v>
      </c>
      <c r="V60" s="198">
        <f t="shared" si="16"/>
        <v>1</v>
      </c>
      <c r="W60" s="199" t="str">
        <f t="shared" si="17"/>
        <v>Attitudinal Issues (1)</v>
      </c>
      <c r="X60" s="205">
        <f>COUNTIFS(tbl_data[12. Consultation Group of],$C$2,tbl_data[1:T1B],$A60,tbl_data[T1],$C$3)</f>
        <v>0</v>
      </c>
      <c r="Y60" s="198">
        <f>COUNTIFS(tbl_data[12. Consultation Group of],$C$2,tbl_data[2:T1B],$A60,tbl_data[T1],$C$3)</f>
        <v>0</v>
      </c>
      <c r="Z60" s="198">
        <f>COUNTIFS(tbl_data[12. Consultation Group of],$C$2,tbl_data[3:T1B],$A60,tbl_data[T1],$C$3)</f>
        <v>0</v>
      </c>
      <c r="AA60" s="198">
        <f>COUNTIFS(tbl_data[12. Consultation Group of],$C$2,tbl_data[1:T2B],$A60,tbl_data[T2],$C$3)</f>
        <v>0</v>
      </c>
      <c r="AB60" s="198">
        <f>COUNTIFS(tbl_data[12. Consultation Group of],$C$2,tbl_data[2:T2B],$A60,tbl_data[T2],$C$3)</f>
        <v>0</v>
      </c>
      <c r="AC60" s="198">
        <f>COUNTIFS(tbl_data[12. Consultation Group of],$C$2,tbl_data[3:T2B],$A60,tbl_data[T2],$C$3)</f>
        <v>0</v>
      </c>
      <c r="AD60" s="198">
        <f>COUNTIFS(tbl_data[12. Consultation Group of],$C$2,tbl_data[1:T3B],$A60,tbl_data[T3],$C$3)</f>
        <v>0</v>
      </c>
      <c r="AE60" s="198">
        <f>COUNTIFS(tbl_data[12. Consultation Group of],$C$2,tbl_data[2:T3B],$A60,tbl_data[T3],$C$3)</f>
        <v>0</v>
      </c>
      <c r="AF60" s="198">
        <f>COUNTIFS(tbl_data[12. Consultation Group of],$C$2,tbl_data[3:T3B],$A60,tbl_data[T3],$C$3)</f>
        <v>0</v>
      </c>
      <c r="AG60" s="198">
        <f t="shared" si="18"/>
        <v>0</v>
      </c>
      <c r="AH60" s="199" t="str">
        <f t="shared" si="19"/>
        <v>Attitudinal Issues (0)</v>
      </c>
      <c r="AI60" s="205">
        <f>COUNTIFS(tbl_data[12. Consultation Group of],$D$2,tbl_data[1:T1B],$A60,tbl_data[T1],$D$3)</f>
        <v>0</v>
      </c>
      <c r="AJ60" s="198">
        <f>COUNTIFS(tbl_data[12. Consultation Group of],$D$2,tbl_data[2:T1B],$A60,tbl_data[T1],$D$3)</f>
        <v>0</v>
      </c>
      <c r="AK60" s="198">
        <f>COUNTIFS(tbl_data[12. Consultation Group of],$D$2,tbl_data[3:T1B],$A60,tbl_data[T1],$D$3)</f>
        <v>0</v>
      </c>
      <c r="AL60" s="198">
        <f>COUNTIFS(tbl_data[12. Consultation Group of],$D$2,tbl_data[1:T2B],$A60,tbl_data[T2],$D$3)</f>
        <v>0</v>
      </c>
      <c r="AM60" s="198">
        <f>COUNTIFS(tbl_data[12. Consultation Group of],$D$2,tbl_data[2:T2B],$A60,tbl_data[T2],$D$3)</f>
        <v>0</v>
      </c>
      <c r="AN60" s="198">
        <f>COUNTIFS(tbl_data[12. Consultation Group of],$D$2,tbl_data[3:T2B],$A60,tbl_data[T2],$D$3)</f>
        <v>0</v>
      </c>
      <c r="AO60" s="198">
        <f>COUNTIFS(tbl_data[12. Consultation Group of],$D$2,tbl_data[1:T3B],$A60,tbl_data[T3],$D$3)</f>
        <v>0</v>
      </c>
      <c r="AP60" s="198">
        <f>COUNTIFS(tbl_data[12. Consultation Group of],$D$2,tbl_data[2:T3B],$A60,tbl_data[T3],$D$3)</f>
        <v>0</v>
      </c>
      <c r="AQ60" s="198">
        <f>COUNTIFS(tbl_data[12. Consultation Group of],$D$2,tbl_data[3:T3B],$A60,tbl_data[T3],$D$3)</f>
        <v>0</v>
      </c>
      <c r="AR60" s="198">
        <f t="shared" si="20"/>
        <v>0</v>
      </c>
      <c r="AS60" s="199" t="str">
        <f t="shared" si="21"/>
        <v>Attitudinal Issues (0)</v>
      </c>
      <c r="AT60" s="205">
        <f>COUNTIFS(tbl_data[12. Consultation Group of],$E$2,tbl_data[1:T1B],$A60,tbl_data[T1],$E$3)</f>
        <v>0</v>
      </c>
      <c r="AU60" s="198">
        <f>COUNTIFS(tbl_data[12. Consultation Group of],$E$2,tbl_data[2:T1B],$A60,tbl_data[T1],$E$3)</f>
        <v>0</v>
      </c>
      <c r="AV60" s="198">
        <f>COUNTIFS(tbl_data[12. Consultation Group of],$E$2,tbl_data[3:T1B],$A60,tbl_data[T1],$E$3)</f>
        <v>0</v>
      </c>
      <c r="AW60" s="198">
        <f>COUNTIFS(tbl_data[12. Consultation Group of],$E$2,tbl_data[1:T2B],$A60,tbl_data[T2],$E$3)</f>
        <v>0</v>
      </c>
      <c r="AX60" s="198">
        <f>COUNTIFS(tbl_data[12. Consultation Group of],$E$2,tbl_data[2:T2B],$A60,tbl_data[T2],$E$3)</f>
        <v>0</v>
      </c>
      <c r="AY60" s="198">
        <f>COUNTIFS(tbl_data[12. Consultation Group of],$E$2,tbl_data[3:T2B],$A60,tbl_data[T2],$E$3)</f>
        <v>0</v>
      </c>
      <c r="AZ60" s="198">
        <f>COUNTIFS(tbl_data[12. Consultation Group of],$E$2,tbl_data[1:T3B],$A60,tbl_data[T3],$E$3)</f>
        <v>0</v>
      </c>
      <c r="BA60" s="198">
        <f>COUNTIFS(tbl_data[12. Consultation Group of],$E$2,tbl_data[2:T3B],$A60,tbl_data[T3],$E$3)</f>
        <v>0</v>
      </c>
      <c r="BB60" s="198">
        <f>COUNTIFS(tbl_data[12. Consultation Group of],$E$2,tbl_data[3:T3B],$A60,tbl_data[T3],$E$3)</f>
        <v>0</v>
      </c>
      <c r="BC60" s="198">
        <f t="shared" si="22"/>
        <v>0</v>
      </c>
      <c r="BD60" s="199" t="str">
        <f t="shared" si="23"/>
        <v>Attitudinal Issues (0)</v>
      </c>
      <c r="BE60" s="205">
        <f>COUNTIFS(tbl_data[1:T1B],$A60,tbl_data[T1],$F$3)</f>
        <v>0</v>
      </c>
      <c r="BF60" s="198">
        <f>COUNTIFS(tbl_data[2:T1B],$A60,tbl_data[T1],$F$3)</f>
        <v>0</v>
      </c>
      <c r="BG60" s="198">
        <f>COUNTIFS(tbl_data[3:T1B],$A60,tbl_data[T1],$F$3)</f>
        <v>0</v>
      </c>
      <c r="BH60" s="198">
        <f>COUNTIFS(tbl_data[1:T2B],$A60,tbl_data[T2],$F$3)</f>
        <v>0</v>
      </c>
      <c r="BI60" s="198">
        <f>COUNTIFS(tbl_data[2:T2B],$A60,tbl_data[T2],$F$3)</f>
        <v>0</v>
      </c>
      <c r="BJ60" s="198">
        <f>COUNTIFS(tbl_data[3:T2B],$A60,tbl_data[T2],$F$3)</f>
        <v>0</v>
      </c>
      <c r="BK60" s="198">
        <f>COUNTIFS(tbl_data[1:T3B],$A60,tbl_data[T3],$F$3)</f>
        <v>0</v>
      </c>
      <c r="BL60" s="198">
        <f>COUNTIFS(tbl_data[2:T3B],$A60,tbl_data[T3],$F$3)</f>
        <v>0</v>
      </c>
      <c r="BM60" s="198">
        <f>COUNTIFS(tbl_data[3:T3B],$A60,tbl_data[T3],$F$3)</f>
        <v>0</v>
      </c>
      <c r="BN60" s="198">
        <f t="shared" si="24"/>
        <v>0</v>
      </c>
      <c r="BO60" s="199" t="str">
        <f t="shared" si="25"/>
        <v>Attitudinal Issues (0)</v>
      </c>
      <c r="BQ60" t="str">
        <f t="shared" si="26"/>
        <v>Attitudinal Issues</v>
      </c>
      <c r="BR60">
        <f t="shared" si="27"/>
        <v>1</v>
      </c>
      <c r="BS60" t="s">
        <v>929</v>
      </c>
      <c r="BT60" t="s">
        <v>424</v>
      </c>
      <c r="BU60" s="39" t="s">
        <v>929</v>
      </c>
      <c r="BV60" t="s">
        <v>933</v>
      </c>
    </row>
    <row r="61" spans="1:74" x14ac:dyDescent="0.25">
      <c r="A61" s="215" t="s">
        <v>208</v>
      </c>
      <c r="B61" s="205">
        <f>COUNTIFS(tbl_data[12. Consultation Group of],$A$2,tbl_data[1:T1B],$A61,tbl_data[T1],$A$3)</f>
        <v>0</v>
      </c>
      <c r="C61" s="198">
        <f>COUNTIFS(tbl_data[12. Consultation Group of],$A$2,tbl_data[2:T1B],$A61,tbl_data[T1],$A$3)</f>
        <v>0</v>
      </c>
      <c r="D61" s="198">
        <f>COUNTIFS(tbl_data[12. Consultation Group of],$A$2,tbl_data[3:T1B],$A61,tbl_data[T1],$A$3)</f>
        <v>0</v>
      </c>
      <c r="E61" s="198">
        <f>COUNTIFS(tbl_data[12. Consultation Group of],$A$2,tbl_data[1:T2B],$A61,tbl_data[T2],$A$3)</f>
        <v>0</v>
      </c>
      <c r="F61" s="198">
        <f>COUNTIFS(tbl_data[12. Consultation Group of],$A$2,tbl_data[2:T2B],$A61,tbl_data[T2],$A$3)</f>
        <v>0</v>
      </c>
      <c r="G61" s="198">
        <f>COUNTIFS(tbl_data[12. Consultation Group of],$A$2,tbl_data[3:T2B],$A61,tbl_data[T2],$A$3)</f>
        <v>0</v>
      </c>
      <c r="H61" s="198">
        <f>COUNTIFS(tbl_data[12. Consultation Group of],$A$2,tbl_data[1:T3B],$A61,tbl_data[T3],$A$3)</f>
        <v>0</v>
      </c>
      <c r="I61" s="198">
        <f>COUNTIFS(tbl_data[12. Consultation Group of],$A$2,tbl_data[2:T3B],$A61,tbl_data[T3],$A$3)</f>
        <v>0</v>
      </c>
      <c r="J61" s="198">
        <f>COUNTIFS(tbl_data[12. Consultation Group of],$A$2,tbl_data[3:T3B],$A61,tbl_data[T3],$A$3)</f>
        <v>0</v>
      </c>
      <c r="K61" s="198">
        <f t="shared" si="14"/>
        <v>0</v>
      </c>
      <c r="L61" s="199" t="str">
        <f t="shared" si="15"/>
        <v>Lack Of Capacity (0)</v>
      </c>
      <c r="M61" s="205">
        <f>COUNTIFS(tbl_data[12. Consultation Group of],$B$2,tbl_data[1:T1B],$A61,tbl_data[T1],$B$3)</f>
        <v>0</v>
      </c>
      <c r="N61" s="198">
        <f>COUNTIFS(tbl_data[12. Consultation Group of],$B$2,tbl_data[2:T1B],$A61,tbl_data[T1],$B$3)</f>
        <v>0</v>
      </c>
      <c r="O61" s="198">
        <f>COUNTIFS(tbl_data[12. Consultation Group of],$B$2,tbl_data[3:T1B],$A61,tbl_data[T1],$B$3)</f>
        <v>0</v>
      </c>
      <c r="P61" s="198">
        <f>COUNTIFS(tbl_data[12. Consultation Group of],$B$2,tbl_data[1:T2B],$A61,tbl_data[T2],$B$3)</f>
        <v>0</v>
      </c>
      <c r="Q61" s="198">
        <f>COUNTIFS(tbl_data[12. Consultation Group of],$B$2,tbl_data[2:T2B],$A61,tbl_data[T2],$B$3)</f>
        <v>0</v>
      </c>
      <c r="R61" s="198">
        <f>COUNTIFS(tbl_data[12. Consultation Group of],$B$2,tbl_data[3:T2B],$A61,tbl_data[T2],$B$3)</f>
        <v>0</v>
      </c>
      <c r="S61" s="198">
        <f>COUNTIFS(tbl_data[12. Consultation Group of],$B$2,tbl_data[1:T3B],$A61,tbl_data[T3],$B$3)</f>
        <v>0</v>
      </c>
      <c r="T61" s="198">
        <f>COUNTIFS(tbl_data[12. Consultation Group of],$B$2,tbl_data[2:T3B],$A61,tbl_data[T3],$B$3)</f>
        <v>0</v>
      </c>
      <c r="U61" s="198">
        <f>COUNTIFS(tbl_data[12. Consultation Group of],$B$2,tbl_data[3:T3B],$A61,tbl_data[T3],$B$3)</f>
        <v>0</v>
      </c>
      <c r="V61" s="198">
        <f t="shared" si="16"/>
        <v>0</v>
      </c>
      <c r="W61" s="199" t="str">
        <f t="shared" si="17"/>
        <v>Lack Of Capacity (0)</v>
      </c>
      <c r="X61" s="205">
        <f>COUNTIFS(tbl_data[12. Consultation Group of],$C$2,tbl_data[1:T1B],$A61,tbl_data[T1],$C$3)</f>
        <v>0</v>
      </c>
      <c r="Y61" s="198">
        <f>COUNTIFS(tbl_data[12. Consultation Group of],$C$2,tbl_data[2:T1B],$A61,tbl_data[T1],$C$3)</f>
        <v>0</v>
      </c>
      <c r="Z61" s="198">
        <f>COUNTIFS(tbl_data[12. Consultation Group of],$C$2,tbl_data[3:T1B],$A61,tbl_data[T1],$C$3)</f>
        <v>0</v>
      </c>
      <c r="AA61" s="198">
        <f>COUNTIFS(tbl_data[12. Consultation Group of],$C$2,tbl_data[1:T2B],$A61,tbl_data[T2],$C$3)</f>
        <v>0</v>
      </c>
      <c r="AB61" s="198">
        <f>COUNTIFS(tbl_data[12. Consultation Group of],$C$2,tbl_data[2:T2B],$A61,tbl_data[T2],$C$3)</f>
        <v>0</v>
      </c>
      <c r="AC61" s="198">
        <f>COUNTIFS(tbl_data[12. Consultation Group of],$C$2,tbl_data[3:T2B],$A61,tbl_data[T2],$C$3)</f>
        <v>0</v>
      </c>
      <c r="AD61" s="198">
        <f>COUNTIFS(tbl_data[12. Consultation Group of],$C$2,tbl_data[1:T3B],$A61,tbl_data[T3],$C$3)</f>
        <v>0</v>
      </c>
      <c r="AE61" s="198">
        <f>COUNTIFS(tbl_data[12. Consultation Group of],$C$2,tbl_data[2:T3B],$A61,tbl_data[T3],$C$3)</f>
        <v>0</v>
      </c>
      <c r="AF61" s="198">
        <f>COUNTIFS(tbl_data[12. Consultation Group of],$C$2,tbl_data[3:T3B],$A61,tbl_data[T3],$C$3)</f>
        <v>0</v>
      </c>
      <c r="AG61" s="198">
        <f t="shared" si="18"/>
        <v>0</v>
      </c>
      <c r="AH61" s="199" t="str">
        <f t="shared" si="19"/>
        <v>Lack Of Capacity (0)</v>
      </c>
      <c r="AI61" s="205">
        <f>COUNTIFS(tbl_data[12. Consultation Group of],$D$2,tbl_data[1:T1B],$A61,tbl_data[T1],$D$3)</f>
        <v>0</v>
      </c>
      <c r="AJ61" s="198">
        <f>COUNTIFS(tbl_data[12. Consultation Group of],$D$2,tbl_data[2:T1B],$A61,tbl_data[T1],$D$3)</f>
        <v>0</v>
      </c>
      <c r="AK61" s="198">
        <f>COUNTIFS(tbl_data[12. Consultation Group of],$D$2,tbl_data[3:T1B],$A61,tbl_data[T1],$D$3)</f>
        <v>0</v>
      </c>
      <c r="AL61" s="198">
        <f>COUNTIFS(tbl_data[12. Consultation Group of],$D$2,tbl_data[1:T2B],$A61,tbl_data[T2],$D$3)</f>
        <v>0</v>
      </c>
      <c r="AM61" s="198">
        <f>COUNTIFS(tbl_data[12. Consultation Group of],$D$2,tbl_data[2:T2B],$A61,tbl_data[T2],$D$3)</f>
        <v>0</v>
      </c>
      <c r="AN61" s="198">
        <f>COUNTIFS(tbl_data[12. Consultation Group of],$D$2,tbl_data[3:T2B],$A61,tbl_data[T2],$D$3)</f>
        <v>0</v>
      </c>
      <c r="AO61" s="198">
        <f>COUNTIFS(tbl_data[12. Consultation Group of],$D$2,tbl_data[1:T3B],$A61,tbl_data[T3],$D$3)</f>
        <v>0</v>
      </c>
      <c r="AP61" s="198">
        <f>COUNTIFS(tbl_data[12. Consultation Group of],$D$2,tbl_data[2:T3B],$A61,tbl_data[T3],$D$3)</f>
        <v>0</v>
      </c>
      <c r="AQ61" s="198">
        <f>COUNTIFS(tbl_data[12. Consultation Group of],$D$2,tbl_data[3:T3B],$A61,tbl_data[T3],$D$3)</f>
        <v>0</v>
      </c>
      <c r="AR61" s="198">
        <f t="shared" si="20"/>
        <v>0</v>
      </c>
      <c r="AS61" s="199" t="str">
        <f t="shared" si="21"/>
        <v>Lack Of Capacity (0)</v>
      </c>
      <c r="AT61" s="205">
        <f>COUNTIFS(tbl_data[12. Consultation Group of],$E$2,tbl_data[1:T1B],$A61,tbl_data[T1],$E$3)</f>
        <v>0</v>
      </c>
      <c r="AU61" s="198">
        <f>COUNTIFS(tbl_data[12. Consultation Group of],$E$2,tbl_data[2:T1B],$A61,tbl_data[T1],$E$3)</f>
        <v>0</v>
      </c>
      <c r="AV61" s="198">
        <f>COUNTIFS(tbl_data[12. Consultation Group of],$E$2,tbl_data[3:T1B],$A61,tbl_data[T1],$E$3)</f>
        <v>0</v>
      </c>
      <c r="AW61" s="198">
        <f>COUNTIFS(tbl_data[12. Consultation Group of],$E$2,tbl_data[1:T2B],$A61,tbl_data[T2],$E$3)</f>
        <v>0</v>
      </c>
      <c r="AX61" s="198">
        <f>COUNTIFS(tbl_data[12. Consultation Group of],$E$2,tbl_data[2:T2B],$A61,tbl_data[T2],$E$3)</f>
        <v>0</v>
      </c>
      <c r="AY61" s="198">
        <f>COUNTIFS(tbl_data[12. Consultation Group of],$E$2,tbl_data[3:T2B],$A61,tbl_data[T2],$E$3)</f>
        <v>0</v>
      </c>
      <c r="AZ61" s="198">
        <f>COUNTIFS(tbl_data[12. Consultation Group of],$E$2,tbl_data[1:T3B],$A61,tbl_data[T3],$E$3)</f>
        <v>0</v>
      </c>
      <c r="BA61" s="198">
        <f>COUNTIFS(tbl_data[12. Consultation Group of],$E$2,tbl_data[2:T3B],$A61,tbl_data[T3],$E$3)</f>
        <v>0</v>
      </c>
      <c r="BB61" s="198">
        <f>COUNTIFS(tbl_data[12. Consultation Group of],$E$2,tbl_data[3:T3B],$A61,tbl_data[T3],$E$3)</f>
        <v>0</v>
      </c>
      <c r="BC61" s="198">
        <f t="shared" si="22"/>
        <v>0</v>
      </c>
      <c r="BD61" s="199" t="str">
        <f t="shared" si="23"/>
        <v>Lack Of Capacity (0)</v>
      </c>
      <c r="BE61" s="205">
        <f>COUNTIFS(tbl_data[1:T1B],$A61,tbl_data[T1],$F$3)</f>
        <v>0</v>
      </c>
      <c r="BF61" s="198">
        <f>COUNTIFS(tbl_data[2:T1B],$A61,tbl_data[T1],$F$3)</f>
        <v>0</v>
      </c>
      <c r="BG61" s="198">
        <f>COUNTIFS(tbl_data[3:T1B],$A61,tbl_data[T1],$F$3)</f>
        <v>0</v>
      </c>
      <c r="BH61" s="198">
        <f>COUNTIFS(tbl_data[1:T2B],$A61,tbl_data[T2],$F$3)</f>
        <v>0</v>
      </c>
      <c r="BI61" s="198">
        <f>COUNTIFS(tbl_data[2:T2B],$A61,tbl_data[T2],$F$3)</f>
        <v>0</v>
      </c>
      <c r="BJ61" s="198">
        <f>COUNTIFS(tbl_data[3:T2B],$A61,tbl_data[T2],$F$3)</f>
        <v>0</v>
      </c>
      <c r="BK61" s="198">
        <f>COUNTIFS(tbl_data[1:T3B],$A61,tbl_data[T3],$F$3)</f>
        <v>0</v>
      </c>
      <c r="BL61" s="198">
        <f>COUNTIFS(tbl_data[2:T3B],$A61,tbl_data[T3],$F$3)</f>
        <v>0</v>
      </c>
      <c r="BM61" s="198">
        <f>COUNTIFS(tbl_data[3:T3B],$A61,tbl_data[T3],$F$3)</f>
        <v>0</v>
      </c>
      <c r="BN61" s="198">
        <f t="shared" si="24"/>
        <v>0</v>
      </c>
      <c r="BO61" s="199" t="str">
        <f t="shared" si="25"/>
        <v>Lack Of Capacity (0)</v>
      </c>
      <c r="BQ61" t="str">
        <f t="shared" si="26"/>
        <v>Lack Of Capacity</v>
      </c>
      <c r="BR61">
        <f t="shared" si="27"/>
        <v>0</v>
      </c>
    </row>
    <row r="62" spans="1:74" x14ac:dyDescent="0.25">
      <c r="A62" s="215" t="s">
        <v>173</v>
      </c>
      <c r="B62" s="205">
        <f>COUNTIFS(tbl_data[12. Consultation Group of],$A$2,tbl_data[1:T1B],$A62,tbl_data[T1],$A$3)</f>
        <v>0</v>
      </c>
      <c r="C62" s="198">
        <f>COUNTIFS(tbl_data[12. Consultation Group of],$A$2,tbl_data[2:T1B],$A62,tbl_data[T1],$A$3)</f>
        <v>0</v>
      </c>
      <c r="D62" s="198">
        <f>COUNTIFS(tbl_data[12. Consultation Group of],$A$2,tbl_data[3:T1B],$A62,tbl_data[T1],$A$3)</f>
        <v>0</v>
      </c>
      <c r="E62" s="198">
        <f>COUNTIFS(tbl_data[12. Consultation Group of],$A$2,tbl_data[1:T2B],$A62,tbl_data[T2],$A$3)</f>
        <v>0</v>
      </c>
      <c r="F62" s="198">
        <f>COUNTIFS(tbl_data[12. Consultation Group of],$A$2,tbl_data[2:T2B],$A62,tbl_data[T2],$A$3)</f>
        <v>0</v>
      </c>
      <c r="G62" s="198">
        <f>COUNTIFS(tbl_data[12. Consultation Group of],$A$2,tbl_data[3:T2B],$A62,tbl_data[T2],$A$3)</f>
        <v>0</v>
      </c>
      <c r="H62" s="198">
        <f>COUNTIFS(tbl_data[12. Consultation Group of],$A$2,tbl_data[1:T3B],$A62,tbl_data[T3],$A$3)</f>
        <v>0</v>
      </c>
      <c r="I62" s="198">
        <f>COUNTIFS(tbl_data[12. Consultation Group of],$A$2,tbl_data[2:T3B],$A62,tbl_data[T3],$A$3)</f>
        <v>0</v>
      </c>
      <c r="J62" s="198">
        <f>COUNTIFS(tbl_data[12. Consultation Group of],$A$2,tbl_data[3:T3B],$A62,tbl_data[T3],$A$3)</f>
        <v>0</v>
      </c>
      <c r="K62" s="198">
        <f t="shared" si="14"/>
        <v>0</v>
      </c>
      <c r="L62" s="199" t="str">
        <f t="shared" si="15"/>
        <v>Conflict (0)</v>
      </c>
      <c r="M62" s="205">
        <f>COUNTIFS(tbl_data[12. Consultation Group of],$B$2,tbl_data[1:T1B],$A62,tbl_data[T1],$B$3)</f>
        <v>1</v>
      </c>
      <c r="N62" s="198">
        <f>COUNTIFS(tbl_data[12. Consultation Group of],$B$2,tbl_data[2:T1B],$A62,tbl_data[T1],$B$3)</f>
        <v>0</v>
      </c>
      <c r="O62" s="198">
        <f>COUNTIFS(tbl_data[12. Consultation Group of],$B$2,tbl_data[3:T1B],$A62,tbl_data[T1],$B$3)</f>
        <v>0</v>
      </c>
      <c r="P62" s="198">
        <f>COUNTIFS(tbl_data[12. Consultation Group of],$B$2,tbl_data[1:T2B],$A62,tbl_data[T2],$B$3)</f>
        <v>0</v>
      </c>
      <c r="Q62" s="198">
        <f>COUNTIFS(tbl_data[12. Consultation Group of],$B$2,tbl_data[2:T2B],$A62,tbl_data[T2],$B$3)</f>
        <v>0</v>
      </c>
      <c r="R62" s="198">
        <f>COUNTIFS(tbl_data[12. Consultation Group of],$B$2,tbl_data[3:T2B],$A62,tbl_data[T2],$B$3)</f>
        <v>0</v>
      </c>
      <c r="S62" s="198">
        <f>COUNTIFS(tbl_data[12. Consultation Group of],$B$2,tbl_data[1:T3B],$A62,tbl_data[T3],$B$3)</f>
        <v>0</v>
      </c>
      <c r="T62" s="198">
        <f>COUNTIFS(tbl_data[12. Consultation Group of],$B$2,tbl_data[2:T3B],$A62,tbl_data[T3],$B$3)</f>
        <v>0</v>
      </c>
      <c r="U62" s="198">
        <f>COUNTIFS(tbl_data[12. Consultation Group of],$B$2,tbl_data[3:T3B],$A62,tbl_data[T3],$B$3)</f>
        <v>0</v>
      </c>
      <c r="V62" s="198">
        <f t="shared" si="16"/>
        <v>1</v>
      </c>
      <c r="W62" s="199" t="str">
        <f t="shared" si="17"/>
        <v>Conflict (1)</v>
      </c>
      <c r="X62" s="205">
        <f>COUNTIFS(tbl_data[12. Consultation Group of],$C$2,tbl_data[1:T1B],$A62,tbl_data[T1],$C$3)</f>
        <v>0</v>
      </c>
      <c r="Y62" s="198">
        <f>COUNTIFS(tbl_data[12. Consultation Group of],$C$2,tbl_data[2:T1B],$A62,tbl_data[T1],$C$3)</f>
        <v>0</v>
      </c>
      <c r="Z62" s="198">
        <f>COUNTIFS(tbl_data[12. Consultation Group of],$C$2,tbl_data[3:T1B],$A62,tbl_data[T1],$C$3)</f>
        <v>0</v>
      </c>
      <c r="AA62" s="198">
        <f>COUNTIFS(tbl_data[12. Consultation Group of],$C$2,tbl_data[1:T2B],$A62,tbl_data[T2],$C$3)</f>
        <v>0</v>
      </c>
      <c r="AB62" s="198">
        <f>COUNTIFS(tbl_data[12. Consultation Group of],$C$2,tbl_data[2:T2B],$A62,tbl_data[T2],$C$3)</f>
        <v>0</v>
      </c>
      <c r="AC62" s="198">
        <f>COUNTIFS(tbl_data[12. Consultation Group of],$C$2,tbl_data[3:T2B],$A62,tbl_data[T2],$C$3)</f>
        <v>0</v>
      </c>
      <c r="AD62" s="198">
        <f>COUNTIFS(tbl_data[12. Consultation Group of],$C$2,tbl_data[1:T3B],$A62,tbl_data[T3],$C$3)</f>
        <v>0</v>
      </c>
      <c r="AE62" s="198">
        <f>COUNTIFS(tbl_data[12. Consultation Group of],$C$2,tbl_data[2:T3B],$A62,tbl_data[T3],$C$3)</f>
        <v>0</v>
      </c>
      <c r="AF62" s="198">
        <f>COUNTIFS(tbl_data[12. Consultation Group of],$C$2,tbl_data[3:T3B],$A62,tbl_data[T3],$C$3)</f>
        <v>0</v>
      </c>
      <c r="AG62" s="198">
        <f t="shared" si="18"/>
        <v>0</v>
      </c>
      <c r="AH62" s="199" t="str">
        <f t="shared" si="19"/>
        <v>Conflict (0)</v>
      </c>
      <c r="AI62" s="205">
        <f>COUNTIFS(tbl_data[12. Consultation Group of],$D$2,tbl_data[1:T1B],$A62,tbl_data[T1],$D$3)</f>
        <v>0</v>
      </c>
      <c r="AJ62" s="198">
        <f>COUNTIFS(tbl_data[12. Consultation Group of],$D$2,tbl_data[2:T1B],$A62,tbl_data[T1],$D$3)</f>
        <v>0</v>
      </c>
      <c r="AK62" s="198">
        <f>COUNTIFS(tbl_data[12. Consultation Group of],$D$2,tbl_data[3:T1B],$A62,tbl_data[T1],$D$3)</f>
        <v>0</v>
      </c>
      <c r="AL62" s="198">
        <f>COUNTIFS(tbl_data[12. Consultation Group of],$D$2,tbl_data[1:T2B],$A62,tbl_data[T2],$D$3)</f>
        <v>0</v>
      </c>
      <c r="AM62" s="198">
        <f>COUNTIFS(tbl_data[12. Consultation Group of],$D$2,tbl_data[2:T2B],$A62,tbl_data[T2],$D$3)</f>
        <v>0</v>
      </c>
      <c r="AN62" s="198">
        <f>COUNTIFS(tbl_data[12. Consultation Group of],$D$2,tbl_data[3:T2B],$A62,tbl_data[T2],$D$3)</f>
        <v>0</v>
      </c>
      <c r="AO62" s="198">
        <f>COUNTIFS(tbl_data[12. Consultation Group of],$D$2,tbl_data[1:T3B],$A62,tbl_data[T3],$D$3)</f>
        <v>0</v>
      </c>
      <c r="AP62" s="198">
        <f>COUNTIFS(tbl_data[12. Consultation Group of],$D$2,tbl_data[2:T3B],$A62,tbl_data[T3],$D$3)</f>
        <v>0</v>
      </c>
      <c r="AQ62" s="198">
        <f>COUNTIFS(tbl_data[12. Consultation Group of],$D$2,tbl_data[3:T3B],$A62,tbl_data[T3],$D$3)</f>
        <v>0</v>
      </c>
      <c r="AR62" s="198">
        <f t="shared" si="20"/>
        <v>0</v>
      </c>
      <c r="AS62" s="199" t="str">
        <f t="shared" si="21"/>
        <v>Conflict (0)</v>
      </c>
      <c r="AT62" s="205">
        <f>COUNTIFS(tbl_data[12. Consultation Group of],$E$2,tbl_data[1:T1B],$A62,tbl_data[T1],$E$3)</f>
        <v>0</v>
      </c>
      <c r="AU62" s="198">
        <f>COUNTIFS(tbl_data[12. Consultation Group of],$E$2,tbl_data[2:T1B],$A62,tbl_data[T1],$E$3)</f>
        <v>0</v>
      </c>
      <c r="AV62" s="198">
        <f>COUNTIFS(tbl_data[12. Consultation Group of],$E$2,tbl_data[3:T1B],$A62,tbl_data[T1],$E$3)</f>
        <v>0</v>
      </c>
      <c r="AW62" s="198">
        <f>COUNTIFS(tbl_data[12. Consultation Group of],$E$2,tbl_data[1:T2B],$A62,tbl_data[T2],$E$3)</f>
        <v>0</v>
      </c>
      <c r="AX62" s="198">
        <f>COUNTIFS(tbl_data[12. Consultation Group of],$E$2,tbl_data[2:T2B],$A62,tbl_data[T2],$E$3)</f>
        <v>0</v>
      </c>
      <c r="AY62" s="198">
        <f>COUNTIFS(tbl_data[12. Consultation Group of],$E$2,tbl_data[3:T2B],$A62,tbl_data[T2],$E$3)</f>
        <v>0</v>
      </c>
      <c r="AZ62" s="198">
        <f>COUNTIFS(tbl_data[12. Consultation Group of],$E$2,tbl_data[1:T3B],$A62,tbl_data[T3],$E$3)</f>
        <v>0</v>
      </c>
      <c r="BA62" s="198">
        <f>COUNTIFS(tbl_data[12. Consultation Group of],$E$2,tbl_data[2:T3B],$A62,tbl_data[T3],$E$3)</f>
        <v>0</v>
      </c>
      <c r="BB62" s="198">
        <f>COUNTIFS(tbl_data[12. Consultation Group of],$E$2,tbl_data[3:T3B],$A62,tbl_data[T3],$E$3)</f>
        <v>0</v>
      </c>
      <c r="BC62" s="198">
        <f t="shared" si="22"/>
        <v>0</v>
      </c>
      <c r="BD62" s="199" t="str">
        <f t="shared" si="23"/>
        <v>Conflict (0)</v>
      </c>
      <c r="BE62" s="205">
        <f>COUNTIFS(tbl_data[1:T1B],$A62,tbl_data[T1],$F$3)</f>
        <v>0</v>
      </c>
      <c r="BF62" s="198">
        <f>COUNTIFS(tbl_data[2:T1B],$A62,tbl_data[T1],$F$3)</f>
        <v>0</v>
      </c>
      <c r="BG62" s="198">
        <f>COUNTIFS(tbl_data[3:T1B],$A62,tbl_data[T1],$F$3)</f>
        <v>0</v>
      </c>
      <c r="BH62" s="198">
        <f>COUNTIFS(tbl_data[1:T2B],$A62,tbl_data[T2],$F$3)</f>
        <v>0</v>
      </c>
      <c r="BI62" s="198">
        <f>COUNTIFS(tbl_data[2:T2B],$A62,tbl_data[T2],$F$3)</f>
        <v>0</v>
      </c>
      <c r="BJ62" s="198">
        <f>COUNTIFS(tbl_data[3:T2B],$A62,tbl_data[T2],$F$3)</f>
        <v>0</v>
      </c>
      <c r="BK62" s="198">
        <f>COUNTIFS(tbl_data[1:T3B],$A62,tbl_data[T3],$F$3)</f>
        <v>0</v>
      </c>
      <c r="BL62" s="198">
        <f>COUNTIFS(tbl_data[2:T3B],$A62,tbl_data[T3],$F$3)</f>
        <v>0</v>
      </c>
      <c r="BM62" s="198">
        <f>COUNTIFS(tbl_data[3:T3B],$A62,tbl_data[T3],$F$3)</f>
        <v>0</v>
      </c>
      <c r="BN62" s="198">
        <f t="shared" si="24"/>
        <v>0</v>
      </c>
      <c r="BO62" s="199" t="str">
        <f t="shared" si="25"/>
        <v>Conflict (0)</v>
      </c>
      <c r="BQ62" t="str">
        <f t="shared" si="26"/>
        <v>Conflict</v>
      </c>
      <c r="BR62">
        <f t="shared" si="27"/>
        <v>1</v>
      </c>
      <c r="BS62" t="s">
        <v>929</v>
      </c>
      <c r="BT62" t="s">
        <v>424</v>
      </c>
      <c r="BU62" s="39" t="s">
        <v>929</v>
      </c>
      <c r="BV62" t="s">
        <v>933</v>
      </c>
    </row>
    <row r="63" spans="1:74" x14ac:dyDescent="0.25">
      <c r="A63" s="215" t="s">
        <v>257</v>
      </c>
      <c r="B63" s="205">
        <f>COUNTIFS(tbl_data[12. Consultation Group of],$A$2,tbl_data[1:T1B],$A63,tbl_data[T1],$A$3)</f>
        <v>0</v>
      </c>
      <c r="C63" s="198">
        <f>COUNTIFS(tbl_data[12. Consultation Group of],$A$2,tbl_data[2:T1B],$A63,tbl_data[T1],$A$3)</f>
        <v>0</v>
      </c>
      <c r="D63" s="198">
        <f>COUNTIFS(tbl_data[12. Consultation Group of],$A$2,tbl_data[3:T1B],$A63,tbl_data[T1],$A$3)</f>
        <v>0</v>
      </c>
      <c r="E63" s="198">
        <f>COUNTIFS(tbl_data[12. Consultation Group of],$A$2,tbl_data[1:T2B],$A63,tbl_data[T2],$A$3)</f>
        <v>0</v>
      </c>
      <c r="F63" s="198">
        <f>COUNTIFS(tbl_data[12. Consultation Group of],$A$2,tbl_data[2:T2B],$A63,tbl_data[T2],$A$3)</f>
        <v>0</v>
      </c>
      <c r="G63" s="198">
        <f>COUNTIFS(tbl_data[12. Consultation Group of],$A$2,tbl_data[3:T2B],$A63,tbl_data[T2],$A$3)</f>
        <v>0</v>
      </c>
      <c r="H63" s="198">
        <f>COUNTIFS(tbl_data[12. Consultation Group of],$A$2,tbl_data[1:T3B],$A63,tbl_data[T3],$A$3)</f>
        <v>0</v>
      </c>
      <c r="I63" s="198">
        <f>COUNTIFS(tbl_data[12. Consultation Group of],$A$2,tbl_data[2:T3B],$A63,tbl_data[T3],$A$3)</f>
        <v>0</v>
      </c>
      <c r="J63" s="198">
        <f>COUNTIFS(tbl_data[12. Consultation Group of],$A$2,tbl_data[3:T3B],$A63,tbl_data[T3],$A$3)</f>
        <v>0</v>
      </c>
      <c r="K63" s="198">
        <f t="shared" si="14"/>
        <v>0</v>
      </c>
      <c r="L63" s="199" t="str">
        <f t="shared" si="15"/>
        <v>Conflict In Schedule (0)</v>
      </c>
      <c r="M63" s="205">
        <f>COUNTIFS(tbl_data[12. Consultation Group of],$B$2,tbl_data[1:T1B],$A63,tbl_data[T1],$B$3)</f>
        <v>0</v>
      </c>
      <c r="N63" s="198">
        <f>COUNTIFS(tbl_data[12. Consultation Group of],$B$2,tbl_data[2:T1B],$A63,tbl_data[T1],$B$3)</f>
        <v>0</v>
      </c>
      <c r="O63" s="198">
        <f>COUNTIFS(tbl_data[12. Consultation Group of],$B$2,tbl_data[3:T1B],$A63,tbl_data[T1],$B$3)</f>
        <v>0</v>
      </c>
      <c r="P63" s="198">
        <f>COUNTIFS(tbl_data[12. Consultation Group of],$B$2,tbl_data[1:T2B],$A63,tbl_data[T2],$B$3)</f>
        <v>0</v>
      </c>
      <c r="Q63" s="198">
        <f>COUNTIFS(tbl_data[12. Consultation Group of],$B$2,tbl_data[2:T2B],$A63,tbl_data[T2],$B$3)</f>
        <v>0</v>
      </c>
      <c r="R63" s="198">
        <f>COUNTIFS(tbl_data[12. Consultation Group of],$B$2,tbl_data[3:T2B],$A63,tbl_data[T2],$B$3)</f>
        <v>0</v>
      </c>
      <c r="S63" s="198">
        <f>COUNTIFS(tbl_data[12. Consultation Group of],$B$2,tbl_data[1:T3B],$A63,tbl_data[T3],$B$3)</f>
        <v>0</v>
      </c>
      <c r="T63" s="198">
        <f>COUNTIFS(tbl_data[12. Consultation Group of],$B$2,tbl_data[2:T3B],$A63,tbl_data[T3],$B$3)</f>
        <v>0</v>
      </c>
      <c r="U63" s="198">
        <f>COUNTIFS(tbl_data[12. Consultation Group of],$B$2,tbl_data[3:T3B],$A63,tbl_data[T3],$B$3)</f>
        <v>0</v>
      </c>
      <c r="V63" s="198">
        <f t="shared" si="16"/>
        <v>0</v>
      </c>
      <c r="W63" s="199" t="str">
        <f t="shared" si="17"/>
        <v>Conflict In Schedule (0)</v>
      </c>
      <c r="X63" s="205">
        <f>COUNTIFS(tbl_data[12. Consultation Group of],$C$2,tbl_data[1:T1B],$A63,tbl_data[T1],$C$3)</f>
        <v>0</v>
      </c>
      <c r="Y63" s="198">
        <f>COUNTIFS(tbl_data[12. Consultation Group of],$C$2,tbl_data[2:T1B],$A63,tbl_data[T1],$C$3)</f>
        <v>0</v>
      </c>
      <c r="Z63" s="198">
        <f>COUNTIFS(tbl_data[12. Consultation Group of],$C$2,tbl_data[3:T1B],$A63,tbl_data[T1],$C$3)</f>
        <v>0</v>
      </c>
      <c r="AA63" s="198">
        <f>COUNTIFS(tbl_data[12. Consultation Group of],$C$2,tbl_data[1:T2B],$A63,tbl_data[T2],$C$3)</f>
        <v>0</v>
      </c>
      <c r="AB63" s="198">
        <f>COUNTIFS(tbl_data[12. Consultation Group of],$C$2,tbl_data[2:T2B],$A63,tbl_data[T2],$C$3)</f>
        <v>0</v>
      </c>
      <c r="AC63" s="198">
        <f>COUNTIFS(tbl_data[12. Consultation Group of],$C$2,tbl_data[3:T2B],$A63,tbl_data[T2],$C$3)</f>
        <v>0</v>
      </c>
      <c r="AD63" s="198">
        <f>COUNTIFS(tbl_data[12. Consultation Group of],$C$2,tbl_data[1:T3B],$A63,tbl_data[T3],$C$3)</f>
        <v>0</v>
      </c>
      <c r="AE63" s="198">
        <f>COUNTIFS(tbl_data[12. Consultation Group of],$C$2,tbl_data[2:T3B],$A63,tbl_data[T3],$C$3)</f>
        <v>0</v>
      </c>
      <c r="AF63" s="198">
        <f>COUNTIFS(tbl_data[12. Consultation Group of],$C$2,tbl_data[3:T3B],$A63,tbl_data[T3],$C$3)</f>
        <v>0</v>
      </c>
      <c r="AG63" s="198">
        <f t="shared" si="18"/>
        <v>0</v>
      </c>
      <c r="AH63" s="199" t="str">
        <f t="shared" si="19"/>
        <v>Conflict In Schedule (0)</v>
      </c>
      <c r="AI63" s="205">
        <f>COUNTIFS(tbl_data[12. Consultation Group of],$D$2,tbl_data[1:T1B],$A63,tbl_data[T1],$D$3)</f>
        <v>0</v>
      </c>
      <c r="AJ63" s="198">
        <f>COUNTIFS(tbl_data[12. Consultation Group of],$D$2,tbl_data[2:T1B],$A63,tbl_data[T1],$D$3)</f>
        <v>0</v>
      </c>
      <c r="AK63" s="198">
        <f>COUNTIFS(tbl_data[12. Consultation Group of],$D$2,tbl_data[3:T1B],$A63,tbl_data[T1],$D$3)</f>
        <v>0</v>
      </c>
      <c r="AL63" s="198">
        <f>COUNTIFS(tbl_data[12. Consultation Group of],$D$2,tbl_data[1:T2B],$A63,tbl_data[T2],$D$3)</f>
        <v>0</v>
      </c>
      <c r="AM63" s="198">
        <f>COUNTIFS(tbl_data[12. Consultation Group of],$D$2,tbl_data[2:T2B],$A63,tbl_data[T2],$D$3)</f>
        <v>0</v>
      </c>
      <c r="AN63" s="198">
        <f>COUNTIFS(tbl_data[12. Consultation Group of],$D$2,tbl_data[3:T2B],$A63,tbl_data[T2],$D$3)</f>
        <v>0</v>
      </c>
      <c r="AO63" s="198">
        <f>COUNTIFS(tbl_data[12. Consultation Group of],$D$2,tbl_data[1:T3B],$A63,tbl_data[T3],$D$3)</f>
        <v>0</v>
      </c>
      <c r="AP63" s="198">
        <f>COUNTIFS(tbl_data[12. Consultation Group of],$D$2,tbl_data[2:T3B],$A63,tbl_data[T3],$D$3)</f>
        <v>0</v>
      </c>
      <c r="AQ63" s="198">
        <f>COUNTIFS(tbl_data[12. Consultation Group of],$D$2,tbl_data[3:T3B],$A63,tbl_data[T3],$D$3)</f>
        <v>0</v>
      </c>
      <c r="AR63" s="198">
        <f t="shared" si="20"/>
        <v>0</v>
      </c>
      <c r="AS63" s="199" t="str">
        <f t="shared" si="21"/>
        <v>Conflict In Schedule (0)</v>
      </c>
      <c r="AT63" s="205">
        <f>COUNTIFS(tbl_data[12. Consultation Group of],$E$2,tbl_data[1:T1B],$A63,tbl_data[T1],$E$3)</f>
        <v>0</v>
      </c>
      <c r="AU63" s="198">
        <f>COUNTIFS(tbl_data[12. Consultation Group of],$E$2,tbl_data[2:T1B],$A63,tbl_data[T1],$E$3)</f>
        <v>0</v>
      </c>
      <c r="AV63" s="198">
        <f>COUNTIFS(tbl_data[12. Consultation Group of],$E$2,tbl_data[3:T1B],$A63,tbl_data[T1],$E$3)</f>
        <v>0</v>
      </c>
      <c r="AW63" s="198">
        <f>COUNTIFS(tbl_data[12. Consultation Group of],$E$2,tbl_data[1:T2B],$A63,tbl_data[T2],$E$3)</f>
        <v>0</v>
      </c>
      <c r="AX63" s="198">
        <f>COUNTIFS(tbl_data[12. Consultation Group of],$E$2,tbl_data[2:T2B],$A63,tbl_data[T2],$E$3)</f>
        <v>0</v>
      </c>
      <c r="AY63" s="198">
        <f>COUNTIFS(tbl_data[12. Consultation Group of],$E$2,tbl_data[3:T2B],$A63,tbl_data[T2],$E$3)</f>
        <v>0</v>
      </c>
      <c r="AZ63" s="198">
        <f>COUNTIFS(tbl_data[12. Consultation Group of],$E$2,tbl_data[1:T3B],$A63,tbl_data[T3],$E$3)</f>
        <v>0</v>
      </c>
      <c r="BA63" s="198">
        <f>COUNTIFS(tbl_data[12. Consultation Group of],$E$2,tbl_data[2:T3B],$A63,tbl_data[T3],$E$3)</f>
        <v>0</v>
      </c>
      <c r="BB63" s="198">
        <f>COUNTIFS(tbl_data[12. Consultation Group of],$E$2,tbl_data[3:T3B],$A63,tbl_data[T3],$E$3)</f>
        <v>0</v>
      </c>
      <c r="BC63" s="198">
        <f t="shared" si="22"/>
        <v>0</v>
      </c>
      <c r="BD63" s="199" t="str">
        <f t="shared" si="23"/>
        <v>Conflict In Schedule (0)</v>
      </c>
      <c r="BE63" s="205">
        <f>COUNTIFS(tbl_data[1:T1B],$A63,tbl_data[T1],$F$3)</f>
        <v>0</v>
      </c>
      <c r="BF63" s="198">
        <f>COUNTIFS(tbl_data[2:T1B],$A63,tbl_data[T1],$F$3)</f>
        <v>0</v>
      </c>
      <c r="BG63" s="198">
        <f>COUNTIFS(tbl_data[3:T1B],$A63,tbl_data[T1],$F$3)</f>
        <v>0</v>
      </c>
      <c r="BH63" s="198">
        <f>COUNTIFS(tbl_data[1:T2B],$A63,tbl_data[T2],$F$3)</f>
        <v>0</v>
      </c>
      <c r="BI63" s="198">
        <f>COUNTIFS(tbl_data[2:T2B],$A63,tbl_data[T2],$F$3)</f>
        <v>0</v>
      </c>
      <c r="BJ63" s="198">
        <f>COUNTIFS(tbl_data[3:T2B],$A63,tbl_data[T2],$F$3)</f>
        <v>0</v>
      </c>
      <c r="BK63" s="198">
        <f>COUNTIFS(tbl_data[1:T3B],$A63,tbl_data[T3],$F$3)</f>
        <v>0</v>
      </c>
      <c r="BL63" s="198">
        <f>COUNTIFS(tbl_data[2:T3B],$A63,tbl_data[T3],$F$3)</f>
        <v>0</v>
      </c>
      <c r="BM63" s="198">
        <f>COUNTIFS(tbl_data[3:T3B],$A63,tbl_data[T3],$F$3)</f>
        <v>0</v>
      </c>
      <c r="BN63" s="198">
        <f t="shared" si="24"/>
        <v>0</v>
      </c>
      <c r="BO63" s="199" t="str">
        <f t="shared" si="25"/>
        <v>Conflict In Schedule (0)</v>
      </c>
      <c r="BQ63" t="str">
        <f t="shared" si="26"/>
        <v>Conflict In Schedule</v>
      </c>
      <c r="BR63">
        <f t="shared" si="27"/>
        <v>0</v>
      </c>
    </row>
    <row r="64" spans="1:74" x14ac:dyDescent="0.25">
      <c r="A64" s="215" t="s">
        <v>276</v>
      </c>
      <c r="B64" s="205">
        <f>COUNTIFS(tbl_data[12. Consultation Group of],$A$2,tbl_data[1:T1B],$A64,tbl_data[T1],$A$3)</f>
        <v>0</v>
      </c>
      <c r="C64" s="198">
        <f>COUNTIFS(tbl_data[12. Consultation Group of],$A$2,tbl_data[2:T1B],$A64,tbl_data[T1],$A$3)</f>
        <v>0</v>
      </c>
      <c r="D64" s="198">
        <f>COUNTIFS(tbl_data[12. Consultation Group of],$A$2,tbl_data[3:T1B],$A64,tbl_data[T1],$A$3)</f>
        <v>0</v>
      </c>
      <c r="E64" s="198">
        <f>COUNTIFS(tbl_data[12. Consultation Group of],$A$2,tbl_data[1:T2B],$A64,tbl_data[T2],$A$3)</f>
        <v>0</v>
      </c>
      <c r="F64" s="198">
        <f>COUNTIFS(tbl_data[12. Consultation Group of],$A$2,tbl_data[2:T2B],$A64,tbl_data[T2],$A$3)</f>
        <v>0</v>
      </c>
      <c r="G64" s="198">
        <f>COUNTIFS(tbl_data[12. Consultation Group of],$A$2,tbl_data[3:T2B],$A64,tbl_data[T2],$A$3)</f>
        <v>0</v>
      </c>
      <c r="H64" s="198">
        <f>COUNTIFS(tbl_data[12. Consultation Group of],$A$2,tbl_data[1:T3B],$A64,tbl_data[T3],$A$3)</f>
        <v>0</v>
      </c>
      <c r="I64" s="198">
        <f>COUNTIFS(tbl_data[12. Consultation Group of],$A$2,tbl_data[2:T3B],$A64,tbl_data[T3],$A$3)</f>
        <v>0</v>
      </c>
      <c r="J64" s="198">
        <f>COUNTIFS(tbl_data[12. Consultation Group of],$A$2,tbl_data[3:T3B],$A64,tbl_data[T3],$A$3)</f>
        <v>0</v>
      </c>
      <c r="K64" s="198">
        <f t="shared" si="14"/>
        <v>0</v>
      </c>
      <c r="L64" s="199" t="str">
        <f t="shared" si="15"/>
        <v>High Debt (0)</v>
      </c>
      <c r="M64" s="205">
        <f>COUNTIFS(tbl_data[12. Consultation Group of],$B$2,tbl_data[1:T1B],$A64,tbl_data[T1],$B$3)</f>
        <v>0</v>
      </c>
      <c r="N64" s="198">
        <f>COUNTIFS(tbl_data[12. Consultation Group of],$B$2,tbl_data[2:T1B],$A64,tbl_data[T1],$B$3)</f>
        <v>0</v>
      </c>
      <c r="O64" s="198">
        <f>COUNTIFS(tbl_data[12. Consultation Group of],$B$2,tbl_data[3:T1B],$A64,tbl_data[T1],$B$3)</f>
        <v>0</v>
      </c>
      <c r="P64" s="198">
        <f>COUNTIFS(tbl_data[12. Consultation Group of],$B$2,tbl_data[1:T2B],$A64,tbl_data[T2],$B$3)</f>
        <v>0</v>
      </c>
      <c r="Q64" s="198">
        <f>COUNTIFS(tbl_data[12. Consultation Group of],$B$2,tbl_data[2:T2B],$A64,tbl_data[T2],$B$3)</f>
        <v>0</v>
      </c>
      <c r="R64" s="198">
        <f>COUNTIFS(tbl_data[12. Consultation Group of],$B$2,tbl_data[3:T2B],$A64,tbl_data[T2],$B$3)</f>
        <v>0</v>
      </c>
      <c r="S64" s="198">
        <f>COUNTIFS(tbl_data[12. Consultation Group of],$B$2,tbl_data[1:T3B],$A64,tbl_data[T3],$B$3)</f>
        <v>0</v>
      </c>
      <c r="T64" s="198">
        <f>COUNTIFS(tbl_data[12. Consultation Group of],$B$2,tbl_data[2:T3B],$A64,tbl_data[T3],$B$3)</f>
        <v>0</v>
      </c>
      <c r="U64" s="198">
        <f>COUNTIFS(tbl_data[12. Consultation Group of],$B$2,tbl_data[3:T3B],$A64,tbl_data[T3],$B$3)</f>
        <v>0</v>
      </c>
      <c r="V64" s="198">
        <f t="shared" si="16"/>
        <v>0</v>
      </c>
      <c r="W64" s="199" t="str">
        <f t="shared" si="17"/>
        <v>High Debt (0)</v>
      </c>
      <c r="X64" s="205">
        <f>COUNTIFS(tbl_data[12. Consultation Group of],$C$2,tbl_data[1:T1B],$A64,tbl_data[T1],$C$3)</f>
        <v>0</v>
      </c>
      <c r="Y64" s="198">
        <f>COUNTIFS(tbl_data[12. Consultation Group of],$C$2,tbl_data[2:T1B],$A64,tbl_data[T1],$C$3)</f>
        <v>0</v>
      </c>
      <c r="Z64" s="198">
        <f>COUNTIFS(tbl_data[12. Consultation Group of],$C$2,tbl_data[3:T1B],$A64,tbl_data[T1],$C$3)</f>
        <v>0</v>
      </c>
      <c r="AA64" s="198">
        <f>COUNTIFS(tbl_data[12. Consultation Group of],$C$2,tbl_data[1:T2B],$A64,tbl_data[T2],$C$3)</f>
        <v>0</v>
      </c>
      <c r="AB64" s="198">
        <f>COUNTIFS(tbl_data[12. Consultation Group of],$C$2,tbl_data[2:T2B],$A64,tbl_data[T2],$C$3)</f>
        <v>0</v>
      </c>
      <c r="AC64" s="198">
        <f>COUNTIFS(tbl_data[12. Consultation Group of],$C$2,tbl_data[3:T2B],$A64,tbl_data[T2],$C$3)</f>
        <v>0</v>
      </c>
      <c r="AD64" s="198">
        <f>COUNTIFS(tbl_data[12. Consultation Group of],$C$2,tbl_data[1:T3B],$A64,tbl_data[T3],$C$3)</f>
        <v>0</v>
      </c>
      <c r="AE64" s="198">
        <f>COUNTIFS(tbl_data[12. Consultation Group of],$C$2,tbl_data[2:T3B],$A64,tbl_data[T3],$C$3)</f>
        <v>0</v>
      </c>
      <c r="AF64" s="198">
        <f>COUNTIFS(tbl_data[12. Consultation Group of],$C$2,tbl_data[3:T3B],$A64,tbl_data[T3],$C$3)</f>
        <v>0</v>
      </c>
      <c r="AG64" s="198">
        <f t="shared" si="18"/>
        <v>0</v>
      </c>
      <c r="AH64" s="199" t="str">
        <f t="shared" si="19"/>
        <v>High Debt (0)</v>
      </c>
      <c r="AI64" s="205">
        <f>COUNTIFS(tbl_data[12. Consultation Group of],$D$2,tbl_data[1:T1B],$A64,tbl_data[T1],$D$3)</f>
        <v>0</v>
      </c>
      <c r="AJ64" s="198">
        <f>COUNTIFS(tbl_data[12. Consultation Group of],$D$2,tbl_data[2:T1B],$A64,tbl_data[T1],$D$3)</f>
        <v>0</v>
      </c>
      <c r="AK64" s="198">
        <f>COUNTIFS(tbl_data[12. Consultation Group of],$D$2,tbl_data[3:T1B],$A64,tbl_data[T1],$D$3)</f>
        <v>0</v>
      </c>
      <c r="AL64" s="198">
        <f>COUNTIFS(tbl_data[12. Consultation Group of],$D$2,tbl_data[1:T2B],$A64,tbl_data[T2],$D$3)</f>
        <v>0</v>
      </c>
      <c r="AM64" s="198">
        <f>COUNTIFS(tbl_data[12. Consultation Group of],$D$2,tbl_data[2:T2B],$A64,tbl_data[T2],$D$3)</f>
        <v>0</v>
      </c>
      <c r="AN64" s="198">
        <f>COUNTIFS(tbl_data[12. Consultation Group of],$D$2,tbl_data[3:T2B],$A64,tbl_data[T2],$D$3)</f>
        <v>0</v>
      </c>
      <c r="AO64" s="198">
        <f>COUNTIFS(tbl_data[12. Consultation Group of],$D$2,tbl_data[1:T3B],$A64,tbl_data[T3],$D$3)</f>
        <v>0</v>
      </c>
      <c r="AP64" s="198">
        <f>COUNTIFS(tbl_data[12. Consultation Group of],$D$2,tbl_data[2:T3B],$A64,tbl_data[T3],$D$3)</f>
        <v>0</v>
      </c>
      <c r="AQ64" s="198">
        <f>COUNTIFS(tbl_data[12. Consultation Group of],$D$2,tbl_data[3:T3B],$A64,tbl_data[T3],$D$3)</f>
        <v>0</v>
      </c>
      <c r="AR64" s="198">
        <f t="shared" si="20"/>
        <v>0</v>
      </c>
      <c r="AS64" s="199" t="str">
        <f t="shared" si="21"/>
        <v>High Debt (0)</v>
      </c>
      <c r="AT64" s="205">
        <f>COUNTIFS(tbl_data[12. Consultation Group of],$E$2,tbl_data[1:T1B],$A64,tbl_data[T1],$E$3)</f>
        <v>0</v>
      </c>
      <c r="AU64" s="198">
        <f>COUNTIFS(tbl_data[12. Consultation Group of],$E$2,tbl_data[2:T1B],$A64,tbl_data[T1],$E$3)</f>
        <v>0</v>
      </c>
      <c r="AV64" s="198">
        <f>COUNTIFS(tbl_data[12. Consultation Group of],$E$2,tbl_data[3:T1B],$A64,tbl_data[T1],$E$3)</f>
        <v>0</v>
      </c>
      <c r="AW64" s="198">
        <f>COUNTIFS(tbl_data[12. Consultation Group of],$E$2,tbl_data[1:T2B],$A64,tbl_data[T2],$E$3)</f>
        <v>0</v>
      </c>
      <c r="AX64" s="198">
        <f>COUNTIFS(tbl_data[12. Consultation Group of],$E$2,tbl_data[2:T2B],$A64,tbl_data[T2],$E$3)</f>
        <v>0</v>
      </c>
      <c r="AY64" s="198">
        <f>COUNTIFS(tbl_data[12. Consultation Group of],$E$2,tbl_data[3:T2B],$A64,tbl_data[T2],$E$3)</f>
        <v>0</v>
      </c>
      <c r="AZ64" s="198">
        <f>COUNTIFS(tbl_data[12. Consultation Group of],$E$2,tbl_data[1:T3B],$A64,tbl_data[T3],$E$3)</f>
        <v>0</v>
      </c>
      <c r="BA64" s="198">
        <f>COUNTIFS(tbl_data[12. Consultation Group of],$E$2,tbl_data[2:T3B],$A64,tbl_data[T3],$E$3)</f>
        <v>0</v>
      </c>
      <c r="BB64" s="198">
        <f>COUNTIFS(tbl_data[12. Consultation Group of],$E$2,tbl_data[3:T3B],$A64,tbl_data[T3],$E$3)</f>
        <v>0</v>
      </c>
      <c r="BC64" s="198">
        <f t="shared" si="22"/>
        <v>0</v>
      </c>
      <c r="BD64" s="199" t="str">
        <f t="shared" si="23"/>
        <v>High Debt (0)</v>
      </c>
      <c r="BE64" s="205">
        <f>COUNTIFS(tbl_data[1:T1B],$A64,tbl_data[T1],$F$3)</f>
        <v>0</v>
      </c>
      <c r="BF64" s="198">
        <f>COUNTIFS(tbl_data[2:T1B],$A64,tbl_data[T1],$F$3)</f>
        <v>0</v>
      </c>
      <c r="BG64" s="198">
        <f>COUNTIFS(tbl_data[3:T1B],$A64,tbl_data[T1],$F$3)</f>
        <v>0</v>
      </c>
      <c r="BH64" s="198">
        <f>COUNTIFS(tbl_data[1:T2B],$A64,tbl_data[T2],$F$3)</f>
        <v>0</v>
      </c>
      <c r="BI64" s="198">
        <f>COUNTIFS(tbl_data[2:T2B],$A64,tbl_data[T2],$F$3)</f>
        <v>0</v>
      </c>
      <c r="BJ64" s="198">
        <f>COUNTIFS(tbl_data[3:T2B],$A64,tbl_data[T2],$F$3)</f>
        <v>0</v>
      </c>
      <c r="BK64" s="198">
        <f>COUNTIFS(tbl_data[1:T3B],$A64,tbl_data[T3],$F$3)</f>
        <v>0</v>
      </c>
      <c r="BL64" s="198">
        <f>COUNTIFS(tbl_data[2:T3B],$A64,tbl_data[T3],$F$3)</f>
        <v>0</v>
      </c>
      <c r="BM64" s="198">
        <f>COUNTIFS(tbl_data[3:T3B],$A64,tbl_data[T3],$F$3)</f>
        <v>0</v>
      </c>
      <c r="BN64" s="198">
        <f t="shared" si="24"/>
        <v>0</v>
      </c>
      <c r="BO64" s="199" t="str">
        <f t="shared" si="25"/>
        <v>High Debt (0)</v>
      </c>
      <c r="BQ64" t="str">
        <f t="shared" si="26"/>
        <v>High Debt</v>
      </c>
      <c r="BR64">
        <f t="shared" si="27"/>
        <v>0</v>
      </c>
    </row>
    <row r="65" spans="1:74" x14ac:dyDescent="0.25">
      <c r="A65" s="215" t="s">
        <v>277</v>
      </c>
      <c r="B65" s="205">
        <f>COUNTIFS(tbl_data[12. Consultation Group of],$A$2,tbl_data[1:T1B],$A65,tbl_data[T1],$A$3)</f>
        <v>0</v>
      </c>
      <c r="C65" s="198">
        <f>COUNTIFS(tbl_data[12. Consultation Group of],$A$2,tbl_data[2:T1B],$A65,tbl_data[T1],$A$3)</f>
        <v>0</v>
      </c>
      <c r="D65" s="198">
        <f>COUNTIFS(tbl_data[12. Consultation Group of],$A$2,tbl_data[3:T1B],$A65,tbl_data[T1],$A$3)</f>
        <v>0</v>
      </c>
      <c r="E65" s="198">
        <f>COUNTIFS(tbl_data[12. Consultation Group of],$A$2,tbl_data[1:T2B],$A65,tbl_data[T2],$A$3)</f>
        <v>0</v>
      </c>
      <c r="F65" s="198">
        <f>COUNTIFS(tbl_data[12. Consultation Group of],$A$2,tbl_data[2:T2B],$A65,tbl_data[T2],$A$3)</f>
        <v>0</v>
      </c>
      <c r="G65" s="198">
        <f>COUNTIFS(tbl_data[12. Consultation Group of],$A$2,tbl_data[3:T2B],$A65,tbl_data[T2],$A$3)</f>
        <v>0</v>
      </c>
      <c r="H65" s="198">
        <f>COUNTIFS(tbl_data[12. Consultation Group of],$A$2,tbl_data[1:T3B],$A65,tbl_data[T3],$A$3)</f>
        <v>0</v>
      </c>
      <c r="I65" s="198">
        <f>COUNTIFS(tbl_data[12. Consultation Group of],$A$2,tbl_data[2:T3B],$A65,tbl_data[T3],$A$3)</f>
        <v>0</v>
      </c>
      <c r="J65" s="198">
        <f>COUNTIFS(tbl_data[12. Consultation Group of],$A$2,tbl_data[3:T3B],$A65,tbl_data[T3],$A$3)</f>
        <v>0</v>
      </c>
      <c r="K65" s="198">
        <f t="shared" si="14"/>
        <v>0</v>
      </c>
      <c r="L65" s="199" t="str">
        <f t="shared" si="15"/>
        <v>Health Condition (0)</v>
      </c>
      <c r="M65" s="205">
        <f>COUNTIFS(tbl_data[12. Consultation Group of],$B$2,tbl_data[1:T1B],$A65,tbl_data[T1],$B$3)</f>
        <v>0</v>
      </c>
      <c r="N65" s="198">
        <f>COUNTIFS(tbl_data[12. Consultation Group of],$B$2,tbl_data[2:T1B],$A65,tbl_data[T1],$B$3)</f>
        <v>0</v>
      </c>
      <c r="O65" s="198">
        <f>COUNTIFS(tbl_data[12. Consultation Group of],$B$2,tbl_data[3:T1B],$A65,tbl_data[T1],$B$3)</f>
        <v>0</v>
      </c>
      <c r="P65" s="198">
        <f>COUNTIFS(tbl_data[12. Consultation Group of],$B$2,tbl_data[1:T2B],$A65,tbl_data[T2],$B$3)</f>
        <v>0</v>
      </c>
      <c r="Q65" s="198">
        <f>COUNTIFS(tbl_data[12. Consultation Group of],$B$2,tbl_data[2:T2B],$A65,tbl_data[T2],$B$3)</f>
        <v>0</v>
      </c>
      <c r="R65" s="198">
        <f>COUNTIFS(tbl_data[12. Consultation Group of],$B$2,tbl_data[3:T2B],$A65,tbl_data[T2],$B$3)</f>
        <v>0</v>
      </c>
      <c r="S65" s="198">
        <f>COUNTIFS(tbl_data[12. Consultation Group of],$B$2,tbl_data[1:T3B],$A65,tbl_data[T3],$B$3)</f>
        <v>0</v>
      </c>
      <c r="T65" s="198">
        <f>COUNTIFS(tbl_data[12. Consultation Group of],$B$2,tbl_data[2:T3B],$A65,tbl_data[T3],$B$3)</f>
        <v>0</v>
      </c>
      <c r="U65" s="198">
        <f>COUNTIFS(tbl_data[12. Consultation Group of],$B$2,tbl_data[3:T3B],$A65,tbl_data[T3],$B$3)</f>
        <v>0</v>
      </c>
      <c r="V65" s="198">
        <f t="shared" si="16"/>
        <v>0</v>
      </c>
      <c r="W65" s="199" t="str">
        <f t="shared" si="17"/>
        <v>Health Condition (0)</v>
      </c>
      <c r="X65" s="205">
        <f>COUNTIFS(tbl_data[12. Consultation Group of],$C$2,tbl_data[1:T1B],$A65,tbl_data[T1],$C$3)</f>
        <v>0</v>
      </c>
      <c r="Y65" s="198">
        <f>COUNTIFS(tbl_data[12. Consultation Group of],$C$2,tbl_data[2:T1B],$A65,tbl_data[T1],$C$3)</f>
        <v>0</v>
      </c>
      <c r="Z65" s="198">
        <f>COUNTIFS(tbl_data[12. Consultation Group of],$C$2,tbl_data[3:T1B],$A65,tbl_data[T1],$C$3)</f>
        <v>0</v>
      </c>
      <c r="AA65" s="198">
        <f>COUNTIFS(tbl_data[12. Consultation Group of],$C$2,tbl_data[1:T2B],$A65,tbl_data[T2],$C$3)</f>
        <v>0</v>
      </c>
      <c r="AB65" s="198">
        <f>COUNTIFS(tbl_data[12. Consultation Group of],$C$2,tbl_data[2:T2B],$A65,tbl_data[T2],$C$3)</f>
        <v>0</v>
      </c>
      <c r="AC65" s="198">
        <f>COUNTIFS(tbl_data[12. Consultation Group of],$C$2,tbl_data[3:T2B],$A65,tbl_data[T2],$C$3)</f>
        <v>0</v>
      </c>
      <c r="AD65" s="198">
        <f>COUNTIFS(tbl_data[12. Consultation Group of],$C$2,tbl_data[1:T3B],$A65,tbl_data[T3],$C$3)</f>
        <v>0</v>
      </c>
      <c r="AE65" s="198">
        <f>COUNTIFS(tbl_data[12. Consultation Group of],$C$2,tbl_data[2:T3B],$A65,tbl_data[T3],$C$3)</f>
        <v>0</v>
      </c>
      <c r="AF65" s="198">
        <f>COUNTIFS(tbl_data[12. Consultation Group of],$C$2,tbl_data[3:T3B],$A65,tbl_data[T3],$C$3)</f>
        <v>0</v>
      </c>
      <c r="AG65" s="198">
        <f t="shared" si="18"/>
        <v>0</v>
      </c>
      <c r="AH65" s="199" t="str">
        <f t="shared" si="19"/>
        <v>Health Condition (0)</v>
      </c>
      <c r="AI65" s="205">
        <f>COUNTIFS(tbl_data[12. Consultation Group of],$D$2,tbl_data[1:T1B],$A65,tbl_data[T1],$D$3)</f>
        <v>0</v>
      </c>
      <c r="AJ65" s="198">
        <f>COUNTIFS(tbl_data[12. Consultation Group of],$D$2,tbl_data[2:T1B],$A65,tbl_data[T1],$D$3)</f>
        <v>0</v>
      </c>
      <c r="AK65" s="198">
        <f>COUNTIFS(tbl_data[12. Consultation Group of],$D$2,tbl_data[3:T1B],$A65,tbl_data[T1],$D$3)</f>
        <v>0</v>
      </c>
      <c r="AL65" s="198">
        <f>COUNTIFS(tbl_data[12. Consultation Group of],$D$2,tbl_data[1:T2B],$A65,tbl_data[T2],$D$3)</f>
        <v>0</v>
      </c>
      <c r="AM65" s="198">
        <f>COUNTIFS(tbl_data[12. Consultation Group of],$D$2,tbl_data[2:T2B],$A65,tbl_data[T2],$D$3)</f>
        <v>0</v>
      </c>
      <c r="AN65" s="198">
        <f>COUNTIFS(tbl_data[12. Consultation Group of],$D$2,tbl_data[3:T2B],$A65,tbl_data[T2],$D$3)</f>
        <v>0</v>
      </c>
      <c r="AO65" s="198">
        <f>COUNTIFS(tbl_data[12. Consultation Group of],$D$2,tbl_data[1:T3B],$A65,tbl_data[T3],$D$3)</f>
        <v>0</v>
      </c>
      <c r="AP65" s="198">
        <f>COUNTIFS(tbl_data[12. Consultation Group of],$D$2,tbl_data[2:T3B],$A65,tbl_data[T3],$D$3)</f>
        <v>0</v>
      </c>
      <c r="AQ65" s="198">
        <f>COUNTIFS(tbl_data[12. Consultation Group of],$D$2,tbl_data[3:T3B],$A65,tbl_data[T3],$D$3)</f>
        <v>0</v>
      </c>
      <c r="AR65" s="198">
        <f t="shared" si="20"/>
        <v>0</v>
      </c>
      <c r="AS65" s="199" t="str">
        <f t="shared" si="21"/>
        <v>Health Condition (0)</v>
      </c>
      <c r="AT65" s="205">
        <f>COUNTIFS(tbl_data[12. Consultation Group of],$E$2,tbl_data[1:T1B],$A65,tbl_data[T1],$E$3)</f>
        <v>0</v>
      </c>
      <c r="AU65" s="198">
        <f>COUNTIFS(tbl_data[12. Consultation Group of],$E$2,tbl_data[2:T1B],$A65,tbl_data[T1],$E$3)</f>
        <v>0</v>
      </c>
      <c r="AV65" s="198">
        <f>COUNTIFS(tbl_data[12. Consultation Group of],$E$2,tbl_data[3:T1B],$A65,tbl_data[T1],$E$3)</f>
        <v>0</v>
      </c>
      <c r="AW65" s="198">
        <f>COUNTIFS(tbl_data[12. Consultation Group of],$E$2,tbl_data[1:T2B],$A65,tbl_data[T2],$E$3)</f>
        <v>0</v>
      </c>
      <c r="AX65" s="198">
        <f>COUNTIFS(tbl_data[12. Consultation Group of],$E$2,tbl_data[2:T2B],$A65,tbl_data[T2],$E$3)</f>
        <v>0</v>
      </c>
      <c r="AY65" s="198">
        <f>COUNTIFS(tbl_data[12. Consultation Group of],$E$2,tbl_data[3:T2B],$A65,tbl_data[T2],$E$3)</f>
        <v>0</v>
      </c>
      <c r="AZ65" s="198">
        <f>COUNTIFS(tbl_data[12. Consultation Group of],$E$2,tbl_data[1:T3B],$A65,tbl_data[T3],$E$3)</f>
        <v>0</v>
      </c>
      <c r="BA65" s="198">
        <f>COUNTIFS(tbl_data[12. Consultation Group of],$E$2,tbl_data[2:T3B],$A65,tbl_data[T3],$E$3)</f>
        <v>0</v>
      </c>
      <c r="BB65" s="198">
        <f>COUNTIFS(tbl_data[12. Consultation Group of],$E$2,tbl_data[3:T3B],$A65,tbl_data[T3],$E$3)</f>
        <v>0</v>
      </c>
      <c r="BC65" s="198">
        <f t="shared" si="22"/>
        <v>0</v>
      </c>
      <c r="BD65" s="199" t="str">
        <f t="shared" si="23"/>
        <v>Health Condition (0)</v>
      </c>
      <c r="BE65" s="205">
        <f>COUNTIFS(tbl_data[1:T1B],$A65,tbl_data[T1],$F$3)</f>
        <v>0</v>
      </c>
      <c r="BF65" s="198">
        <f>COUNTIFS(tbl_data[2:T1B],$A65,tbl_data[T1],$F$3)</f>
        <v>0</v>
      </c>
      <c r="BG65" s="198">
        <f>COUNTIFS(tbl_data[3:T1B],$A65,tbl_data[T1],$F$3)</f>
        <v>0</v>
      </c>
      <c r="BH65" s="198">
        <f>COUNTIFS(tbl_data[1:T2B],$A65,tbl_data[T2],$F$3)</f>
        <v>0</v>
      </c>
      <c r="BI65" s="198">
        <f>COUNTIFS(tbl_data[2:T2B],$A65,tbl_data[T2],$F$3)</f>
        <v>0</v>
      </c>
      <c r="BJ65" s="198">
        <f>COUNTIFS(tbl_data[3:T2B],$A65,tbl_data[T2],$F$3)</f>
        <v>0</v>
      </c>
      <c r="BK65" s="198">
        <f>COUNTIFS(tbl_data[1:T3B],$A65,tbl_data[T3],$F$3)</f>
        <v>0</v>
      </c>
      <c r="BL65" s="198">
        <f>COUNTIFS(tbl_data[2:T3B],$A65,tbl_data[T3],$F$3)</f>
        <v>0</v>
      </c>
      <c r="BM65" s="198">
        <f>COUNTIFS(tbl_data[3:T3B],$A65,tbl_data[T3],$F$3)</f>
        <v>0</v>
      </c>
      <c r="BN65" s="198">
        <f t="shared" si="24"/>
        <v>0</v>
      </c>
      <c r="BO65" s="199" t="str">
        <f t="shared" si="25"/>
        <v>Health Condition (0)</v>
      </c>
      <c r="BQ65" t="str">
        <f t="shared" si="26"/>
        <v>Health Condition</v>
      </c>
      <c r="BR65">
        <f t="shared" si="27"/>
        <v>0</v>
      </c>
    </row>
    <row r="66" spans="1:74" x14ac:dyDescent="0.25">
      <c r="A66" s="215" t="s">
        <v>214</v>
      </c>
      <c r="B66" s="205">
        <f>COUNTIFS(tbl_data[12. Consultation Group of],$A$2,tbl_data[1:T1B],$A66,tbl_data[T1],$A$3)</f>
        <v>0</v>
      </c>
      <c r="C66" s="198">
        <f>COUNTIFS(tbl_data[12. Consultation Group of],$A$2,tbl_data[2:T1B],$A66,tbl_data[T1],$A$3)</f>
        <v>0</v>
      </c>
      <c r="D66" s="198">
        <f>COUNTIFS(tbl_data[12. Consultation Group of],$A$2,tbl_data[3:T1B],$A66,tbl_data[T1],$A$3)</f>
        <v>0</v>
      </c>
      <c r="E66" s="198">
        <f>COUNTIFS(tbl_data[12. Consultation Group of],$A$2,tbl_data[1:T2B],$A66,tbl_data[T2],$A$3)</f>
        <v>0</v>
      </c>
      <c r="F66" s="198">
        <f>COUNTIFS(tbl_data[12. Consultation Group of],$A$2,tbl_data[2:T2B],$A66,tbl_data[T2],$A$3)</f>
        <v>0</v>
      </c>
      <c r="G66" s="198">
        <f>COUNTIFS(tbl_data[12. Consultation Group of],$A$2,tbl_data[3:T2B],$A66,tbl_data[T2],$A$3)</f>
        <v>0</v>
      </c>
      <c r="H66" s="198">
        <f>COUNTIFS(tbl_data[12. Consultation Group of],$A$2,tbl_data[1:T3B],$A66,tbl_data[T3],$A$3)</f>
        <v>0</v>
      </c>
      <c r="I66" s="198">
        <f>COUNTIFS(tbl_data[12. Consultation Group of],$A$2,tbl_data[2:T3B],$A66,tbl_data[T3],$A$3)</f>
        <v>0</v>
      </c>
      <c r="J66" s="198">
        <f>COUNTIFS(tbl_data[12. Consultation Group of],$A$2,tbl_data[3:T3B],$A66,tbl_data[T3],$A$3)</f>
        <v>0</v>
      </c>
      <c r="K66" s="198">
        <f t="shared" si="14"/>
        <v>0</v>
      </c>
      <c r="L66" s="199" t="str">
        <f t="shared" si="15"/>
        <v>Lack Of Coordination Between Actors (0)</v>
      </c>
      <c r="M66" s="205">
        <f>COUNTIFS(tbl_data[12. Consultation Group of],$B$2,tbl_data[1:T1B],$A66,tbl_data[T1],$B$3)</f>
        <v>0</v>
      </c>
      <c r="N66" s="198">
        <f>COUNTIFS(tbl_data[12. Consultation Group of],$B$2,tbl_data[2:T1B],$A66,tbl_data[T1],$B$3)</f>
        <v>0</v>
      </c>
      <c r="O66" s="198">
        <f>COUNTIFS(tbl_data[12. Consultation Group of],$B$2,tbl_data[3:T1B],$A66,tbl_data[T1],$B$3)</f>
        <v>0</v>
      </c>
      <c r="P66" s="198">
        <f>COUNTIFS(tbl_data[12. Consultation Group of],$B$2,tbl_data[1:T2B],$A66,tbl_data[T2],$B$3)</f>
        <v>0</v>
      </c>
      <c r="Q66" s="198">
        <f>COUNTIFS(tbl_data[12. Consultation Group of],$B$2,tbl_data[2:T2B],$A66,tbl_data[T2],$B$3)</f>
        <v>0</v>
      </c>
      <c r="R66" s="198">
        <f>COUNTIFS(tbl_data[12. Consultation Group of],$B$2,tbl_data[3:T2B],$A66,tbl_data[T2],$B$3)</f>
        <v>0</v>
      </c>
      <c r="S66" s="198">
        <f>COUNTIFS(tbl_data[12. Consultation Group of],$B$2,tbl_data[1:T3B],$A66,tbl_data[T3],$B$3)</f>
        <v>0</v>
      </c>
      <c r="T66" s="198">
        <f>COUNTIFS(tbl_data[12. Consultation Group of],$B$2,tbl_data[2:T3B],$A66,tbl_data[T3],$B$3)</f>
        <v>0</v>
      </c>
      <c r="U66" s="198">
        <f>COUNTIFS(tbl_data[12. Consultation Group of],$B$2,tbl_data[3:T3B],$A66,tbl_data[T3],$B$3)</f>
        <v>1</v>
      </c>
      <c r="V66" s="198">
        <f t="shared" si="16"/>
        <v>1</v>
      </c>
      <c r="W66" s="199" t="str">
        <f t="shared" si="17"/>
        <v>Lack Of Coordination Between Actors (1)</v>
      </c>
      <c r="X66" s="205">
        <f>COUNTIFS(tbl_data[12. Consultation Group of],$C$2,tbl_data[1:T1B],$A66,tbl_data[T1],$C$3)</f>
        <v>0</v>
      </c>
      <c r="Y66" s="198">
        <f>COUNTIFS(tbl_data[12. Consultation Group of],$C$2,tbl_data[2:T1B],$A66,tbl_data[T1],$C$3)</f>
        <v>0</v>
      </c>
      <c r="Z66" s="198">
        <f>COUNTIFS(tbl_data[12. Consultation Group of],$C$2,tbl_data[3:T1B],$A66,tbl_data[T1],$C$3)</f>
        <v>0</v>
      </c>
      <c r="AA66" s="198">
        <f>COUNTIFS(tbl_data[12. Consultation Group of],$C$2,tbl_data[1:T2B],$A66,tbl_data[T2],$C$3)</f>
        <v>0</v>
      </c>
      <c r="AB66" s="198">
        <f>COUNTIFS(tbl_data[12. Consultation Group of],$C$2,tbl_data[2:T2B],$A66,tbl_data[T2],$C$3)</f>
        <v>0</v>
      </c>
      <c r="AC66" s="198">
        <f>COUNTIFS(tbl_data[12. Consultation Group of],$C$2,tbl_data[3:T2B],$A66,tbl_data[T2],$C$3)</f>
        <v>0</v>
      </c>
      <c r="AD66" s="198">
        <f>COUNTIFS(tbl_data[12. Consultation Group of],$C$2,tbl_data[1:T3B],$A66,tbl_data[T3],$C$3)</f>
        <v>0</v>
      </c>
      <c r="AE66" s="198">
        <f>COUNTIFS(tbl_data[12. Consultation Group of],$C$2,tbl_data[2:T3B],$A66,tbl_data[T3],$C$3)</f>
        <v>0</v>
      </c>
      <c r="AF66" s="198">
        <f>COUNTIFS(tbl_data[12. Consultation Group of],$C$2,tbl_data[3:T3B],$A66,tbl_data[T3],$C$3)</f>
        <v>0</v>
      </c>
      <c r="AG66" s="198">
        <f t="shared" si="18"/>
        <v>0</v>
      </c>
      <c r="AH66" s="199" t="str">
        <f t="shared" si="19"/>
        <v>Lack Of Coordination Between Actors (0)</v>
      </c>
      <c r="AI66" s="205">
        <f>COUNTIFS(tbl_data[12. Consultation Group of],$D$2,tbl_data[1:T1B],$A66,tbl_data[T1],$D$3)</f>
        <v>0</v>
      </c>
      <c r="AJ66" s="198">
        <f>COUNTIFS(tbl_data[12. Consultation Group of],$D$2,tbl_data[2:T1B],$A66,tbl_data[T1],$D$3)</f>
        <v>0</v>
      </c>
      <c r="AK66" s="198">
        <f>COUNTIFS(tbl_data[12. Consultation Group of],$D$2,tbl_data[3:T1B],$A66,tbl_data[T1],$D$3)</f>
        <v>0</v>
      </c>
      <c r="AL66" s="198">
        <f>COUNTIFS(tbl_data[12. Consultation Group of],$D$2,tbl_data[1:T2B],$A66,tbl_data[T2],$D$3)</f>
        <v>0</v>
      </c>
      <c r="AM66" s="198">
        <f>COUNTIFS(tbl_data[12. Consultation Group of],$D$2,tbl_data[2:T2B],$A66,tbl_data[T2],$D$3)</f>
        <v>0</v>
      </c>
      <c r="AN66" s="198">
        <f>COUNTIFS(tbl_data[12. Consultation Group of],$D$2,tbl_data[3:T2B],$A66,tbl_data[T2],$D$3)</f>
        <v>0</v>
      </c>
      <c r="AO66" s="198">
        <f>COUNTIFS(tbl_data[12. Consultation Group of],$D$2,tbl_data[1:T3B],$A66,tbl_data[T3],$D$3)</f>
        <v>0</v>
      </c>
      <c r="AP66" s="198">
        <f>COUNTIFS(tbl_data[12. Consultation Group of],$D$2,tbl_data[2:T3B],$A66,tbl_data[T3],$D$3)</f>
        <v>0</v>
      </c>
      <c r="AQ66" s="198">
        <f>COUNTIFS(tbl_data[12. Consultation Group of],$D$2,tbl_data[3:T3B],$A66,tbl_data[T3],$D$3)</f>
        <v>0</v>
      </c>
      <c r="AR66" s="198">
        <f t="shared" si="20"/>
        <v>0</v>
      </c>
      <c r="AS66" s="199" t="str">
        <f t="shared" si="21"/>
        <v>Lack Of Coordination Between Actors (0)</v>
      </c>
      <c r="AT66" s="205">
        <f>COUNTIFS(tbl_data[12. Consultation Group of],$E$2,tbl_data[1:T1B],$A66,tbl_data[T1],$E$3)</f>
        <v>0</v>
      </c>
      <c r="AU66" s="198">
        <f>COUNTIFS(tbl_data[12. Consultation Group of],$E$2,tbl_data[2:T1B],$A66,tbl_data[T1],$E$3)</f>
        <v>0</v>
      </c>
      <c r="AV66" s="198">
        <f>COUNTIFS(tbl_data[12. Consultation Group of],$E$2,tbl_data[3:T1B],$A66,tbl_data[T1],$E$3)</f>
        <v>0</v>
      </c>
      <c r="AW66" s="198">
        <f>COUNTIFS(tbl_data[12. Consultation Group of],$E$2,tbl_data[1:T2B],$A66,tbl_data[T2],$E$3)</f>
        <v>0</v>
      </c>
      <c r="AX66" s="198">
        <f>COUNTIFS(tbl_data[12. Consultation Group of],$E$2,tbl_data[2:T2B],$A66,tbl_data[T2],$E$3)</f>
        <v>0</v>
      </c>
      <c r="AY66" s="198">
        <f>COUNTIFS(tbl_data[12. Consultation Group of],$E$2,tbl_data[3:T2B],$A66,tbl_data[T2],$E$3)</f>
        <v>0</v>
      </c>
      <c r="AZ66" s="198">
        <f>COUNTIFS(tbl_data[12. Consultation Group of],$E$2,tbl_data[1:T3B],$A66,tbl_data[T3],$E$3)</f>
        <v>0</v>
      </c>
      <c r="BA66" s="198">
        <f>COUNTIFS(tbl_data[12. Consultation Group of],$E$2,tbl_data[2:T3B],$A66,tbl_data[T3],$E$3)</f>
        <v>0</v>
      </c>
      <c r="BB66" s="198">
        <f>COUNTIFS(tbl_data[12. Consultation Group of],$E$2,tbl_data[3:T3B],$A66,tbl_data[T3],$E$3)</f>
        <v>0</v>
      </c>
      <c r="BC66" s="198">
        <f t="shared" si="22"/>
        <v>0</v>
      </c>
      <c r="BD66" s="199" t="str">
        <f t="shared" si="23"/>
        <v>Lack Of Coordination Between Actors (0)</v>
      </c>
      <c r="BE66" s="205">
        <f>COUNTIFS(tbl_data[1:T1B],$A66,tbl_data[T1],$F$3)</f>
        <v>0</v>
      </c>
      <c r="BF66" s="198">
        <f>COUNTIFS(tbl_data[2:T1B],$A66,tbl_data[T1],$F$3)</f>
        <v>0</v>
      </c>
      <c r="BG66" s="198">
        <f>COUNTIFS(tbl_data[3:T1B],$A66,tbl_data[T1],$F$3)</f>
        <v>0</v>
      </c>
      <c r="BH66" s="198">
        <f>COUNTIFS(tbl_data[1:T2B],$A66,tbl_data[T2],$F$3)</f>
        <v>0</v>
      </c>
      <c r="BI66" s="198">
        <f>COUNTIFS(tbl_data[2:T2B],$A66,tbl_data[T2],$F$3)</f>
        <v>0</v>
      </c>
      <c r="BJ66" s="198">
        <f>COUNTIFS(tbl_data[3:T2B],$A66,tbl_data[T2],$F$3)</f>
        <v>0</v>
      </c>
      <c r="BK66" s="198">
        <f>COUNTIFS(tbl_data[1:T3B],$A66,tbl_data[T3],$F$3)</f>
        <v>0</v>
      </c>
      <c r="BL66" s="198">
        <f>COUNTIFS(tbl_data[2:T3B],$A66,tbl_data[T3],$F$3)</f>
        <v>0</v>
      </c>
      <c r="BM66" s="198">
        <f>COUNTIFS(tbl_data[3:T3B],$A66,tbl_data[T3],$F$3)</f>
        <v>0</v>
      </c>
      <c r="BN66" s="198">
        <f t="shared" si="24"/>
        <v>0</v>
      </c>
      <c r="BO66" s="199" t="str">
        <f t="shared" si="25"/>
        <v>Lack Of Coordination Between Actors (0)</v>
      </c>
      <c r="BQ66" t="str">
        <f t="shared" si="26"/>
        <v>Lack Of Coordination Between Actors</v>
      </c>
      <c r="BR66">
        <f t="shared" si="27"/>
        <v>1</v>
      </c>
      <c r="BS66" t="s">
        <v>942</v>
      </c>
      <c r="BT66" t="s">
        <v>925</v>
      </c>
      <c r="BU66" s="276" t="s">
        <v>925</v>
      </c>
      <c r="BV66" s="153" t="s">
        <v>932</v>
      </c>
    </row>
    <row r="67" spans="1:74" x14ac:dyDescent="0.25">
      <c r="A67" s="215" t="s">
        <v>288</v>
      </c>
      <c r="B67" s="205">
        <f>COUNTIFS(tbl_data[12. Consultation Group of],$A$2,tbl_data[1:T1B],$A67,tbl_data[T1],$A$3)</f>
        <v>0</v>
      </c>
      <c r="C67" s="198">
        <f>COUNTIFS(tbl_data[12. Consultation Group of],$A$2,tbl_data[2:T1B],$A67,tbl_data[T1],$A$3)</f>
        <v>0</v>
      </c>
      <c r="D67" s="198">
        <f>COUNTIFS(tbl_data[12. Consultation Group of],$A$2,tbl_data[3:T1B],$A67,tbl_data[T1],$A$3)</f>
        <v>0</v>
      </c>
      <c r="E67" s="198">
        <f>COUNTIFS(tbl_data[12. Consultation Group of],$A$2,tbl_data[1:T2B],$A67,tbl_data[T2],$A$3)</f>
        <v>0</v>
      </c>
      <c r="F67" s="198">
        <f>COUNTIFS(tbl_data[12. Consultation Group of],$A$2,tbl_data[2:T2B],$A67,tbl_data[T2],$A$3)</f>
        <v>0</v>
      </c>
      <c r="G67" s="198">
        <f>COUNTIFS(tbl_data[12. Consultation Group of],$A$2,tbl_data[3:T2B],$A67,tbl_data[T2],$A$3)</f>
        <v>0</v>
      </c>
      <c r="H67" s="198">
        <f>COUNTIFS(tbl_data[12. Consultation Group of],$A$2,tbl_data[1:T3B],$A67,tbl_data[T3],$A$3)</f>
        <v>0</v>
      </c>
      <c r="I67" s="198">
        <f>COUNTIFS(tbl_data[12. Consultation Group of],$A$2,tbl_data[2:T3B],$A67,tbl_data[T3],$A$3)</f>
        <v>0</v>
      </c>
      <c r="J67" s="198">
        <f>COUNTIFS(tbl_data[12. Consultation Group of],$A$2,tbl_data[3:T3B],$A67,tbl_data[T3],$A$3)</f>
        <v>0</v>
      </c>
      <c r="K67" s="198">
        <f t="shared" si="14"/>
        <v>0</v>
      </c>
      <c r="L67" s="199" t="str">
        <f t="shared" si="15"/>
        <v>Lack Of Land Surveying And Planning (0)</v>
      </c>
      <c r="M67" s="205">
        <f>COUNTIFS(tbl_data[12. Consultation Group of],$B$2,tbl_data[1:T1B],$A67,tbl_data[T1],$B$3)</f>
        <v>0</v>
      </c>
      <c r="N67" s="198">
        <f>COUNTIFS(tbl_data[12. Consultation Group of],$B$2,tbl_data[2:T1B],$A67,tbl_data[T1],$B$3)</f>
        <v>0</v>
      </c>
      <c r="O67" s="198">
        <f>COUNTIFS(tbl_data[12. Consultation Group of],$B$2,tbl_data[3:T1B],$A67,tbl_data[T1],$B$3)</f>
        <v>0</v>
      </c>
      <c r="P67" s="198">
        <f>COUNTIFS(tbl_data[12. Consultation Group of],$B$2,tbl_data[1:T2B],$A67,tbl_data[T2],$B$3)</f>
        <v>0</v>
      </c>
      <c r="Q67" s="198">
        <f>COUNTIFS(tbl_data[12. Consultation Group of],$B$2,tbl_data[2:T2B],$A67,tbl_data[T2],$B$3)</f>
        <v>0</v>
      </c>
      <c r="R67" s="198">
        <f>COUNTIFS(tbl_data[12. Consultation Group of],$B$2,tbl_data[3:T2B],$A67,tbl_data[T2],$B$3)</f>
        <v>0</v>
      </c>
      <c r="S67" s="198">
        <f>COUNTIFS(tbl_data[12. Consultation Group of],$B$2,tbl_data[1:T3B],$A67,tbl_data[T3],$B$3)</f>
        <v>0</v>
      </c>
      <c r="T67" s="198">
        <f>COUNTIFS(tbl_data[12. Consultation Group of],$B$2,tbl_data[2:T3B],$A67,tbl_data[T3],$B$3)</f>
        <v>0</v>
      </c>
      <c r="U67" s="198">
        <f>COUNTIFS(tbl_data[12. Consultation Group of],$B$2,tbl_data[3:T3B],$A67,tbl_data[T3],$B$3)</f>
        <v>0</v>
      </c>
      <c r="V67" s="198">
        <f t="shared" si="16"/>
        <v>0</v>
      </c>
      <c r="W67" s="199" t="str">
        <f t="shared" si="17"/>
        <v>Lack Of Land Surveying And Planning (0)</v>
      </c>
      <c r="X67" s="205">
        <f>COUNTIFS(tbl_data[12. Consultation Group of],$C$2,tbl_data[1:T1B],$A67,tbl_data[T1],$C$3)</f>
        <v>0</v>
      </c>
      <c r="Y67" s="198">
        <f>COUNTIFS(tbl_data[12. Consultation Group of],$C$2,tbl_data[2:T1B],$A67,tbl_data[T1],$C$3)</f>
        <v>0</v>
      </c>
      <c r="Z67" s="198">
        <f>COUNTIFS(tbl_data[12. Consultation Group of],$C$2,tbl_data[3:T1B],$A67,tbl_data[T1],$C$3)</f>
        <v>0</v>
      </c>
      <c r="AA67" s="198">
        <f>COUNTIFS(tbl_data[12. Consultation Group of],$C$2,tbl_data[1:T2B],$A67,tbl_data[T2],$C$3)</f>
        <v>0</v>
      </c>
      <c r="AB67" s="198">
        <f>COUNTIFS(tbl_data[12. Consultation Group of],$C$2,tbl_data[2:T2B],$A67,tbl_data[T2],$C$3)</f>
        <v>0</v>
      </c>
      <c r="AC67" s="198">
        <f>COUNTIFS(tbl_data[12. Consultation Group of],$C$2,tbl_data[3:T2B],$A67,tbl_data[T2],$C$3)</f>
        <v>0</v>
      </c>
      <c r="AD67" s="198">
        <f>COUNTIFS(tbl_data[12. Consultation Group of],$C$2,tbl_data[1:T3B],$A67,tbl_data[T3],$C$3)</f>
        <v>0</v>
      </c>
      <c r="AE67" s="198">
        <f>COUNTIFS(tbl_data[12. Consultation Group of],$C$2,tbl_data[2:T3B],$A67,tbl_data[T3],$C$3)</f>
        <v>0</v>
      </c>
      <c r="AF67" s="198">
        <f>COUNTIFS(tbl_data[12. Consultation Group of],$C$2,tbl_data[3:T3B],$A67,tbl_data[T3],$C$3)</f>
        <v>0</v>
      </c>
      <c r="AG67" s="198">
        <f t="shared" si="18"/>
        <v>0</v>
      </c>
      <c r="AH67" s="199" t="str">
        <f t="shared" si="19"/>
        <v>Lack Of Land Surveying And Planning (0)</v>
      </c>
      <c r="AI67" s="205">
        <f>COUNTIFS(tbl_data[12. Consultation Group of],$D$2,tbl_data[1:T1B],$A67,tbl_data[T1],$D$3)</f>
        <v>0</v>
      </c>
      <c r="AJ67" s="198">
        <f>COUNTIFS(tbl_data[12. Consultation Group of],$D$2,tbl_data[2:T1B],$A67,tbl_data[T1],$D$3)</f>
        <v>0</v>
      </c>
      <c r="AK67" s="198">
        <f>COUNTIFS(tbl_data[12. Consultation Group of],$D$2,tbl_data[3:T1B],$A67,tbl_data[T1],$D$3)</f>
        <v>0</v>
      </c>
      <c r="AL67" s="198">
        <f>COUNTIFS(tbl_data[12. Consultation Group of],$D$2,tbl_data[1:T2B],$A67,tbl_data[T2],$D$3)</f>
        <v>0</v>
      </c>
      <c r="AM67" s="198">
        <f>COUNTIFS(tbl_data[12. Consultation Group of],$D$2,tbl_data[2:T2B],$A67,tbl_data[T2],$D$3)</f>
        <v>0</v>
      </c>
      <c r="AN67" s="198">
        <f>COUNTIFS(tbl_data[12. Consultation Group of],$D$2,tbl_data[3:T2B],$A67,tbl_data[T2],$D$3)</f>
        <v>0</v>
      </c>
      <c r="AO67" s="198">
        <f>COUNTIFS(tbl_data[12. Consultation Group of],$D$2,tbl_data[1:T3B],$A67,tbl_data[T3],$D$3)</f>
        <v>0</v>
      </c>
      <c r="AP67" s="198">
        <f>COUNTIFS(tbl_data[12. Consultation Group of],$D$2,tbl_data[2:T3B],$A67,tbl_data[T3],$D$3)</f>
        <v>0</v>
      </c>
      <c r="AQ67" s="198">
        <f>COUNTIFS(tbl_data[12. Consultation Group of],$D$2,tbl_data[3:T3B],$A67,tbl_data[T3],$D$3)</f>
        <v>1</v>
      </c>
      <c r="AR67" s="198">
        <f t="shared" si="20"/>
        <v>1</v>
      </c>
      <c r="AS67" s="199" t="str">
        <f t="shared" si="21"/>
        <v>Lack Of Land Surveying And Planning (1)</v>
      </c>
      <c r="AT67" s="205">
        <f>COUNTIFS(tbl_data[12. Consultation Group of],$E$2,tbl_data[1:T1B],$A67,tbl_data[T1],$E$3)</f>
        <v>0</v>
      </c>
      <c r="AU67" s="198">
        <f>COUNTIFS(tbl_data[12. Consultation Group of],$E$2,tbl_data[2:T1B],$A67,tbl_data[T1],$E$3)</f>
        <v>0</v>
      </c>
      <c r="AV67" s="198">
        <f>COUNTIFS(tbl_data[12. Consultation Group of],$E$2,tbl_data[3:T1B],$A67,tbl_data[T1],$E$3)</f>
        <v>0</v>
      </c>
      <c r="AW67" s="198">
        <f>COUNTIFS(tbl_data[12. Consultation Group of],$E$2,tbl_data[1:T2B],$A67,tbl_data[T2],$E$3)</f>
        <v>0</v>
      </c>
      <c r="AX67" s="198">
        <f>COUNTIFS(tbl_data[12. Consultation Group of],$E$2,tbl_data[2:T2B],$A67,tbl_data[T2],$E$3)</f>
        <v>0</v>
      </c>
      <c r="AY67" s="198">
        <f>COUNTIFS(tbl_data[12. Consultation Group of],$E$2,tbl_data[3:T2B],$A67,tbl_data[T2],$E$3)</f>
        <v>0</v>
      </c>
      <c r="AZ67" s="198">
        <f>COUNTIFS(tbl_data[12. Consultation Group of],$E$2,tbl_data[1:T3B],$A67,tbl_data[T3],$E$3)</f>
        <v>0</v>
      </c>
      <c r="BA67" s="198">
        <f>COUNTIFS(tbl_data[12. Consultation Group of],$E$2,tbl_data[2:T3B],$A67,tbl_data[T3],$E$3)</f>
        <v>0</v>
      </c>
      <c r="BB67" s="198">
        <f>COUNTIFS(tbl_data[12. Consultation Group of],$E$2,tbl_data[3:T3B],$A67,tbl_data[T3],$E$3)</f>
        <v>0</v>
      </c>
      <c r="BC67" s="198">
        <f t="shared" si="22"/>
        <v>0</v>
      </c>
      <c r="BD67" s="199" t="str">
        <f t="shared" si="23"/>
        <v>Lack Of Land Surveying And Planning (0)</v>
      </c>
      <c r="BE67" s="205">
        <f>COUNTIFS(tbl_data[1:T1B],$A67,tbl_data[T1],$F$3)</f>
        <v>0</v>
      </c>
      <c r="BF67" s="198">
        <f>COUNTIFS(tbl_data[2:T1B],$A67,tbl_data[T1],$F$3)</f>
        <v>0</v>
      </c>
      <c r="BG67" s="198">
        <f>COUNTIFS(tbl_data[3:T1B],$A67,tbl_data[T1],$F$3)</f>
        <v>0</v>
      </c>
      <c r="BH67" s="198">
        <f>COUNTIFS(tbl_data[1:T2B],$A67,tbl_data[T2],$F$3)</f>
        <v>0</v>
      </c>
      <c r="BI67" s="198">
        <f>COUNTIFS(tbl_data[2:T2B],$A67,tbl_data[T2],$F$3)</f>
        <v>0</v>
      </c>
      <c r="BJ67" s="198">
        <f>COUNTIFS(tbl_data[3:T2B],$A67,tbl_data[T2],$F$3)</f>
        <v>0</v>
      </c>
      <c r="BK67" s="198">
        <f>COUNTIFS(tbl_data[1:T3B],$A67,tbl_data[T3],$F$3)</f>
        <v>0</v>
      </c>
      <c r="BL67" s="198">
        <f>COUNTIFS(tbl_data[2:T3B],$A67,tbl_data[T3],$F$3)</f>
        <v>0</v>
      </c>
      <c r="BM67" s="198">
        <f>COUNTIFS(tbl_data[3:T3B],$A67,tbl_data[T3],$F$3)</f>
        <v>1</v>
      </c>
      <c r="BN67" s="198">
        <f t="shared" si="24"/>
        <v>1</v>
      </c>
      <c r="BO67" s="199" t="str">
        <f t="shared" si="25"/>
        <v>Lack Of Land Surveying And Planning (1)</v>
      </c>
      <c r="BQ67" t="str">
        <f t="shared" si="26"/>
        <v>Lack Of Land Surveying And Planning</v>
      </c>
      <c r="BR67">
        <f t="shared" si="27"/>
        <v>2</v>
      </c>
      <c r="BS67" t="s">
        <v>942</v>
      </c>
      <c r="BT67" t="s">
        <v>925</v>
      </c>
      <c r="BU67" s="276" t="s">
        <v>925</v>
      </c>
      <c r="BV67" s="153" t="s">
        <v>932</v>
      </c>
    </row>
    <row r="68" spans="1:74" x14ac:dyDescent="0.25">
      <c r="A68" s="215" t="s">
        <v>171</v>
      </c>
      <c r="B68" s="205">
        <f>COUNTIFS(tbl_data[12. Consultation Group of],$A$2,tbl_data[1:T1B],$A68,tbl_data[T1],$A$3)</f>
        <v>0</v>
      </c>
      <c r="C68" s="198">
        <f>COUNTIFS(tbl_data[12. Consultation Group of],$A$2,tbl_data[2:T1B],$A68,tbl_data[T1],$A$3)</f>
        <v>0</v>
      </c>
      <c r="D68" s="198">
        <f>COUNTIFS(tbl_data[12. Consultation Group of],$A$2,tbl_data[3:T1B],$A68,tbl_data[T1],$A$3)</f>
        <v>0</v>
      </c>
      <c r="E68" s="198">
        <f>COUNTIFS(tbl_data[12. Consultation Group of],$A$2,tbl_data[1:T2B],$A68,tbl_data[T2],$A$3)</f>
        <v>0</v>
      </c>
      <c r="F68" s="198">
        <f>COUNTIFS(tbl_data[12. Consultation Group of],$A$2,tbl_data[2:T2B],$A68,tbl_data[T2],$A$3)</f>
        <v>0</v>
      </c>
      <c r="G68" s="198">
        <f>COUNTIFS(tbl_data[12. Consultation Group of],$A$2,tbl_data[3:T2B],$A68,tbl_data[T2],$A$3)</f>
        <v>0</v>
      </c>
      <c r="H68" s="198">
        <f>COUNTIFS(tbl_data[12. Consultation Group of],$A$2,tbl_data[1:T3B],$A68,tbl_data[T3],$A$3)</f>
        <v>0</v>
      </c>
      <c r="I68" s="198">
        <f>COUNTIFS(tbl_data[12. Consultation Group of],$A$2,tbl_data[2:T3B],$A68,tbl_data[T3],$A$3)</f>
        <v>0</v>
      </c>
      <c r="J68" s="198">
        <f>COUNTIFS(tbl_data[12. Consultation Group of],$A$2,tbl_data[3:T3B],$A68,tbl_data[T3],$A$3)</f>
        <v>0</v>
      </c>
      <c r="K68" s="198">
        <f t="shared" si="14"/>
        <v>0</v>
      </c>
      <c r="L68" s="199" t="str">
        <f t="shared" si="15"/>
        <v>Lack Of Policies (0)</v>
      </c>
      <c r="M68" s="205">
        <f>COUNTIFS(tbl_data[12. Consultation Group of],$B$2,tbl_data[1:T1B],$A68,tbl_data[T1],$B$3)</f>
        <v>0</v>
      </c>
      <c r="N68" s="198">
        <f>COUNTIFS(tbl_data[12. Consultation Group of],$B$2,tbl_data[2:T1B],$A68,tbl_data[T1],$B$3)</f>
        <v>0</v>
      </c>
      <c r="O68" s="198">
        <f>COUNTIFS(tbl_data[12. Consultation Group of],$B$2,tbl_data[3:T1B],$A68,tbl_data[T1],$B$3)</f>
        <v>0</v>
      </c>
      <c r="P68" s="198">
        <f>COUNTIFS(tbl_data[12. Consultation Group of],$B$2,tbl_data[1:T2B],$A68,tbl_data[T2],$B$3)</f>
        <v>0</v>
      </c>
      <c r="Q68" s="198">
        <f>COUNTIFS(tbl_data[12. Consultation Group of],$B$2,tbl_data[2:T2B],$A68,tbl_data[T2],$B$3)</f>
        <v>0</v>
      </c>
      <c r="R68" s="198">
        <f>COUNTIFS(tbl_data[12. Consultation Group of],$B$2,tbl_data[3:T2B],$A68,tbl_data[T2],$B$3)</f>
        <v>0</v>
      </c>
      <c r="S68" s="198">
        <f>COUNTIFS(tbl_data[12. Consultation Group of],$B$2,tbl_data[1:T3B],$A68,tbl_data[T3],$B$3)</f>
        <v>0</v>
      </c>
      <c r="T68" s="198">
        <f>COUNTIFS(tbl_data[12. Consultation Group of],$B$2,tbl_data[2:T3B],$A68,tbl_data[T3],$B$3)</f>
        <v>0</v>
      </c>
      <c r="U68" s="198">
        <f>COUNTIFS(tbl_data[12. Consultation Group of],$B$2,tbl_data[3:T3B],$A68,tbl_data[T3],$B$3)</f>
        <v>0</v>
      </c>
      <c r="V68" s="198">
        <f t="shared" si="16"/>
        <v>0</v>
      </c>
      <c r="W68" s="199" t="str">
        <f t="shared" si="17"/>
        <v>Lack Of Policies (0)</v>
      </c>
      <c r="X68" s="205">
        <f>COUNTIFS(tbl_data[12. Consultation Group of],$C$2,tbl_data[1:T1B],$A68,tbl_data[T1],$C$3)</f>
        <v>0</v>
      </c>
      <c r="Y68" s="198">
        <f>COUNTIFS(tbl_data[12. Consultation Group of],$C$2,tbl_data[2:T1B],$A68,tbl_data[T1],$C$3)</f>
        <v>0</v>
      </c>
      <c r="Z68" s="198">
        <f>COUNTIFS(tbl_data[12. Consultation Group of],$C$2,tbl_data[3:T1B],$A68,tbl_data[T1],$C$3)</f>
        <v>0</v>
      </c>
      <c r="AA68" s="198">
        <f>COUNTIFS(tbl_data[12. Consultation Group of],$C$2,tbl_data[1:T2B],$A68,tbl_data[T2],$C$3)</f>
        <v>0</v>
      </c>
      <c r="AB68" s="198">
        <f>COUNTIFS(tbl_data[12. Consultation Group of],$C$2,tbl_data[2:T2B],$A68,tbl_data[T2],$C$3)</f>
        <v>0</v>
      </c>
      <c r="AC68" s="198">
        <f>COUNTIFS(tbl_data[12. Consultation Group of],$C$2,tbl_data[3:T2B],$A68,tbl_data[T2],$C$3)</f>
        <v>0</v>
      </c>
      <c r="AD68" s="198">
        <f>COUNTIFS(tbl_data[12. Consultation Group of],$C$2,tbl_data[1:T3B],$A68,tbl_data[T3],$C$3)</f>
        <v>0</v>
      </c>
      <c r="AE68" s="198">
        <f>COUNTIFS(tbl_data[12. Consultation Group of],$C$2,tbl_data[2:T3B],$A68,tbl_data[T3],$C$3)</f>
        <v>0</v>
      </c>
      <c r="AF68" s="198">
        <f>COUNTIFS(tbl_data[12. Consultation Group of],$C$2,tbl_data[3:T3B],$A68,tbl_data[T3],$C$3)</f>
        <v>0</v>
      </c>
      <c r="AG68" s="198">
        <f t="shared" si="18"/>
        <v>0</v>
      </c>
      <c r="AH68" s="199" t="str">
        <f t="shared" si="19"/>
        <v>Lack Of Policies (0)</v>
      </c>
      <c r="AI68" s="205">
        <f>COUNTIFS(tbl_data[12. Consultation Group of],$D$2,tbl_data[1:T1B],$A68,tbl_data[T1],$D$3)</f>
        <v>1</v>
      </c>
      <c r="AJ68" s="198">
        <f>COUNTIFS(tbl_data[12. Consultation Group of],$D$2,tbl_data[2:T1B],$A68,tbl_data[T1],$D$3)</f>
        <v>0</v>
      </c>
      <c r="AK68" s="198">
        <f>COUNTIFS(tbl_data[12. Consultation Group of],$D$2,tbl_data[3:T1B],$A68,tbl_data[T1],$D$3)</f>
        <v>0</v>
      </c>
      <c r="AL68" s="198">
        <f>COUNTIFS(tbl_data[12. Consultation Group of],$D$2,tbl_data[1:T2B],$A68,tbl_data[T2],$D$3)</f>
        <v>0</v>
      </c>
      <c r="AM68" s="198">
        <f>COUNTIFS(tbl_data[12. Consultation Group of],$D$2,tbl_data[2:T2B],$A68,tbl_data[T2],$D$3)</f>
        <v>0</v>
      </c>
      <c r="AN68" s="198">
        <f>COUNTIFS(tbl_data[12. Consultation Group of],$D$2,tbl_data[3:T2B],$A68,tbl_data[T2],$D$3)</f>
        <v>0</v>
      </c>
      <c r="AO68" s="198">
        <f>COUNTIFS(tbl_data[12. Consultation Group of],$D$2,tbl_data[1:T3B],$A68,tbl_data[T3],$D$3)</f>
        <v>0</v>
      </c>
      <c r="AP68" s="198">
        <f>COUNTIFS(tbl_data[12. Consultation Group of],$D$2,tbl_data[2:T3B],$A68,tbl_data[T3],$D$3)</f>
        <v>0</v>
      </c>
      <c r="AQ68" s="198">
        <f>COUNTIFS(tbl_data[12. Consultation Group of],$D$2,tbl_data[3:T3B],$A68,tbl_data[T3],$D$3)</f>
        <v>0</v>
      </c>
      <c r="AR68" s="198">
        <f t="shared" si="20"/>
        <v>1</v>
      </c>
      <c r="AS68" s="199" t="str">
        <f t="shared" si="21"/>
        <v>Lack Of Policies (1)</v>
      </c>
      <c r="AT68" s="205">
        <f>COUNTIFS(tbl_data[12. Consultation Group of],$E$2,tbl_data[1:T1B],$A68,tbl_data[T1],$E$3)</f>
        <v>0</v>
      </c>
      <c r="AU68" s="198">
        <f>COUNTIFS(tbl_data[12. Consultation Group of],$E$2,tbl_data[2:T1B],$A68,tbl_data[T1],$E$3)</f>
        <v>0</v>
      </c>
      <c r="AV68" s="198">
        <f>COUNTIFS(tbl_data[12. Consultation Group of],$E$2,tbl_data[3:T1B],$A68,tbl_data[T1],$E$3)</f>
        <v>0</v>
      </c>
      <c r="AW68" s="198">
        <f>COUNTIFS(tbl_data[12. Consultation Group of],$E$2,tbl_data[1:T2B],$A68,tbl_data[T2],$E$3)</f>
        <v>0</v>
      </c>
      <c r="AX68" s="198">
        <f>COUNTIFS(tbl_data[12. Consultation Group of],$E$2,tbl_data[2:T2B],$A68,tbl_data[T2],$E$3)</f>
        <v>0</v>
      </c>
      <c r="AY68" s="198">
        <f>COUNTIFS(tbl_data[12. Consultation Group of],$E$2,tbl_data[3:T2B],$A68,tbl_data[T2],$E$3)</f>
        <v>0</v>
      </c>
      <c r="AZ68" s="198">
        <f>COUNTIFS(tbl_data[12. Consultation Group of],$E$2,tbl_data[1:T3B],$A68,tbl_data[T3],$E$3)</f>
        <v>0</v>
      </c>
      <c r="BA68" s="198">
        <f>COUNTIFS(tbl_data[12. Consultation Group of],$E$2,tbl_data[2:T3B],$A68,tbl_data[T3],$E$3)</f>
        <v>0</v>
      </c>
      <c r="BB68" s="198">
        <f>COUNTIFS(tbl_data[12. Consultation Group of],$E$2,tbl_data[3:T3B],$A68,tbl_data[T3],$E$3)</f>
        <v>0</v>
      </c>
      <c r="BC68" s="198">
        <f t="shared" si="22"/>
        <v>0</v>
      </c>
      <c r="BD68" s="199" t="str">
        <f t="shared" si="23"/>
        <v>Lack Of Policies (0)</v>
      </c>
      <c r="BE68" s="205">
        <f>COUNTIFS(tbl_data[1:T1B],$A68,tbl_data[T1],$F$3)</f>
        <v>1</v>
      </c>
      <c r="BF68" s="198">
        <f>COUNTIFS(tbl_data[2:T1B],$A68,tbl_data[T1],$F$3)</f>
        <v>0</v>
      </c>
      <c r="BG68" s="198">
        <f>COUNTIFS(tbl_data[3:T1B],$A68,tbl_data[T1],$F$3)</f>
        <v>0</v>
      </c>
      <c r="BH68" s="198">
        <f>COUNTIFS(tbl_data[1:T2B],$A68,tbl_data[T2],$F$3)</f>
        <v>0</v>
      </c>
      <c r="BI68" s="198">
        <f>COUNTIFS(tbl_data[2:T2B],$A68,tbl_data[T2],$F$3)</f>
        <v>0</v>
      </c>
      <c r="BJ68" s="198">
        <f>COUNTIFS(tbl_data[3:T2B],$A68,tbl_data[T2],$F$3)</f>
        <v>0</v>
      </c>
      <c r="BK68" s="198">
        <f>COUNTIFS(tbl_data[1:T3B],$A68,tbl_data[T3],$F$3)</f>
        <v>0</v>
      </c>
      <c r="BL68" s="198">
        <f>COUNTIFS(tbl_data[2:T3B],$A68,tbl_data[T3],$F$3)</f>
        <v>0</v>
      </c>
      <c r="BM68" s="198">
        <f>COUNTIFS(tbl_data[3:T3B],$A68,tbl_data[T3],$F$3)</f>
        <v>0</v>
      </c>
      <c r="BN68" s="198">
        <f t="shared" si="24"/>
        <v>1</v>
      </c>
      <c r="BO68" s="199" t="str">
        <f t="shared" si="25"/>
        <v>Lack Of Policies (1)</v>
      </c>
      <c r="BQ68" t="str">
        <f t="shared" si="26"/>
        <v>Lack Of Policies</v>
      </c>
      <c r="BR68">
        <f t="shared" si="27"/>
        <v>2</v>
      </c>
      <c r="BS68" t="s">
        <v>942</v>
      </c>
      <c r="BT68" t="s">
        <v>925</v>
      </c>
      <c r="BU68" s="276" t="s">
        <v>925</v>
      </c>
      <c r="BV68" s="153" t="s">
        <v>932</v>
      </c>
    </row>
    <row r="69" spans="1:74" x14ac:dyDescent="0.25">
      <c r="A69" s="215" t="s">
        <v>252</v>
      </c>
      <c r="B69" s="205">
        <f>COUNTIFS(tbl_data[12. Consultation Group of],$A$2,tbl_data[1:T1B],$A69,tbl_data[T1],$A$3)</f>
        <v>0</v>
      </c>
      <c r="C69" s="198">
        <f>COUNTIFS(tbl_data[12. Consultation Group of],$A$2,tbl_data[2:T1B],$A69,tbl_data[T1],$A$3)</f>
        <v>0</v>
      </c>
      <c r="D69" s="198">
        <f>COUNTIFS(tbl_data[12. Consultation Group of],$A$2,tbl_data[3:T1B],$A69,tbl_data[T1],$A$3)</f>
        <v>0</v>
      </c>
      <c r="E69" s="198">
        <f>COUNTIFS(tbl_data[12. Consultation Group of],$A$2,tbl_data[1:T2B],$A69,tbl_data[T2],$A$3)</f>
        <v>0</v>
      </c>
      <c r="F69" s="198">
        <f>COUNTIFS(tbl_data[12. Consultation Group of],$A$2,tbl_data[2:T2B],$A69,tbl_data[T2],$A$3)</f>
        <v>0</v>
      </c>
      <c r="G69" s="198">
        <f>COUNTIFS(tbl_data[12. Consultation Group of],$A$2,tbl_data[3:T2B],$A69,tbl_data[T2],$A$3)</f>
        <v>0</v>
      </c>
      <c r="H69" s="198">
        <f>COUNTIFS(tbl_data[12. Consultation Group of],$A$2,tbl_data[1:T3B],$A69,tbl_data[T3],$A$3)</f>
        <v>0</v>
      </c>
      <c r="I69" s="198">
        <f>COUNTIFS(tbl_data[12. Consultation Group of],$A$2,tbl_data[2:T3B],$A69,tbl_data[T3],$A$3)</f>
        <v>0</v>
      </c>
      <c r="J69" s="198">
        <f>COUNTIFS(tbl_data[12. Consultation Group of],$A$2,tbl_data[3:T3B],$A69,tbl_data[T3],$A$3)</f>
        <v>0</v>
      </c>
      <c r="K69" s="198">
        <f t="shared" si="14"/>
        <v>0</v>
      </c>
      <c r="L69" s="199" t="str">
        <f t="shared" si="15"/>
        <v>Poverty (0)</v>
      </c>
      <c r="M69" s="205">
        <f>COUNTIFS(tbl_data[12. Consultation Group of],$B$2,tbl_data[1:T1B],$A69,tbl_data[T1],$B$3)</f>
        <v>0</v>
      </c>
      <c r="N69" s="198">
        <f>COUNTIFS(tbl_data[12. Consultation Group of],$B$2,tbl_data[2:T1B],$A69,tbl_data[T1],$B$3)</f>
        <v>0</v>
      </c>
      <c r="O69" s="198">
        <f>COUNTIFS(tbl_data[12. Consultation Group of],$B$2,tbl_data[3:T1B],$A69,tbl_data[T1],$B$3)</f>
        <v>0</v>
      </c>
      <c r="P69" s="198">
        <f>COUNTIFS(tbl_data[12. Consultation Group of],$B$2,tbl_data[1:T2B],$A69,tbl_data[T2],$B$3)</f>
        <v>0</v>
      </c>
      <c r="Q69" s="198">
        <f>COUNTIFS(tbl_data[12. Consultation Group of],$B$2,tbl_data[2:T2B],$A69,tbl_data[T2],$B$3)</f>
        <v>0</v>
      </c>
      <c r="R69" s="198">
        <f>COUNTIFS(tbl_data[12. Consultation Group of],$B$2,tbl_data[3:T2B],$A69,tbl_data[T2],$B$3)</f>
        <v>0</v>
      </c>
      <c r="S69" s="198">
        <f>COUNTIFS(tbl_data[12. Consultation Group of],$B$2,tbl_data[1:T3B],$A69,tbl_data[T3],$B$3)</f>
        <v>0</v>
      </c>
      <c r="T69" s="198">
        <f>COUNTIFS(tbl_data[12. Consultation Group of],$B$2,tbl_data[2:T3B],$A69,tbl_data[T3],$B$3)</f>
        <v>0</v>
      </c>
      <c r="U69" s="198">
        <f>COUNTIFS(tbl_data[12. Consultation Group of],$B$2,tbl_data[3:T3B],$A69,tbl_data[T3],$B$3)</f>
        <v>0</v>
      </c>
      <c r="V69" s="198">
        <f t="shared" si="16"/>
        <v>0</v>
      </c>
      <c r="W69" s="199" t="str">
        <f t="shared" si="17"/>
        <v>Poverty (0)</v>
      </c>
      <c r="X69" s="205">
        <f>COUNTIFS(tbl_data[12. Consultation Group of],$C$2,tbl_data[1:T1B],$A69,tbl_data[T1],$C$3)</f>
        <v>0</v>
      </c>
      <c r="Y69" s="198">
        <f>COUNTIFS(tbl_data[12. Consultation Group of],$C$2,tbl_data[2:T1B],$A69,tbl_data[T1],$C$3)</f>
        <v>0</v>
      </c>
      <c r="Z69" s="198">
        <f>COUNTIFS(tbl_data[12. Consultation Group of],$C$2,tbl_data[3:T1B],$A69,tbl_data[T1],$C$3)</f>
        <v>0</v>
      </c>
      <c r="AA69" s="198">
        <f>COUNTIFS(tbl_data[12. Consultation Group of],$C$2,tbl_data[1:T2B],$A69,tbl_data[T2],$C$3)</f>
        <v>0</v>
      </c>
      <c r="AB69" s="198">
        <f>COUNTIFS(tbl_data[12. Consultation Group of],$C$2,tbl_data[2:T2B],$A69,tbl_data[T2],$C$3)</f>
        <v>0</v>
      </c>
      <c r="AC69" s="198">
        <f>COUNTIFS(tbl_data[12. Consultation Group of],$C$2,tbl_data[3:T2B],$A69,tbl_data[T2],$C$3)</f>
        <v>0</v>
      </c>
      <c r="AD69" s="198">
        <f>COUNTIFS(tbl_data[12. Consultation Group of],$C$2,tbl_data[1:T3B],$A69,tbl_data[T3],$C$3)</f>
        <v>0</v>
      </c>
      <c r="AE69" s="198">
        <f>COUNTIFS(tbl_data[12. Consultation Group of],$C$2,tbl_data[2:T3B],$A69,tbl_data[T3],$C$3)</f>
        <v>0</v>
      </c>
      <c r="AF69" s="198">
        <f>COUNTIFS(tbl_data[12. Consultation Group of],$C$2,tbl_data[3:T3B],$A69,tbl_data[T3],$C$3)</f>
        <v>0</v>
      </c>
      <c r="AG69" s="198">
        <f t="shared" si="18"/>
        <v>0</v>
      </c>
      <c r="AH69" s="199" t="str">
        <f t="shared" si="19"/>
        <v>Poverty (0)</v>
      </c>
      <c r="AI69" s="205">
        <f>COUNTIFS(tbl_data[12. Consultation Group of],$D$2,tbl_data[1:T1B],$A69,tbl_data[T1],$D$3)</f>
        <v>0</v>
      </c>
      <c r="AJ69" s="198">
        <f>COUNTIFS(tbl_data[12. Consultation Group of],$D$2,tbl_data[2:T1B],$A69,tbl_data[T1],$D$3)</f>
        <v>1</v>
      </c>
      <c r="AK69" s="198">
        <f>COUNTIFS(tbl_data[12. Consultation Group of],$D$2,tbl_data[3:T1B],$A69,tbl_data[T1],$D$3)</f>
        <v>0</v>
      </c>
      <c r="AL69" s="198">
        <f>COUNTIFS(tbl_data[12. Consultation Group of],$D$2,tbl_data[1:T2B],$A69,tbl_data[T2],$D$3)</f>
        <v>0</v>
      </c>
      <c r="AM69" s="198">
        <f>COUNTIFS(tbl_data[12. Consultation Group of],$D$2,tbl_data[2:T2B],$A69,tbl_data[T2],$D$3)</f>
        <v>0</v>
      </c>
      <c r="AN69" s="198">
        <f>COUNTIFS(tbl_data[12. Consultation Group of],$D$2,tbl_data[3:T2B],$A69,tbl_data[T2],$D$3)</f>
        <v>0</v>
      </c>
      <c r="AO69" s="198">
        <f>COUNTIFS(tbl_data[12. Consultation Group of],$D$2,tbl_data[1:T3B],$A69,tbl_data[T3],$D$3)</f>
        <v>0</v>
      </c>
      <c r="AP69" s="198">
        <f>COUNTIFS(tbl_data[12. Consultation Group of],$D$2,tbl_data[2:T3B],$A69,tbl_data[T3],$D$3)</f>
        <v>0</v>
      </c>
      <c r="AQ69" s="198">
        <f>COUNTIFS(tbl_data[12. Consultation Group of],$D$2,tbl_data[3:T3B],$A69,tbl_data[T3],$D$3)</f>
        <v>0</v>
      </c>
      <c r="AR69" s="198">
        <f t="shared" si="20"/>
        <v>1</v>
      </c>
      <c r="AS69" s="199" t="str">
        <f t="shared" si="21"/>
        <v>Poverty (1)</v>
      </c>
      <c r="AT69" s="205">
        <f>COUNTIFS(tbl_data[12. Consultation Group of],$E$2,tbl_data[1:T1B],$A69,tbl_data[T1],$E$3)</f>
        <v>0</v>
      </c>
      <c r="AU69" s="198">
        <f>COUNTIFS(tbl_data[12. Consultation Group of],$E$2,tbl_data[2:T1B],$A69,tbl_data[T1],$E$3)</f>
        <v>0</v>
      </c>
      <c r="AV69" s="198">
        <f>COUNTIFS(tbl_data[12. Consultation Group of],$E$2,tbl_data[3:T1B],$A69,tbl_data[T1],$E$3)</f>
        <v>0</v>
      </c>
      <c r="AW69" s="198">
        <f>COUNTIFS(tbl_data[12. Consultation Group of],$E$2,tbl_data[1:T2B],$A69,tbl_data[T2],$E$3)</f>
        <v>0</v>
      </c>
      <c r="AX69" s="198">
        <f>COUNTIFS(tbl_data[12. Consultation Group of],$E$2,tbl_data[2:T2B],$A69,tbl_data[T2],$E$3)</f>
        <v>0</v>
      </c>
      <c r="AY69" s="198">
        <f>COUNTIFS(tbl_data[12. Consultation Group of],$E$2,tbl_data[3:T2B],$A69,tbl_data[T2],$E$3)</f>
        <v>0</v>
      </c>
      <c r="AZ69" s="198">
        <f>COUNTIFS(tbl_data[12. Consultation Group of],$E$2,tbl_data[1:T3B],$A69,tbl_data[T3],$E$3)</f>
        <v>0</v>
      </c>
      <c r="BA69" s="198">
        <f>COUNTIFS(tbl_data[12. Consultation Group of],$E$2,tbl_data[2:T3B],$A69,tbl_data[T3],$E$3)</f>
        <v>0</v>
      </c>
      <c r="BB69" s="198">
        <f>COUNTIFS(tbl_data[12. Consultation Group of],$E$2,tbl_data[3:T3B],$A69,tbl_data[T3],$E$3)</f>
        <v>0</v>
      </c>
      <c r="BC69" s="198">
        <f t="shared" si="22"/>
        <v>0</v>
      </c>
      <c r="BD69" s="199" t="str">
        <f t="shared" si="23"/>
        <v>Poverty (0)</v>
      </c>
      <c r="BE69" s="205">
        <f>COUNTIFS(tbl_data[1:T1B],$A69,tbl_data[T1],$F$3)</f>
        <v>0</v>
      </c>
      <c r="BF69" s="198">
        <f>COUNTIFS(tbl_data[2:T1B],$A69,tbl_data[T1],$F$3)</f>
        <v>1</v>
      </c>
      <c r="BG69" s="198">
        <f>COUNTIFS(tbl_data[3:T1B],$A69,tbl_data[T1],$F$3)</f>
        <v>0</v>
      </c>
      <c r="BH69" s="198">
        <f>COUNTIFS(tbl_data[1:T2B],$A69,tbl_data[T2],$F$3)</f>
        <v>0</v>
      </c>
      <c r="BI69" s="198">
        <f>COUNTIFS(tbl_data[2:T2B],$A69,tbl_data[T2],$F$3)</f>
        <v>0</v>
      </c>
      <c r="BJ69" s="198">
        <f>COUNTIFS(tbl_data[3:T2B],$A69,tbl_data[T2],$F$3)</f>
        <v>0</v>
      </c>
      <c r="BK69" s="198">
        <f>COUNTIFS(tbl_data[1:T3B],$A69,tbl_data[T3],$F$3)</f>
        <v>0</v>
      </c>
      <c r="BL69" s="198">
        <f>COUNTIFS(tbl_data[2:T3B],$A69,tbl_data[T3],$F$3)</f>
        <v>0</v>
      </c>
      <c r="BM69" s="198">
        <f>COUNTIFS(tbl_data[3:T3B],$A69,tbl_data[T3],$F$3)</f>
        <v>0</v>
      </c>
      <c r="BN69" s="198">
        <f t="shared" si="24"/>
        <v>1</v>
      </c>
      <c r="BO69" s="199" t="str">
        <f t="shared" si="25"/>
        <v>Poverty (1)</v>
      </c>
      <c r="BQ69" t="str">
        <f t="shared" si="26"/>
        <v>Poverty</v>
      </c>
      <c r="BR69">
        <f t="shared" si="27"/>
        <v>2</v>
      </c>
      <c r="BS69" t="s">
        <v>929</v>
      </c>
      <c r="BT69" t="s">
        <v>424</v>
      </c>
      <c r="BU69" s="39" t="s">
        <v>929</v>
      </c>
      <c r="BV69" t="s">
        <v>933</v>
      </c>
    </row>
    <row r="70" spans="1:74" x14ac:dyDescent="0.25">
      <c r="A70" s="215" t="s">
        <v>216</v>
      </c>
      <c r="B70" s="205">
        <f>COUNTIFS(tbl_data[12. Consultation Group of],$A$2,tbl_data[1:T1B],$A70,tbl_data[T1],$A$3)</f>
        <v>0</v>
      </c>
      <c r="C70" s="198">
        <f>COUNTIFS(tbl_data[12. Consultation Group of],$A$2,tbl_data[2:T1B],$A70,tbl_data[T1],$A$3)</f>
        <v>0</v>
      </c>
      <c r="D70" s="198">
        <f>COUNTIFS(tbl_data[12. Consultation Group of],$A$2,tbl_data[3:T1B],$A70,tbl_data[T1],$A$3)</f>
        <v>0</v>
      </c>
      <c r="E70" s="198">
        <f>COUNTIFS(tbl_data[12. Consultation Group of],$A$2,tbl_data[1:T2B],$A70,tbl_data[T2],$A$3)</f>
        <v>0</v>
      </c>
      <c r="F70" s="198">
        <f>COUNTIFS(tbl_data[12. Consultation Group of],$A$2,tbl_data[2:T2B],$A70,tbl_data[T2],$A$3)</f>
        <v>0</v>
      </c>
      <c r="G70" s="198">
        <f>COUNTIFS(tbl_data[12. Consultation Group of],$A$2,tbl_data[3:T2B],$A70,tbl_data[T2],$A$3)</f>
        <v>0</v>
      </c>
      <c r="H70" s="198">
        <f>COUNTIFS(tbl_data[12. Consultation Group of],$A$2,tbl_data[1:T3B],$A70,tbl_data[T3],$A$3)</f>
        <v>0</v>
      </c>
      <c r="I70" s="198">
        <f>COUNTIFS(tbl_data[12. Consultation Group of],$A$2,tbl_data[2:T3B],$A70,tbl_data[T3],$A$3)</f>
        <v>0</v>
      </c>
      <c r="J70" s="198">
        <f>COUNTIFS(tbl_data[12. Consultation Group of],$A$2,tbl_data[3:T3B],$A70,tbl_data[T3],$A$3)</f>
        <v>0</v>
      </c>
      <c r="K70" s="198">
        <f t="shared" si="14"/>
        <v>0</v>
      </c>
      <c r="L70" s="199" t="str">
        <f t="shared" si="15"/>
        <v>Climate Change (0)</v>
      </c>
      <c r="M70" s="205">
        <f>COUNTIFS(tbl_data[12. Consultation Group of],$B$2,tbl_data[1:T1B],$A70,tbl_data[T1],$B$3)</f>
        <v>0</v>
      </c>
      <c r="N70" s="198">
        <f>COUNTIFS(tbl_data[12. Consultation Group of],$B$2,tbl_data[2:T1B],$A70,tbl_data[T1],$B$3)</f>
        <v>0</v>
      </c>
      <c r="O70" s="198">
        <f>COUNTIFS(tbl_data[12. Consultation Group of],$B$2,tbl_data[3:T1B],$A70,tbl_data[T1],$B$3)</f>
        <v>0</v>
      </c>
      <c r="P70" s="198">
        <f>COUNTIFS(tbl_data[12. Consultation Group of],$B$2,tbl_data[1:T2B],$A70,tbl_data[T2],$B$3)</f>
        <v>0</v>
      </c>
      <c r="Q70" s="198">
        <f>COUNTIFS(tbl_data[12. Consultation Group of],$B$2,tbl_data[2:T2B],$A70,tbl_data[T2],$B$3)</f>
        <v>0</v>
      </c>
      <c r="R70" s="198">
        <f>COUNTIFS(tbl_data[12. Consultation Group of],$B$2,tbl_data[3:T2B],$A70,tbl_data[T2],$B$3)</f>
        <v>0</v>
      </c>
      <c r="S70" s="198">
        <f>COUNTIFS(tbl_data[12. Consultation Group of],$B$2,tbl_data[1:T3B],$A70,tbl_data[T3],$B$3)</f>
        <v>0</v>
      </c>
      <c r="T70" s="198">
        <f>COUNTIFS(tbl_data[12. Consultation Group of],$B$2,tbl_data[2:T3B],$A70,tbl_data[T3],$B$3)</f>
        <v>0</v>
      </c>
      <c r="U70" s="198">
        <f>COUNTIFS(tbl_data[12. Consultation Group of],$B$2,tbl_data[3:T3B],$A70,tbl_data[T3],$B$3)</f>
        <v>0</v>
      </c>
      <c r="V70" s="198">
        <f t="shared" si="16"/>
        <v>0</v>
      </c>
      <c r="W70" s="199" t="str">
        <f t="shared" si="17"/>
        <v>Climate Change (0)</v>
      </c>
      <c r="X70" s="205">
        <f>COUNTIFS(tbl_data[12. Consultation Group of],$C$2,tbl_data[1:T1B],$A70,tbl_data[T1],$C$3)</f>
        <v>0</v>
      </c>
      <c r="Y70" s="198">
        <f>COUNTIFS(tbl_data[12. Consultation Group of],$C$2,tbl_data[2:T1B],$A70,tbl_data[T1],$C$3)</f>
        <v>0</v>
      </c>
      <c r="Z70" s="198">
        <f>COUNTIFS(tbl_data[12. Consultation Group of],$C$2,tbl_data[3:T1B],$A70,tbl_data[T1],$C$3)</f>
        <v>0</v>
      </c>
      <c r="AA70" s="198">
        <f>COUNTIFS(tbl_data[12. Consultation Group of],$C$2,tbl_data[1:T2B],$A70,tbl_data[T2],$C$3)</f>
        <v>0</v>
      </c>
      <c r="AB70" s="198">
        <f>COUNTIFS(tbl_data[12. Consultation Group of],$C$2,tbl_data[2:T2B],$A70,tbl_data[T2],$C$3)</f>
        <v>0</v>
      </c>
      <c r="AC70" s="198">
        <f>COUNTIFS(tbl_data[12. Consultation Group of],$C$2,tbl_data[3:T2B],$A70,tbl_data[T2],$C$3)</f>
        <v>0</v>
      </c>
      <c r="AD70" s="198">
        <f>COUNTIFS(tbl_data[12. Consultation Group of],$C$2,tbl_data[1:T3B],$A70,tbl_data[T3],$C$3)</f>
        <v>0</v>
      </c>
      <c r="AE70" s="198">
        <f>COUNTIFS(tbl_data[12. Consultation Group of],$C$2,tbl_data[2:T3B],$A70,tbl_data[T3],$C$3)</f>
        <v>0</v>
      </c>
      <c r="AF70" s="198">
        <f>COUNTIFS(tbl_data[12. Consultation Group of],$C$2,tbl_data[3:T3B],$A70,tbl_data[T3],$C$3)</f>
        <v>0</v>
      </c>
      <c r="AG70" s="198">
        <f t="shared" si="18"/>
        <v>0</v>
      </c>
      <c r="AH70" s="199" t="str">
        <f t="shared" si="19"/>
        <v>Climate Change (0)</v>
      </c>
      <c r="AI70" s="205">
        <f>COUNTIFS(tbl_data[12. Consultation Group of],$D$2,tbl_data[1:T1B],$A70,tbl_data[T1],$D$3)</f>
        <v>0</v>
      </c>
      <c r="AJ70" s="198">
        <f>COUNTIFS(tbl_data[12. Consultation Group of],$D$2,tbl_data[2:T1B],$A70,tbl_data[T1],$D$3)</f>
        <v>0</v>
      </c>
      <c r="AK70" s="198">
        <f>COUNTIFS(tbl_data[12. Consultation Group of],$D$2,tbl_data[3:T1B],$A70,tbl_data[T1],$D$3)</f>
        <v>0</v>
      </c>
      <c r="AL70" s="198">
        <f>COUNTIFS(tbl_data[12. Consultation Group of],$D$2,tbl_data[1:T2B],$A70,tbl_data[T2],$D$3)</f>
        <v>0</v>
      </c>
      <c r="AM70" s="198">
        <f>COUNTIFS(tbl_data[12. Consultation Group of],$D$2,tbl_data[2:T2B],$A70,tbl_data[T2],$D$3)</f>
        <v>0</v>
      </c>
      <c r="AN70" s="198">
        <f>COUNTIFS(tbl_data[12. Consultation Group of],$D$2,tbl_data[3:T2B],$A70,tbl_data[T2],$D$3)</f>
        <v>0</v>
      </c>
      <c r="AO70" s="198">
        <f>COUNTIFS(tbl_data[12. Consultation Group of],$D$2,tbl_data[1:T3B],$A70,tbl_data[T3],$D$3)</f>
        <v>0</v>
      </c>
      <c r="AP70" s="198">
        <f>COUNTIFS(tbl_data[12. Consultation Group of],$D$2,tbl_data[2:T3B],$A70,tbl_data[T3],$D$3)</f>
        <v>0</v>
      </c>
      <c r="AQ70" s="198">
        <f>COUNTIFS(tbl_data[12. Consultation Group of],$D$2,tbl_data[3:T3B],$A70,tbl_data[T3],$D$3)</f>
        <v>0</v>
      </c>
      <c r="AR70" s="198">
        <f t="shared" si="20"/>
        <v>0</v>
      </c>
      <c r="AS70" s="199" t="str">
        <f t="shared" si="21"/>
        <v>Climate Change (0)</v>
      </c>
      <c r="AT70" s="205">
        <f>COUNTIFS(tbl_data[12. Consultation Group of],$E$2,tbl_data[1:T1B],$A70,tbl_data[T1],$E$3)</f>
        <v>0</v>
      </c>
      <c r="AU70" s="198">
        <f>COUNTIFS(tbl_data[12. Consultation Group of],$E$2,tbl_data[2:T1B],$A70,tbl_data[T1],$E$3)</f>
        <v>0</v>
      </c>
      <c r="AV70" s="198">
        <f>COUNTIFS(tbl_data[12. Consultation Group of],$E$2,tbl_data[3:T1B],$A70,tbl_data[T1],$E$3)</f>
        <v>0</v>
      </c>
      <c r="AW70" s="198">
        <f>COUNTIFS(tbl_data[12. Consultation Group of],$E$2,tbl_data[1:T2B],$A70,tbl_data[T2],$E$3)</f>
        <v>0</v>
      </c>
      <c r="AX70" s="198">
        <f>COUNTIFS(tbl_data[12. Consultation Group of],$E$2,tbl_data[2:T2B],$A70,tbl_data[T2],$E$3)</f>
        <v>0</v>
      </c>
      <c r="AY70" s="198">
        <f>COUNTIFS(tbl_data[12. Consultation Group of],$E$2,tbl_data[3:T2B],$A70,tbl_data[T2],$E$3)</f>
        <v>0</v>
      </c>
      <c r="AZ70" s="198">
        <f>COUNTIFS(tbl_data[12. Consultation Group of],$E$2,tbl_data[1:T3B],$A70,tbl_data[T3],$E$3)</f>
        <v>0</v>
      </c>
      <c r="BA70" s="198">
        <f>COUNTIFS(tbl_data[12. Consultation Group of],$E$2,tbl_data[2:T3B],$A70,tbl_data[T3],$E$3)</f>
        <v>0</v>
      </c>
      <c r="BB70" s="198">
        <f>COUNTIFS(tbl_data[12. Consultation Group of],$E$2,tbl_data[3:T3B],$A70,tbl_data[T3],$E$3)</f>
        <v>0</v>
      </c>
      <c r="BC70" s="198">
        <f t="shared" si="22"/>
        <v>0</v>
      </c>
      <c r="BD70" s="199" t="str">
        <f t="shared" si="23"/>
        <v>Climate Change (0)</v>
      </c>
      <c r="BE70" s="205">
        <f>COUNTIFS(tbl_data[1:T1B],$A70,tbl_data[T1],$F$3)</f>
        <v>0</v>
      </c>
      <c r="BF70" s="198">
        <f>COUNTIFS(tbl_data[2:T1B],$A70,tbl_data[T1],$F$3)</f>
        <v>0</v>
      </c>
      <c r="BG70" s="198">
        <f>COUNTIFS(tbl_data[3:T1B],$A70,tbl_data[T1],$F$3)</f>
        <v>0</v>
      </c>
      <c r="BH70" s="198">
        <f>COUNTIFS(tbl_data[1:T2B],$A70,tbl_data[T2],$F$3)</f>
        <v>0</v>
      </c>
      <c r="BI70" s="198">
        <f>COUNTIFS(tbl_data[2:T2B],$A70,tbl_data[T2],$F$3)</f>
        <v>0</v>
      </c>
      <c r="BJ70" s="198">
        <f>COUNTIFS(tbl_data[3:T2B],$A70,tbl_data[T2],$F$3)</f>
        <v>0</v>
      </c>
      <c r="BK70" s="198">
        <f>COUNTIFS(tbl_data[1:T3B],$A70,tbl_data[T3],$F$3)</f>
        <v>0</v>
      </c>
      <c r="BL70" s="198">
        <f>COUNTIFS(tbl_data[2:T3B],$A70,tbl_data[T3],$F$3)</f>
        <v>0</v>
      </c>
      <c r="BM70" s="198">
        <f>COUNTIFS(tbl_data[3:T3B],$A70,tbl_data[T3],$F$3)</f>
        <v>0</v>
      </c>
      <c r="BN70" s="198">
        <f t="shared" si="24"/>
        <v>0</v>
      </c>
      <c r="BO70" s="199" t="str">
        <f t="shared" si="25"/>
        <v>Climate Change (0)</v>
      </c>
      <c r="BQ70" t="str">
        <f t="shared" si="26"/>
        <v>Climate Change</v>
      </c>
      <c r="BR70">
        <f t="shared" si="27"/>
        <v>0</v>
      </c>
    </row>
    <row r="71" spans="1:74" x14ac:dyDescent="0.25">
      <c r="A71" s="215" t="s">
        <v>241</v>
      </c>
      <c r="B71" s="205">
        <f>COUNTIFS(tbl_data[12. Consultation Group of],$A$2,tbl_data[1:T1B],$A71,tbl_data[T1],$A$3)</f>
        <v>0</v>
      </c>
      <c r="C71" s="198">
        <f>COUNTIFS(tbl_data[12. Consultation Group of],$A$2,tbl_data[2:T1B],$A71,tbl_data[T1],$A$3)</f>
        <v>0</v>
      </c>
      <c r="D71" s="198">
        <f>COUNTIFS(tbl_data[12. Consultation Group of],$A$2,tbl_data[3:T1B],$A71,tbl_data[T1],$A$3)</f>
        <v>0</v>
      </c>
      <c r="E71" s="198">
        <f>COUNTIFS(tbl_data[12. Consultation Group of],$A$2,tbl_data[1:T2B],$A71,tbl_data[T2],$A$3)</f>
        <v>0</v>
      </c>
      <c r="F71" s="198">
        <f>COUNTIFS(tbl_data[12. Consultation Group of],$A$2,tbl_data[2:T2B],$A71,tbl_data[T2],$A$3)</f>
        <v>0</v>
      </c>
      <c r="G71" s="198">
        <f>COUNTIFS(tbl_data[12. Consultation Group of],$A$2,tbl_data[3:T2B],$A71,tbl_data[T2],$A$3)</f>
        <v>0</v>
      </c>
      <c r="H71" s="198">
        <f>COUNTIFS(tbl_data[12. Consultation Group of],$A$2,tbl_data[1:T3B],$A71,tbl_data[T3],$A$3)</f>
        <v>0</v>
      </c>
      <c r="I71" s="198">
        <f>COUNTIFS(tbl_data[12. Consultation Group of],$A$2,tbl_data[2:T3B],$A71,tbl_data[T3],$A$3)</f>
        <v>0</v>
      </c>
      <c r="J71" s="198">
        <f>COUNTIFS(tbl_data[12. Consultation Group of],$A$2,tbl_data[3:T3B],$A71,tbl_data[T3],$A$3)</f>
        <v>0</v>
      </c>
      <c r="K71" s="198">
        <f t="shared" si="14"/>
        <v>0</v>
      </c>
      <c r="L71" s="199" t="str">
        <f t="shared" si="15"/>
        <v>Lack Of Manpower (0)</v>
      </c>
      <c r="M71" s="205">
        <f>COUNTIFS(tbl_data[12. Consultation Group of],$B$2,tbl_data[1:T1B],$A71,tbl_data[T1],$B$3)</f>
        <v>0</v>
      </c>
      <c r="N71" s="198">
        <f>COUNTIFS(tbl_data[12. Consultation Group of],$B$2,tbl_data[2:T1B],$A71,tbl_data[T1],$B$3)</f>
        <v>0</v>
      </c>
      <c r="O71" s="198">
        <f>COUNTIFS(tbl_data[12. Consultation Group of],$B$2,tbl_data[3:T1B],$A71,tbl_data[T1],$B$3)</f>
        <v>0</v>
      </c>
      <c r="P71" s="198">
        <f>COUNTIFS(tbl_data[12. Consultation Group of],$B$2,tbl_data[1:T2B],$A71,tbl_data[T2],$B$3)</f>
        <v>0</v>
      </c>
      <c r="Q71" s="198">
        <f>COUNTIFS(tbl_data[12. Consultation Group of],$B$2,tbl_data[2:T2B],$A71,tbl_data[T2],$B$3)</f>
        <v>0</v>
      </c>
      <c r="R71" s="198">
        <f>COUNTIFS(tbl_data[12. Consultation Group of],$B$2,tbl_data[3:T2B],$A71,tbl_data[T2],$B$3)</f>
        <v>0</v>
      </c>
      <c r="S71" s="198">
        <f>COUNTIFS(tbl_data[12. Consultation Group of],$B$2,tbl_data[1:T3B],$A71,tbl_data[T3],$B$3)</f>
        <v>0</v>
      </c>
      <c r="T71" s="198">
        <f>COUNTIFS(tbl_data[12. Consultation Group of],$B$2,tbl_data[2:T3B],$A71,tbl_data[T3],$B$3)</f>
        <v>0</v>
      </c>
      <c r="U71" s="198">
        <f>COUNTIFS(tbl_data[12. Consultation Group of],$B$2,tbl_data[3:T3B],$A71,tbl_data[T3],$B$3)</f>
        <v>0</v>
      </c>
      <c r="V71" s="198">
        <f t="shared" si="16"/>
        <v>0</v>
      </c>
      <c r="W71" s="199" t="str">
        <f t="shared" si="17"/>
        <v>Lack Of Manpower (0)</v>
      </c>
      <c r="X71" s="205">
        <f>COUNTIFS(tbl_data[12. Consultation Group of],$C$2,tbl_data[1:T1B],$A71,tbl_data[T1],$C$3)</f>
        <v>0</v>
      </c>
      <c r="Y71" s="198">
        <f>COUNTIFS(tbl_data[12. Consultation Group of],$C$2,tbl_data[2:T1B],$A71,tbl_data[T1],$C$3)</f>
        <v>0</v>
      </c>
      <c r="Z71" s="198">
        <f>COUNTIFS(tbl_data[12. Consultation Group of],$C$2,tbl_data[3:T1B],$A71,tbl_data[T1],$C$3)</f>
        <v>0</v>
      </c>
      <c r="AA71" s="198">
        <f>COUNTIFS(tbl_data[12. Consultation Group of],$C$2,tbl_data[1:T2B],$A71,tbl_data[T2],$C$3)</f>
        <v>0</v>
      </c>
      <c r="AB71" s="198">
        <f>COUNTIFS(tbl_data[12. Consultation Group of],$C$2,tbl_data[2:T2B],$A71,tbl_data[T2],$C$3)</f>
        <v>0</v>
      </c>
      <c r="AC71" s="198">
        <f>COUNTIFS(tbl_data[12. Consultation Group of],$C$2,tbl_data[3:T2B],$A71,tbl_data[T2],$C$3)</f>
        <v>0</v>
      </c>
      <c r="AD71" s="198">
        <f>COUNTIFS(tbl_data[12. Consultation Group of],$C$2,tbl_data[1:T3B],$A71,tbl_data[T3],$C$3)</f>
        <v>0</v>
      </c>
      <c r="AE71" s="198">
        <f>COUNTIFS(tbl_data[12. Consultation Group of],$C$2,tbl_data[2:T3B],$A71,tbl_data[T3],$C$3)</f>
        <v>0</v>
      </c>
      <c r="AF71" s="198">
        <f>COUNTIFS(tbl_data[12. Consultation Group of],$C$2,tbl_data[3:T3B],$A71,tbl_data[T3],$C$3)</f>
        <v>0</v>
      </c>
      <c r="AG71" s="198">
        <f t="shared" si="18"/>
        <v>0</v>
      </c>
      <c r="AH71" s="199" t="str">
        <f t="shared" si="19"/>
        <v>Lack Of Manpower (0)</v>
      </c>
      <c r="AI71" s="205">
        <f>COUNTIFS(tbl_data[12. Consultation Group of],$D$2,tbl_data[1:T1B],$A71,tbl_data[T1],$D$3)</f>
        <v>0</v>
      </c>
      <c r="AJ71" s="198">
        <f>COUNTIFS(tbl_data[12. Consultation Group of],$D$2,tbl_data[2:T1B],$A71,tbl_data[T1],$D$3)</f>
        <v>0</v>
      </c>
      <c r="AK71" s="198">
        <f>COUNTIFS(tbl_data[12. Consultation Group of],$D$2,tbl_data[3:T1B],$A71,tbl_data[T1],$D$3)</f>
        <v>0</v>
      </c>
      <c r="AL71" s="198">
        <f>COUNTIFS(tbl_data[12. Consultation Group of],$D$2,tbl_data[1:T2B],$A71,tbl_data[T2],$D$3)</f>
        <v>0</v>
      </c>
      <c r="AM71" s="198">
        <f>COUNTIFS(tbl_data[12. Consultation Group of],$D$2,tbl_data[2:T2B],$A71,tbl_data[T2],$D$3)</f>
        <v>0</v>
      </c>
      <c r="AN71" s="198">
        <f>COUNTIFS(tbl_data[12. Consultation Group of],$D$2,tbl_data[3:T2B],$A71,tbl_data[T2],$D$3)</f>
        <v>0</v>
      </c>
      <c r="AO71" s="198">
        <f>COUNTIFS(tbl_data[12. Consultation Group of],$D$2,tbl_data[1:T3B],$A71,tbl_data[T3],$D$3)</f>
        <v>0</v>
      </c>
      <c r="AP71" s="198">
        <f>COUNTIFS(tbl_data[12. Consultation Group of],$D$2,tbl_data[2:T3B],$A71,tbl_data[T3],$D$3)</f>
        <v>0</v>
      </c>
      <c r="AQ71" s="198">
        <f>COUNTIFS(tbl_data[12. Consultation Group of],$D$2,tbl_data[3:T3B],$A71,tbl_data[T3],$D$3)</f>
        <v>0</v>
      </c>
      <c r="AR71" s="198">
        <f t="shared" si="20"/>
        <v>0</v>
      </c>
      <c r="AS71" s="199" t="str">
        <f t="shared" si="21"/>
        <v>Lack Of Manpower (0)</v>
      </c>
      <c r="AT71" s="205">
        <f>COUNTIFS(tbl_data[12. Consultation Group of],$E$2,tbl_data[1:T1B],$A71,tbl_data[T1],$E$3)</f>
        <v>0</v>
      </c>
      <c r="AU71" s="198">
        <f>COUNTIFS(tbl_data[12. Consultation Group of],$E$2,tbl_data[2:T1B],$A71,tbl_data[T1],$E$3)</f>
        <v>0</v>
      </c>
      <c r="AV71" s="198">
        <f>COUNTIFS(tbl_data[12. Consultation Group of],$E$2,tbl_data[3:T1B],$A71,tbl_data[T1],$E$3)</f>
        <v>0</v>
      </c>
      <c r="AW71" s="198">
        <f>COUNTIFS(tbl_data[12. Consultation Group of],$E$2,tbl_data[1:T2B],$A71,tbl_data[T2],$E$3)</f>
        <v>0</v>
      </c>
      <c r="AX71" s="198">
        <f>COUNTIFS(tbl_data[12. Consultation Group of],$E$2,tbl_data[2:T2B],$A71,tbl_data[T2],$E$3)</f>
        <v>0</v>
      </c>
      <c r="AY71" s="198">
        <f>COUNTIFS(tbl_data[12. Consultation Group of],$E$2,tbl_data[3:T2B],$A71,tbl_data[T2],$E$3)</f>
        <v>0</v>
      </c>
      <c r="AZ71" s="198">
        <f>COUNTIFS(tbl_data[12. Consultation Group of],$E$2,tbl_data[1:T3B],$A71,tbl_data[T3],$E$3)</f>
        <v>0</v>
      </c>
      <c r="BA71" s="198">
        <f>COUNTIFS(tbl_data[12. Consultation Group of],$E$2,tbl_data[2:T3B],$A71,tbl_data[T3],$E$3)</f>
        <v>0</v>
      </c>
      <c r="BB71" s="198">
        <f>COUNTIFS(tbl_data[12. Consultation Group of],$E$2,tbl_data[3:T3B],$A71,tbl_data[T3],$E$3)</f>
        <v>0</v>
      </c>
      <c r="BC71" s="198">
        <f t="shared" si="22"/>
        <v>0</v>
      </c>
      <c r="BD71" s="199" t="str">
        <f t="shared" si="23"/>
        <v>Lack Of Manpower (0)</v>
      </c>
      <c r="BE71" s="205">
        <f>COUNTIFS(tbl_data[1:T1B],$A71,tbl_data[T1],$F$3)</f>
        <v>0</v>
      </c>
      <c r="BF71" s="198">
        <f>COUNTIFS(tbl_data[2:T1B],$A71,tbl_data[T1],$F$3)</f>
        <v>0</v>
      </c>
      <c r="BG71" s="198">
        <f>COUNTIFS(tbl_data[3:T1B],$A71,tbl_data[T1],$F$3)</f>
        <v>0</v>
      </c>
      <c r="BH71" s="198">
        <f>COUNTIFS(tbl_data[1:T2B],$A71,tbl_data[T2],$F$3)</f>
        <v>0</v>
      </c>
      <c r="BI71" s="198">
        <f>COUNTIFS(tbl_data[2:T2B],$A71,tbl_data[T2],$F$3)</f>
        <v>0</v>
      </c>
      <c r="BJ71" s="198">
        <f>COUNTIFS(tbl_data[3:T2B],$A71,tbl_data[T2],$F$3)</f>
        <v>0</v>
      </c>
      <c r="BK71" s="198">
        <f>COUNTIFS(tbl_data[1:T3B],$A71,tbl_data[T3],$F$3)</f>
        <v>0</v>
      </c>
      <c r="BL71" s="198">
        <f>COUNTIFS(tbl_data[2:T3B],$A71,tbl_data[T3],$F$3)</f>
        <v>0</v>
      </c>
      <c r="BM71" s="198">
        <f>COUNTIFS(tbl_data[3:T3B],$A71,tbl_data[T3],$F$3)</f>
        <v>0</v>
      </c>
      <c r="BN71" s="198">
        <f t="shared" si="24"/>
        <v>0</v>
      </c>
      <c r="BO71" s="199" t="str">
        <f t="shared" si="25"/>
        <v>Lack Of Manpower (0)</v>
      </c>
      <c r="BQ71" t="str">
        <f t="shared" si="26"/>
        <v>Lack Of Manpower</v>
      </c>
      <c r="BR71">
        <f t="shared" si="27"/>
        <v>0</v>
      </c>
    </row>
    <row r="72" spans="1:74" x14ac:dyDescent="0.25">
      <c r="A72" s="215" t="s">
        <v>305</v>
      </c>
      <c r="B72" s="205">
        <f>COUNTIFS(tbl_data[12. Consultation Group of],$A$2,tbl_data[1:T1B],$A72,tbl_data[T1],$A$3)</f>
        <v>0</v>
      </c>
      <c r="C72" s="198">
        <f>COUNTIFS(tbl_data[12. Consultation Group of],$A$2,tbl_data[2:T1B],$A72,tbl_data[T1],$A$3)</f>
        <v>0</v>
      </c>
      <c r="D72" s="198">
        <f>COUNTIFS(tbl_data[12. Consultation Group of],$A$2,tbl_data[3:T1B],$A72,tbl_data[T1],$A$3)</f>
        <v>0</v>
      </c>
      <c r="E72" s="198">
        <f>COUNTIFS(tbl_data[12. Consultation Group of],$A$2,tbl_data[1:T2B],$A72,tbl_data[T2],$A$3)</f>
        <v>0</v>
      </c>
      <c r="F72" s="198">
        <f>COUNTIFS(tbl_data[12. Consultation Group of],$A$2,tbl_data[2:T2B],$A72,tbl_data[T2],$A$3)</f>
        <v>0</v>
      </c>
      <c r="G72" s="198">
        <f>COUNTIFS(tbl_data[12. Consultation Group of],$A$2,tbl_data[3:T2B],$A72,tbl_data[T2],$A$3)</f>
        <v>1</v>
      </c>
      <c r="H72" s="198">
        <f>COUNTIFS(tbl_data[12. Consultation Group of],$A$2,tbl_data[1:T3B],$A72,tbl_data[T3],$A$3)</f>
        <v>0</v>
      </c>
      <c r="I72" s="198">
        <f>COUNTIFS(tbl_data[12. Consultation Group of],$A$2,tbl_data[2:T3B],$A72,tbl_data[T3],$A$3)</f>
        <v>0</v>
      </c>
      <c r="J72" s="198">
        <f>COUNTIFS(tbl_data[12. Consultation Group of],$A$2,tbl_data[3:T3B],$A72,tbl_data[T3],$A$3)</f>
        <v>0</v>
      </c>
      <c r="K72" s="198">
        <f t="shared" si="14"/>
        <v>1</v>
      </c>
      <c r="L72" s="199" t="str">
        <f t="shared" si="15"/>
        <v>Geographical Situation (1)</v>
      </c>
      <c r="M72" s="205">
        <f>COUNTIFS(tbl_data[12. Consultation Group of],$B$2,tbl_data[1:T1B],$A72,tbl_data[T1],$B$3)</f>
        <v>0</v>
      </c>
      <c r="N72" s="198">
        <f>COUNTIFS(tbl_data[12. Consultation Group of],$B$2,tbl_data[2:T1B],$A72,tbl_data[T1],$B$3)</f>
        <v>0</v>
      </c>
      <c r="O72" s="198">
        <f>COUNTIFS(tbl_data[12. Consultation Group of],$B$2,tbl_data[3:T1B],$A72,tbl_data[T1],$B$3)</f>
        <v>0</v>
      </c>
      <c r="P72" s="198">
        <f>COUNTIFS(tbl_data[12. Consultation Group of],$B$2,tbl_data[1:T2B],$A72,tbl_data[T2],$B$3)</f>
        <v>0</v>
      </c>
      <c r="Q72" s="198">
        <f>COUNTIFS(tbl_data[12. Consultation Group of],$B$2,tbl_data[2:T2B],$A72,tbl_data[T2],$B$3)</f>
        <v>0</v>
      </c>
      <c r="R72" s="198">
        <f>COUNTIFS(tbl_data[12. Consultation Group of],$B$2,tbl_data[3:T2B],$A72,tbl_data[T2],$B$3)</f>
        <v>0</v>
      </c>
      <c r="S72" s="198">
        <f>COUNTIFS(tbl_data[12. Consultation Group of],$B$2,tbl_data[1:T3B],$A72,tbl_data[T3],$B$3)</f>
        <v>0</v>
      </c>
      <c r="T72" s="198">
        <f>COUNTIFS(tbl_data[12. Consultation Group of],$B$2,tbl_data[2:T3B],$A72,tbl_data[T3],$B$3)</f>
        <v>0</v>
      </c>
      <c r="U72" s="198">
        <f>COUNTIFS(tbl_data[12. Consultation Group of],$B$2,tbl_data[3:T3B],$A72,tbl_data[T3],$B$3)</f>
        <v>0</v>
      </c>
      <c r="V72" s="198">
        <f t="shared" si="16"/>
        <v>0</v>
      </c>
      <c r="W72" s="199" t="str">
        <f t="shared" si="17"/>
        <v>Geographical Situation (0)</v>
      </c>
      <c r="X72" s="205">
        <f>COUNTIFS(tbl_data[12. Consultation Group of],$C$2,tbl_data[1:T1B],$A72,tbl_data[T1],$C$3)</f>
        <v>0</v>
      </c>
      <c r="Y72" s="198">
        <f>COUNTIFS(tbl_data[12. Consultation Group of],$C$2,tbl_data[2:T1B],$A72,tbl_data[T1],$C$3)</f>
        <v>0</v>
      </c>
      <c r="Z72" s="198">
        <f>COUNTIFS(tbl_data[12. Consultation Group of],$C$2,tbl_data[3:T1B],$A72,tbl_data[T1],$C$3)</f>
        <v>0</v>
      </c>
      <c r="AA72" s="198">
        <f>COUNTIFS(tbl_data[12. Consultation Group of],$C$2,tbl_data[1:T2B],$A72,tbl_data[T2],$C$3)</f>
        <v>0</v>
      </c>
      <c r="AB72" s="198">
        <f>COUNTIFS(tbl_data[12. Consultation Group of],$C$2,tbl_data[2:T2B],$A72,tbl_data[T2],$C$3)</f>
        <v>0</v>
      </c>
      <c r="AC72" s="198">
        <f>COUNTIFS(tbl_data[12. Consultation Group of],$C$2,tbl_data[3:T2B],$A72,tbl_data[T2],$C$3)</f>
        <v>0</v>
      </c>
      <c r="AD72" s="198">
        <f>COUNTIFS(tbl_data[12. Consultation Group of],$C$2,tbl_data[1:T3B],$A72,tbl_data[T3],$C$3)</f>
        <v>0</v>
      </c>
      <c r="AE72" s="198">
        <f>COUNTIFS(tbl_data[12. Consultation Group of],$C$2,tbl_data[2:T3B],$A72,tbl_data[T3],$C$3)</f>
        <v>0</v>
      </c>
      <c r="AF72" s="198">
        <f>COUNTIFS(tbl_data[12. Consultation Group of],$C$2,tbl_data[3:T3B],$A72,tbl_data[T3],$C$3)</f>
        <v>0</v>
      </c>
      <c r="AG72" s="198">
        <f t="shared" si="18"/>
        <v>0</v>
      </c>
      <c r="AH72" s="199" t="str">
        <f t="shared" si="19"/>
        <v>Geographical Situation (0)</v>
      </c>
      <c r="AI72" s="205">
        <f>COUNTIFS(tbl_data[12. Consultation Group of],$D$2,tbl_data[1:T1B],$A72,tbl_data[T1],$D$3)</f>
        <v>0</v>
      </c>
      <c r="AJ72" s="198">
        <f>COUNTIFS(tbl_data[12. Consultation Group of],$D$2,tbl_data[2:T1B],$A72,tbl_data[T1],$D$3)</f>
        <v>0</v>
      </c>
      <c r="AK72" s="198">
        <f>COUNTIFS(tbl_data[12. Consultation Group of],$D$2,tbl_data[3:T1B],$A72,tbl_data[T1],$D$3)</f>
        <v>0</v>
      </c>
      <c r="AL72" s="198">
        <f>COUNTIFS(tbl_data[12. Consultation Group of],$D$2,tbl_data[1:T2B],$A72,tbl_data[T2],$D$3)</f>
        <v>0</v>
      </c>
      <c r="AM72" s="198">
        <f>COUNTIFS(tbl_data[12. Consultation Group of],$D$2,tbl_data[2:T2B],$A72,tbl_data[T2],$D$3)</f>
        <v>0</v>
      </c>
      <c r="AN72" s="198">
        <f>COUNTIFS(tbl_data[12. Consultation Group of],$D$2,tbl_data[3:T2B],$A72,tbl_data[T2],$D$3)</f>
        <v>0</v>
      </c>
      <c r="AO72" s="198">
        <f>COUNTIFS(tbl_data[12. Consultation Group of],$D$2,tbl_data[1:T3B],$A72,tbl_data[T3],$D$3)</f>
        <v>0</v>
      </c>
      <c r="AP72" s="198">
        <f>COUNTIFS(tbl_data[12. Consultation Group of],$D$2,tbl_data[2:T3B],$A72,tbl_data[T3],$D$3)</f>
        <v>0</v>
      </c>
      <c r="AQ72" s="198">
        <f>COUNTIFS(tbl_data[12. Consultation Group of],$D$2,tbl_data[3:T3B],$A72,tbl_data[T3],$D$3)</f>
        <v>0</v>
      </c>
      <c r="AR72" s="198">
        <f t="shared" si="20"/>
        <v>0</v>
      </c>
      <c r="AS72" s="199" t="str">
        <f t="shared" si="21"/>
        <v>Geographical Situation (0)</v>
      </c>
      <c r="AT72" s="205">
        <f>COUNTIFS(tbl_data[12. Consultation Group of],$E$2,tbl_data[1:T1B],$A72,tbl_data[T1],$E$3)</f>
        <v>0</v>
      </c>
      <c r="AU72" s="198">
        <f>COUNTIFS(tbl_data[12. Consultation Group of],$E$2,tbl_data[2:T1B],$A72,tbl_data[T1],$E$3)</f>
        <v>0</v>
      </c>
      <c r="AV72" s="198">
        <f>COUNTIFS(tbl_data[12. Consultation Group of],$E$2,tbl_data[3:T1B],$A72,tbl_data[T1],$E$3)</f>
        <v>0</v>
      </c>
      <c r="AW72" s="198">
        <f>COUNTIFS(tbl_data[12. Consultation Group of],$E$2,tbl_data[1:T2B],$A72,tbl_data[T2],$E$3)</f>
        <v>0</v>
      </c>
      <c r="AX72" s="198">
        <f>COUNTIFS(tbl_data[12. Consultation Group of],$E$2,tbl_data[2:T2B],$A72,tbl_data[T2],$E$3)</f>
        <v>0</v>
      </c>
      <c r="AY72" s="198">
        <f>COUNTIFS(tbl_data[12. Consultation Group of],$E$2,tbl_data[3:T2B],$A72,tbl_data[T2],$E$3)</f>
        <v>0</v>
      </c>
      <c r="AZ72" s="198">
        <f>COUNTIFS(tbl_data[12. Consultation Group of],$E$2,tbl_data[1:T3B],$A72,tbl_data[T3],$E$3)</f>
        <v>0</v>
      </c>
      <c r="BA72" s="198">
        <f>COUNTIFS(tbl_data[12. Consultation Group of],$E$2,tbl_data[2:T3B],$A72,tbl_data[T3],$E$3)</f>
        <v>0</v>
      </c>
      <c r="BB72" s="198">
        <f>COUNTIFS(tbl_data[12. Consultation Group of],$E$2,tbl_data[3:T3B],$A72,tbl_data[T3],$E$3)</f>
        <v>0</v>
      </c>
      <c r="BC72" s="198">
        <f t="shared" si="22"/>
        <v>0</v>
      </c>
      <c r="BD72" s="199" t="str">
        <f t="shared" si="23"/>
        <v>Geographical Situation (0)</v>
      </c>
      <c r="BE72" s="205">
        <f>COUNTIFS(tbl_data[1:T1B],$A72,tbl_data[T1],$F$3)</f>
        <v>0</v>
      </c>
      <c r="BF72" s="198">
        <f>COUNTIFS(tbl_data[2:T1B],$A72,tbl_data[T1],$F$3)</f>
        <v>0</v>
      </c>
      <c r="BG72" s="198">
        <f>COUNTIFS(tbl_data[3:T1B],$A72,tbl_data[T1],$F$3)</f>
        <v>0</v>
      </c>
      <c r="BH72" s="198">
        <f>COUNTIFS(tbl_data[1:T2B],$A72,tbl_data[T2],$F$3)</f>
        <v>0</v>
      </c>
      <c r="BI72" s="198">
        <f>COUNTIFS(tbl_data[2:T2B],$A72,tbl_data[T2],$F$3)</f>
        <v>0</v>
      </c>
      <c r="BJ72" s="198">
        <f>COUNTIFS(tbl_data[3:T2B],$A72,tbl_data[T2],$F$3)</f>
        <v>0</v>
      </c>
      <c r="BK72" s="198">
        <f>COUNTIFS(tbl_data[1:T3B],$A72,tbl_data[T3],$F$3)</f>
        <v>0</v>
      </c>
      <c r="BL72" s="198">
        <f>COUNTIFS(tbl_data[2:T3B],$A72,tbl_data[T3],$F$3)</f>
        <v>0</v>
      </c>
      <c r="BM72" s="198">
        <f>COUNTIFS(tbl_data[3:T3B],$A72,tbl_data[T3],$F$3)</f>
        <v>0</v>
      </c>
      <c r="BN72" s="198">
        <f t="shared" si="24"/>
        <v>0</v>
      </c>
      <c r="BO72" s="199" t="str">
        <f t="shared" si="25"/>
        <v>Geographical Situation (0)</v>
      </c>
      <c r="BQ72" t="str">
        <f t="shared" si="26"/>
        <v>Geographical Situation</v>
      </c>
      <c r="BR72">
        <f t="shared" si="27"/>
        <v>1</v>
      </c>
      <c r="BS72" t="s">
        <v>943</v>
      </c>
      <c r="BT72" t="s">
        <v>926</v>
      </c>
      <c r="BU72" s="277" t="s">
        <v>934</v>
      </c>
      <c r="BV72" s="153" t="s">
        <v>935</v>
      </c>
    </row>
    <row r="73" spans="1:74" x14ac:dyDescent="0.25">
      <c r="A73" s="215" t="s">
        <v>324</v>
      </c>
      <c r="B73" s="205">
        <f>COUNTIFS(tbl_data[12. Consultation Group of],$A$2,tbl_data[1:T1B],$A73,tbl_data[T1],$A$3)</f>
        <v>0</v>
      </c>
      <c r="C73" s="198">
        <f>COUNTIFS(tbl_data[12. Consultation Group of],$A$2,tbl_data[2:T1B],$A73,tbl_data[T1],$A$3)</f>
        <v>1</v>
      </c>
      <c r="D73" s="198">
        <f>COUNTIFS(tbl_data[12. Consultation Group of],$A$2,tbl_data[3:T1B],$A73,tbl_data[T1],$A$3)</f>
        <v>0</v>
      </c>
      <c r="E73" s="198">
        <f>COUNTIFS(tbl_data[12. Consultation Group of],$A$2,tbl_data[1:T2B],$A73,tbl_data[T2],$A$3)</f>
        <v>0</v>
      </c>
      <c r="F73" s="198">
        <f>COUNTIFS(tbl_data[12. Consultation Group of],$A$2,tbl_data[2:T2B],$A73,tbl_data[T2],$A$3)</f>
        <v>0</v>
      </c>
      <c r="G73" s="198">
        <f>COUNTIFS(tbl_data[12. Consultation Group of],$A$2,tbl_data[3:T2B],$A73,tbl_data[T2],$A$3)</f>
        <v>0</v>
      </c>
      <c r="H73" s="198">
        <f>COUNTIFS(tbl_data[12. Consultation Group of],$A$2,tbl_data[1:T3B],$A73,tbl_data[T3],$A$3)</f>
        <v>0</v>
      </c>
      <c r="I73" s="198">
        <f>COUNTIFS(tbl_data[12. Consultation Group of],$A$2,tbl_data[2:T3B],$A73,tbl_data[T3],$A$3)</f>
        <v>0</v>
      </c>
      <c r="J73" s="198">
        <f>COUNTIFS(tbl_data[12. Consultation Group of],$A$2,tbl_data[3:T3B],$A73,tbl_data[T3],$A$3)</f>
        <v>0</v>
      </c>
      <c r="K73" s="198">
        <f t="shared" si="14"/>
        <v>1</v>
      </c>
      <c r="L73" s="199" t="str">
        <f t="shared" si="15"/>
        <v>Lack Of Government Commitment (1)</v>
      </c>
      <c r="M73" s="205">
        <f>COUNTIFS(tbl_data[12. Consultation Group of],$B$2,tbl_data[1:T1B],$A73,tbl_data[T1],$B$3)</f>
        <v>0</v>
      </c>
      <c r="N73" s="198">
        <f>COUNTIFS(tbl_data[12. Consultation Group of],$B$2,tbl_data[2:T1B],$A73,tbl_data[T1],$B$3)</f>
        <v>0</v>
      </c>
      <c r="O73" s="198">
        <f>COUNTIFS(tbl_data[12. Consultation Group of],$B$2,tbl_data[3:T1B],$A73,tbl_data[T1],$B$3)</f>
        <v>0</v>
      </c>
      <c r="P73" s="198">
        <f>COUNTIFS(tbl_data[12. Consultation Group of],$B$2,tbl_data[1:T2B],$A73,tbl_data[T2],$B$3)</f>
        <v>0</v>
      </c>
      <c r="Q73" s="198">
        <f>COUNTIFS(tbl_data[12. Consultation Group of],$B$2,tbl_data[2:T2B],$A73,tbl_data[T2],$B$3)</f>
        <v>0</v>
      </c>
      <c r="R73" s="198">
        <f>COUNTIFS(tbl_data[12. Consultation Group of],$B$2,tbl_data[3:T2B],$A73,tbl_data[T2],$B$3)</f>
        <v>0</v>
      </c>
      <c r="S73" s="198">
        <f>COUNTIFS(tbl_data[12. Consultation Group of],$B$2,tbl_data[1:T3B],$A73,tbl_data[T3],$B$3)</f>
        <v>0</v>
      </c>
      <c r="T73" s="198">
        <f>COUNTIFS(tbl_data[12. Consultation Group of],$B$2,tbl_data[2:T3B],$A73,tbl_data[T3],$B$3)</f>
        <v>0</v>
      </c>
      <c r="U73" s="198">
        <f>COUNTIFS(tbl_data[12. Consultation Group of],$B$2,tbl_data[3:T3B],$A73,tbl_data[T3],$B$3)</f>
        <v>0</v>
      </c>
      <c r="V73" s="198">
        <f t="shared" si="16"/>
        <v>0</v>
      </c>
      <c r="W73" s="199" t="str">
        <f t="shared" si="17"/>
        <v>Lack Of Government Commitment (0)</v>
      </c>
      <c r="X73" s="205">
        <f>COUNTIFS(tbl_data[12. Consultation Group of],$C$2,tbl_data[1:T1B],$A73,tbl_data[T1],$C$3)</f>
        <v>0</v>
      </c>
      <c r="Y73" s="198">
        <f>COUNTIFS(tbl_data[12. Consultation Group of],$C$2,tbl_data[2:T1B],$A73,tbl_data[T1],$C$3)</f>
        <v>1</v>
      </c>
      <c r="Z73" s="198">
        <f>COUNTIFS(tbl_data[12. Consultation Group of],$C$2,tbl_data[3:T1B],$A73,tbl_data[T1],$C$3)</f>
        <v>0</v>
      </c>
      <c r="AA73" s="198">
        <f>COUNTIFS(tbl_data[12. Consultation Group of],$C$2,tbl_data[1:T2B],$A73,tbl_data[T2],$C$3)</f>
        <v>0</v>
      </c>
      <c r="AB73" s="198">
        <f>COUNTIFS(tbl_data[12. Consultation Group of],$C$2,tbl_data[2:T2B],$A73,tbl_data[T2],$C$3)</f>
        <v>0</v>
      </c>
      <c r="AC73" s="198">
        <f>COUNTIFS(tbl_data[12. Consultation Group of],$C$2,tbl_data[3:T2B],$A73,tbl_data[T2],$C$3)</f>
        <v>0</v>
      </c>
      <c r="AD73" s="198">
        <f>COUNTIFS(tbl_data[12. Consultation Group of],$C$2,tbl_data[1:T3B],$A73,tbl_data[T3],$C$3)</f>
        <v>0</v>
      </c>
      <c r="AE73" s="198">
        <f>COUNTIFS(tbl_data[12. Consultation Group of],$C$2,tbl_data[2:T3B],$A73,tbl_data[T3],$C$3)</f>
        <v>0</v>
      </c>
      <c r="AF73" s="198">
        <f>COUNTIFS(tbl_data[12. Consultation Group of],$C$2,tbl_data[3:T3B],$A73,tbl_data[T3],$C$3)</f>
        <v>0</v>
      </c>
      <c r="AG73" s="198">
        <f t="shared" si="18"/>
        <v>1</v>
      </c>
      <c r="AH73" s="199" t="str">
        <f t="shared" si="19"/>
        <v>Lack Of Government Commitment (1)</v>
      </c>
      <c r="AI73" s="205">
        <f>COUNTIFS(tbl_data[12. Consultation Group of],$D$2,tbl_data[1:T1B],$A73,tbl_data[T1],$D$3)</f>
        <v>0</v>
      </c>
      <c r="AJ73" s="198">
        <f>COUNTIFS(tbl_data[12. Consultation Group of],$D$2,tbl_data[2:T1B],$A73,tbl_data[T1],$D$3)</f>
        <v>0</v>
      </c>
      <c r="AK73" s="198">
        <f>COUNTIFS(tbl_data[12. Consultation Group of],$D$2,tbl_data[3:T1B],$A73,tbl_data[T1],$D$3)</f>
        <v>1</v>
      </c>
      <c r="AL73" s="198">
        <f>COUNTIFS(tbl_data[12. Consultation Group of],$D$2,tbl_data[1:T2B],$A73,tbl_data[T2],$D$3)</f>
        <v>0</v>
      </c>
      <c r="AM73" s="198">
        <f>COUNTIFS(tbl_data[12. Consultation Group of],$D$2,tbl_data[2:T2B],$A73,tbl_data[T2],$D$3)</f>
        <v>0</v>
      </c>
      <c r="AN73" s="198">
        <f>COUNTIFS(tbl_data[12. Consultation Group of],$D$2,tbl_data[3:T2B],$A73,tbl_data[T2],$D$3)</f>
        <v>0</v>
      </c>
      <c r="AO73" s="198">
        <f>COUNTIFS(tbl_data[12. Consultation Group of],$D$2,tbl_data[1:T3B],$A73,tbl_data[T3],$D$3)</f>
        <v>0</v>
      </c>
      <c r="AP73" s="198">
        <f>COUNTIFS(tbl_data[12. Consultation Group of],$D$2,tbl_data[2:T3B],$A73,tbl_data[T3],$D$3)</f>
        <v>0</v>
      </c>
      <c r="AQ73" s="198">
        <f>COUNTIFS(tbl_data[12. Consultation Group of],$D$2,tbl_data[3:T3B],$A73,tbl_data[T3],$D$3)</f>
        <v>0</v>
      </c>
      <c r="AR73" s="198">
        <f t="shared" si="20"/>
        <v>1</v>
      </c>
      <c r="AS73" s="199" t="str">
        <f t="shared" si="21"/>
        <v>Lack Of Government Commitment (1)</v>
      </c>
      <c r="AT73" s="205">
        <f>COUNTIFS(tbl_data[12. Consultation Group of],$E$2,tbl_data[1:T1B],$A73,tbl_data[T1],$E$3)</f>
        <v>0</v>
      </c>
      <c r="AU73" s="198">
        <f>COUNTIFS(tbl_data[12. Consultation Group of],$E$2,tbl_data[2:T1B],$A73,tbl_data[T1],$E$3)</f>
        <v>0</v>
      </c>
      <c r="AV73" s="198">
        <f>COUNTIFS(tbl_data[12. Consultation Group of],$E$2,tbl_data[3:T1B],$A73,tbl_data[T1],$E$3)</f>
        <v>0</v>
      </c>
      <c r="AW73" s="198">
        <f>COUNTIFS(tbl_data[12. Consultation Group of],$E$2,tbl_data[1:T2B],$A73,tbl_data[T2],$E$3)</f>
        <v>0</v>
      </c>
      <c r="AX73" s="198">
        <f>COUNTIFS(tbl_data[12. Consultation Group of],$E$2,tbl_data[2:T2B],$A73,tbl_data[T2],$E$3)</f>
        <v>0</v>
      </c>
      <c r="AY73" s="198">
        <f>COUNTIFS(tbl_data[12. Consultation Group of],$E$2,tbl_data[3:T2B],$A73,tbl_data[T2],$E$3)</f>
        <v>0</v>
      </c>
      <c r="AZ73" s="198">
        <f>COUNTIFS(tbl_data[12. Consultation Group of],$E$2,tbl_data[1:T3B],$A73,tbl_data[T3],$E$3)</f>
        <v>0</v>
      </c>
      <c r="BA73" s="198">
        <f>COUNTIFS(tbl_data[12. Consultation Group of],$E$2,tbl_data[2:T3B],$A73,tbl_data[T3],$E$3)</f>
        <v>0</v>
      </c>
      <c r="BB73" s="198">
        <f>COUNTIFS(tbl_data[12. Consultation Group of],$E$2,tbl_data[3:T3B],$A73,tbl_data[T3],$E$3)</f>
        <v>0</v>
      </c>
      <c r="BC73" s="198">
        <f t="shared" si="22"/>
        <v>0</v>
      </c>
      <c r="BD73" s="199" t="str">
        <f t="shared" si="23"/>
        <v>Lack Of Government Commitment (0)</v>
      </c>
      <c r="BE73" s="205">
        <f>COUNTIFS(tbl_data[1:T1B],$A73,tbl_data[T1],$F$3)</f>
        <v>0</v>
      </c>
      <c r="BF73" s="198">
        <f>COUNTIFS(tbl_data[2:T1B],$A73,tbl_data[T1],$F$3)</f>
        <v>1</v>
      </c>
      <c r="BG73" s="198">
        <f>COUNTIFS(tbl_data[3:T1B],$A73,tbl_data[T1],$F$3)</f>
        <v>1</v>
      </c>
      <c r="BH73" s="198">
        <f>COUNTIFS(tbl_data[1:T2B],$A73,tbl_data[T2],$F$3)</f>
        <v>0</v>
      </c>
      <c r="BI73" s="198">
        <f>COUNTIFS(tbl_data[2:T2B],$A73,tbl_data[T2],$F$3)</f>
        <v>0</v>
      </c>
      <c r="BJ73" s="198">
        <f>COUNTIFS(tbl_data[3:T2B],$A73,tbl_data[T2],$F$3)</f>
        <v>0</v>
      </c>
      <c r="BK73" s="198">
        <f>COUNTIFS(tbl_data[1:T3B],$A73,tbl_data[T3],$F$3)</f>
        <v>0</v>
      </c>
      <c r="BL73" s="198">
        <f>COUNTIFS(tbl_data[2:T3B],$A73,tbl_data[T3],$F$3)</f>
        <v>0</v>
      </c>
      <c r="BM73" s="198">
        <f>COUNTIFS(tbl_data[3:T3B],$A73,tbl_data[T3],$F$3)</f>
        <v>0</v>
      </c>
      <c r="BN73" s="198">
        <f t="shared" si="24"/>
        <v>2</v>
      </c>
      <c r="BO73" s="199" t="str">
        <f t="shared" si="25"/>
        <v>Lack Of Government Commitment (2)</v>
      </c>
      <c r="BQ73" t="str">
        <f t="shared" si="26"/>
        <v>Lack Of Government Commitment</v>
      </c>
      <c r="BR73">
        <f t="shared" si="27"/>
        <v>5</v>
      </c>
      <c r="BS73" t="s">
        <v>942</v>
      </c>
      <c r="BT73" t="s">
        <v>925</v>
      </c>
      <c r="BU73" s="276" t="s">
        <v>925</v>
      </c>
      <c r="BV73" s="153" t="s">
        <v>932</v>
      </c>
    </row>
    <row r="74" spans="1:74" x14ac:dyDescent="0.25">
      <c r="A74" s="215" t="s">
        <v>300</v>
      </c>
      <c r="B74" s="205">
        <f>COUNTIFS(tbl_data[12. Consultation Group of],$A$2,tbl_data[1:T1B],$A74,tbl_data[T1],$A$3)</f>
        <v>0</v>
      </c>
      <c r="C74" s="198">
        <f>COUNTIFS(tbl_data[12. Consultation Group of],$A$2,tbl_data[2:T1B],$A74,tbl_data[T1],$A$3)</f>
        <v>0</v>
      </c>
      <c r="D74" s="198">
        <f>COUNTIFS(tbl_data[12. Consultation Group of],$A$2,tbl_data[3:T1B],$A74,tbl_data[T1],$A$3)</f>
        <v>0</v>
      </c>
      <c r="E74" s="198">
        <f>COUNTIFS(tbl_data[12. Consultation Group of],$A$2,tbl_data[1:T2B],$A74,tbl_data[T2],$A$3)</f>
        <v>0</v>
      </c>
      <c r="F74" s="198">
        <f>COUNTIFS(tbl_data[12. Consultation Group of],$A$2,tbl_data[2:T2B],$A74,tbl_data[T2],$A$3)</f>
        <v>0</v>
      </c>
      <c r="G74" s="198">
        <f>COUNTIFS(tbl_data[12. Consultation Group of],$A$2,tbl_data[3:T2B],$A74,tbl_data[T2],$A$3)</f>
        <v>0</v>
      </c>
      <c r="H74" s="198">
        <f>COUNTIFS(tbl_data[12. Consultation Group of],$A$2,tbl_data[1:T3B],$A74,tbl_data[T3],$A$3)</f>
        <v>0</v>
      </c>
      <c r="I74" s="198">
        <f>COUNTIFS(tbl_data[12. Consultation Group of],$A$2,tbl_data[2:T3B],$A74,tbl_data[T3],$A$3)</f>
        <v>0</v>
      </c>
      <c r="J74" s="198">
        <f>COUNTIFS(tbl_data[12. Consultation Group of],$A$2,tbl_data[3:T3B],$A74,tbl_data[T3],$A$3)</f>
        <v>0</v>
      </c>
      <c r="K74" s="198">
        <f t="shared" si="14"/>
        <v>0</v>
      </c>
      <c r="L74" s="199" t="str">
        <f t="shared" si="15"/>
        <v>Lack Of Preparedness (0)</v>
      </c>
      <c r="M74" s="205">
        <f>COUNTIFS(tbl_data[12. Consultation Group of],$B$2,tbl_data[1:T1B],$A74,tbl_data[T1],$B$3)</f>
        <v>0</v>
      </c>
      <c r="N74" s="198">
        <f>COUNTIFS(tbl_data[12. Consultation Group of],$B$2,tbl_data[2:T1B],$A74,tbl_data[T1],$B$3)</f>
        <v>0</v>
      </c>
      <c r="O74" s="198">
        <f>COUNTIFS(tbl_data[12. Consultation Group of],$B$2,tbl_data[3:T1B],$A74,tbl_data[T1],$B$3)</f>
        <v>0</v>
      </c>
      <c r="P74" s="198">
        <f>COUNTIFS(tbl_data[12. Consultation Group of],$B$2,tbl_data[1:T2B],$A74,tbl_data[T2],$B$3)</f>
        <v>0</v>
      </c>
      <c r="Q74" s="198">
        <f>COUNTIFS(tbl_data[12. Consultation Group of],$B$2,tbl_data[2:T2B],$A74,tbl_data[T2],$B$3)</f>
        <v>0</v>
      </c>
      <c r="R74" s="198">
        <f>COUNTIFS(tbl_data[12. Consultation Group of],$B$2,tbl_data[3:T2B],$A74,tbl_data[T2],$B$3)</f>
        <v>0</v>
      </c>
      <c r="S74" s="198">
        <f>COUNTIFS(tbl_data[12. Consultation Group of],$B$2,tbl_data[1:T3B],$A74,tbl_data[T3],$B$3)</f>
        <v>0</v>
      </c>
      <c r="T74" s="198">
        <f>COUNTIFS(tbl_data[12. Consultation Group of],$B$2,tbl_data[2:T3B],$A74,tbl_data[T3],$B$3)</f>
        <v>0</v>
      </c>
      <c r="U74" s="198">
        <f>COUNTIFS(tbl_data[12. Consultation Group of],$B$2,tbl_data[3:T3B],$A74,tbl_data[T3],$B$3)</f>
        <v>0</v>
      </c>
      <c r="V74" s="198">
        <f t="shared" si="16"/>
        <v>0</v>
      </c>
      <c r="W74" s="199" t="str">
        <f t="shared" si="17"/>
        <v>Lack Of Preparedness (0)</v>
      </c>
      <c r="X74" s="205">
        <f>COUNTIFS(tbl_data[12. Consultation Group of],$C$2,tbl_data[1:T1B],$A74,tbl_data[T1],$C$3)</f>
        <v>0</v>
      </c>
      <c r="Y74" s="198">
        <f>COUNTIFS(tbl_data[12. Consultation Group of],$C$2,tbl_data[2:T1B],$A74,tbl_data[T1],$C$3)</f>
        <v>0</v>
      </c>
      <c r="Z74" s="198">
        <f>COUNTIFS(tbl_data[12. Consultation Group of],$C$2,tbl_data[3:T1B],$A74,tbl_data[T1],$C$3)</f>
        <v>1</v>
      </c>
      <c r="AA74" s="198">
        <f>COUNTIFS(tbl_data[12. Consultation Group of],$C$2,tbl_data[1:T2B],$A74,tbl_data[T2],$C$3)</f>
        <v>0</v>
      </c>
      <c r="AB74" s="198">
        <f>COUNTIFS(tbl_data[12. Consultation Group of],$C$2,tbl_data[2:T2B],$A74,tbl_data[T2],$C$3)</f>
        <v>0</v>
      </c>
      <c r="AC74" s="198">
        <f>COUNTIFS(tbl_data[12. Consultation Group of],$C$2,tbl_data[3:T2B],$A74,tbl_data[T2],$C$3)</f>
        <v>0</v>
      </c>
      <c r="AD74" s="198">
        <f>COUNTIFS(tbl_data[12. Consultation Group of],$C$2,tbl_data[1:T3B],$A74,tbl_data[T3],$C$3)</f>
        <v>0</v>
      </c>
      <c r="AE74" s="198">
        <f>COUNTIFS(tbl_data[12. Consultation Group of],$C$2,tbl_data[2:T3B],$A74,tbl_data[T3],$C$3)</f>
        <v>0</v>
      </c>
      <c r="AF74" s="198">
        <f>COUNTIFS(tbl_data[12. Consultation Group of],$C$2,tbl_data[3:T3B],$A74,tbl_data[T3],$C$3)</f>
        <v>0</v>
      </c>
      <c r="AG74" s="198">
        <f t="shared" si="18"/>
        <v>1</v>
      </c>
      <c r="AH74" s="199" t="str">
        <f t="shared" si="19"/>
        <v>Lack Of Preparedness (1)</v>
      </c>
      <c r="AI74" s="205">
        <f>COUNTIFS(tbl_data[12. Consultation Group of],$D$2,tbl_data[1:T1B],$A74,tbl_data[T1],$D$3)</f>
        <v>0</v>
      </c>
      <c r="AJ74" s="198">
        <f>COUNTIFS(tbl_data[12. Consultation Group of],$D$2,tbl_data[2:T1B],$A74,tbl_data[T1],$D$3)</f>
        <v>0</v>
      </c>
      <c r="AK74" s="198">
        <f>COUNTIFS(tbl_data[12. Consultation Group of],$D$2,tbl_data[3:T1B],$A74,tbl_data[T1],$D$3)</f>
        <v>0</v>
      </c>
      <c r="AL74" s="198">
        <f>COUNTIFS(tbl_data[12. Consultation Group of],$D$2,tbl_data[1:T2B],$A74,tbl_data[T2],$D$3)</f>
        <v>0</v>
      </c>
      <c r="AM74" s="198">
        <f>COUNTIFS(tbl_data[12. Consultation Group of],$D$2,tbl_data[2:T2B],$A74,tbl_data[T2],$D$3)</f>
        <v>0</v>
      </c>
      <c r="AN74" s="198">
        <f>COUNTIFS(tbl_data[12. Consultation Group of],$D$2,tbl_data[3:T2B],$A74,tbl_data[T2],$D$3)</f>
        <v>0</v>
      </c>
      <c r="AO74" s="198">
        <f>COUNTIFS(tbl_data[12. Consultation Group of],$D$2,tbl_data[1:T3B],$A74,tbl_data[T3],$D$3)</f>
        <v>0</v>
      </c>
      <c r="AP74" s="198">
        <f>COUNTIFS(tbl_data[12. Consultation Group of],$D$2,tbl_data[2:T3B],$A74,tbl_data[T3],$D$3)</f>
        <v>0</v>
      </c>
      <c r="AQ74" s="198">
        <f>COUNTIFS(tbl_data[12. Consultation Group of],$D$2,tbl_data[3:T3B],$A74,tbl_data[T3],$D$3)</f>
        <v>0</v>
      </c>
      <c r="AR74" s="198">
        <f t="shared" si="20"/>
        <v>0</v>
      </c>
      <c r="AS74" s="199" t="str">
        <f t="shared" si="21"/>
        <v>Lack Of Preparedness (0)</v>
      </c>
      <c r="AT74" s="205">
        <f>COUNTIFS(tbl_data[12. Consultation Group of],$E$2,tbl_data[1:T1B],$A74,tbl_data[T1],$E$3)</f>
        <v>0</v>
      </c>
      <c r="AU74" s="198">
        <f>COUNTIFS(tbl_data[12. Consultation Group of],$E$2,tbl_data[2:T1B],$A74,tbl_data[T1],$E$3)</f>
        <v>0</v>
      </c>
      <c r="AV74" s="198">
        <f>COUNTIFS(tbl_data[12. Consultation Group of],$E$2,tbl_data[3:T1B],$A74,tbl_data[T1],$E$3)</f>
        <v>0</v>
      </c>
      <c r="AW74" s="198">
        <f>COUNTIFS(tbl_data[12. Consultation Group of],$E$2,tbl_data[1:T2B],$A74,tbl_data[T2],$E$3)</f>
        <v>0</v>
      </c>
      <c r="AX74" s="198">
        <f>COUNTIFS(tbl_data[12. Consultation Group of],$E$2,tbl_data[2:T2B],$A74,tbl_data[T2],$E$3)</f>
        <v>0</v>
      </c>
      <c r="AY74" s="198">
        <f>COUNTIFS(tbl_data[12. Consultation Group of],$E$2,tbl_data[3:T2B],$A74,tbl_data[T2],$E$3)</f>
        <v>0</v>
      </c>
      <c r="AZ74" s="198">
        <f>COUNTIFS(tbl_data[12. Consultation Group of],$E$2,tbl_data[1:T3B],$A74,tbl_data[T3],$E$3)</f>
        <v>0</v>
      </c>
      <c r="BA74" s="198">
        <f>COUNTIFS(tbl_data[12. Consultation Group of],$E$2,tbl_data[2:T3B],$A74,tbl_data[T3],$E$3)</f>
        <v>0</v>
      </c>
      <c r="BB74" s="198">
        <f>COUNTIFS(tbl_data[12. Consultation Group of],$E$2,tbl_data[3:T3B],$A74,tbl_data[T3],$E$3)</f>
        <v>0</v>
      </c>
      <c r="BC74" s="198">
        <f t="shared" si="22"/>
        <v>0</v>
      </c>
      <c r="BD74" s="199" t="str">
        <f t="shared" si="23"/>
        <v>Lack Of Preparedness (0)</v>
      </c>
      <c r="BE74" s="205">
        <f>COUNTIFS(tbl_data[1:T1B],$A74,tbl_data[T1],$F$3)</f>
        <v>0</v>
      </c>
      <c r="BF74" s="198">
        <f>COUNTIFS(tbl_data[2:T1B],$A74,tbl_data[T1],$F$3)</f>
        <v>0</v>
      </c>
      <c r="BG74" s="198">
        <f>COUNTIFS(tbl_data[3:T1B],$A74,tbl_data[T1],$F$3)</f>
        <v>1</v>
      </c>
      <c r="BH74" s="198">
        <f>COUNTIFS(tbl_data[1:T2B],$A74,tbl_data[T2],$F$3)</f>
        <v>0</v>
      </c>
      <c r="BI74" s="198">
        <f>COUNTIFS(tbl_data[2:T2B],$A74,tbl_data[T2],$F$3)</f>
        <v>0</v>
      </c>
      <c r="BJ74" s="198">
        <f>COUNTIFS(tbl_data[3:T2B],$A74,tbl_data[T2],$F$3)</f>
        <v>0</v>
      </c>
      <c r="BK74" s="198">
        <f>COUNTIFS(tbl_data[1:T3B],$A74,tbl_data[T3],$F$3)</f>
        <v>0</v>
      </c>
      <c r="BL74" s="198">
        <f>COUNTIFS(tbl_data[2:T3B],$A74,tbl_data[T3],$F$3)</f>
        <v>0</v>
      </c>
      <c r="BM74" s="198">
        <f>COUNTIFS(tbl_data[3:T3B],$A74,tbl_data[T3],$F$3)</f>
        <v>0</v>
      </c>
      <c r="BN74" s="198">
        <f t="shared" si="24"/>
        <v>1</v>
      </c>
      <c r="BO74" s="199" t="str">
        <f t="shared" si="25"/>
        <v>Lack Of Preparedness (1)</v>
      </c>
      <c r="BQ74" t="str">
        <f t="shared" si="26"/>
        <v>Lack Of Preparedness</v>
      </c>
      <c r="BR74">
        <f t="shared" si="27"/>
        <v>2</v>
      </c>
      <c r="BS74" t="s">
        <v>929</v>
      </c>
      <c r="BT74" t="s">
        <v>424</v>
      </c>
      <c r="BU74" s="39" t="s">
        <v>929</v>
      </c>
      <c r="BV74" t="s">
        <v>933</v>
      </c>
    </row>
    <row r="75" spans="1:74" x14ac:dyDescent="0.25">
      <c r="A75" s="215" t="s">
        <v>328</v>
      </c>
      <c r="B75" s="205">
        <f>COUNTIFS(tbl_data[12. Consultation Group of],$A$2,tbl_data[1:T1B],$A75,tbl_data[T1],$A$3)</f>
        <v>0</v>
      </c>
      <c r="C75" s="198">
        <f>COUNTIFS(tbl_data[12. Consultation Group of],$A$2,tbl_data[2:T1B],$A75,tbl_data[T1],$A$3)</f>
        <v>0</v>
      </c>
      <c r="D75" s="198">
        <f>COUNTIFS(tbl_data[12. Consultation Group of],$A$2,tbl_data[3:T1B],$A75,tbl_data[T1],$A$3)</f>
        <v>0</v>
      </c>
      <c r="E75" s="198">
        <f>COUNTIFS(tbl_data[12. Consultation Group of],$A$2,tbl_data[1:T2B],$A75,tbl_data[T2],$A$3)</f>
        <v>0</v>
      </c>
      <c r="F75" s="198">
        <f>COUNTIFS(tbl_data[12. Consultation Group of],$A$2,tbl_data[2:T2B],$A75,tbl_data[T2],$A$3)</f>
        <v>1</v>
      </c>
      <c r="G75" s="198">
        <f>COUNTIFS(tbl_data[12. Consultation Group of],$A$2,tbl_data[3:T2B],$A75,tbl_data[T2],$A$3)</f>
        <v>0</v>
      </c>
      <c r="H75" s="198">
        <f>COUNTIFS(tbl_data[12. Consultation Group of],$A$2,tbl_data[1:T3B],$A75,tbl_data[T3],$A$3)</f>
        <v>0</v>
      </c>
      <c r="I75" s="198">
        <f>COUNTIFS(tbl_data[12. Consultation Group of],$A$2,tbl_data[2:T3B],$A75,tbl_data[T3],$A$3)</f>
        <v>0</v>
      </c>
      <c r="J75" s="198">
        <f>COUNTIFS(tbl_data[12. Consultation Group of],$A$2,tbl_data[3:T3B],$A75,tbl_data[T3],$A$3)</f>
        <v>0</v>
      </c>
      <c r="K75" s="198">
        <f t="shared" si="14"/>
        <v>1</v>
      </c>
      <c r="L75" s="199" t="str">
        <f t="shared" si="15"/>
        <v>Lack Of Access To Technology (1)</v>
      </c>
      <c r="M75" s="205">
        <f>COUNTIFS(tbl_data[12. Consultation Group of],$B$2,tbl_data[1:T1B],$A75,tbl_data[T1],$B$3)</f>
        <v>0</v>
      </c>
      <c r="N75" s="198">
        <f>COUNTIFS(tbl_data[12. Consultation Group of],$B$2,tbl_data[2:T1B],$A75,tbl_data[T1],$B$3)</f>
        <v>0</v>
      </c>
      <c r="O75" s="198">
        <f>COUNTIFS(tbl_data[12. Consultation Group of],$B$2,tbl_data[3:T1B],$A75,tbl_data[T1],$B$3)</f>
        <v>0</v>
      </c>
      <c r="P75" s="198">
        <f>COUNTIFS(tbl_data[12. Consultation Group of],$B$2,tbl_data[1:T2B],$A75,tbl_data[T2],$B$3)</f>
        <v>0</v>
      </c>
      <c r="Q75" s="198">
        <f>COUNTIFS(tbl_data[12. Consultation Group of],$B$2,tbl_data[2:T2B],$A75,tbl_data[T2],$B$3)</f>
        <v>0</v>
      </c>
      <c r="R75" s="198">
        <f>COUNTIFS(tbl_data[12. Consultation Group of],$B$2,tbl_data[3:T2B],$A75,tbl_data[T2],$B$3)</f>
        <v>0</v>
      </c>
      <c r="S75" s="198">
        <f>COUNTIFS(tbl_data[12. Consultation Group of],$B$2,tbl_data[1:T3B],$A75,tbl_data[T3],$B$3)</f>
        <v>0</v>
      </c>
      <c r="T75" s="198">
        <f>COUNTIFS(tbl_data[12. Consultation Group of],$B$2,tbl_data[2:T3B],$A75,tbl_data[T3],$B$3)</f>
        <v>0</v>
      </c>
      <c r="U75" s="198">
        <f>COUNTIFS(tbl_data[12. Consultation Group of],$B$2,tbl_data[3:T3B],$A75,tbl_data[T3],$B$3)</f>
        <v>0</v>
      </c>
      <c r="V75" s="198">
        <f t="shared" si="16"/>
        <v>0</v>
      </c>
      <c r="W75" s="199" t="str">
        <f t="shared" si="17"/>
        <v>Lack Of Access To Technology (0)</v>
      </c>
      <c r="X75" s="205">
        <f>COUNTIFS(tbl_data[12. Consultation Group of],$C$2,tbl_data[1:T1B],$A75,tbl_data[T1],$C$3)</f>
        <v>0</v>
      </c>
      <c r="Y75" s="198">
        <f>COUNTIFS(tbl_data[12. Consultation Group of],$C$2,tbl_data[2:T1B],$A75,tbl_data[T1],$C$3)</f>
        <v>0</v>
      </c>
      <c r="Z75" s="198">
        <f>COUNTIFS(tbl_data[12. Consultation Group of],$C$2,tbl_data[3:T1B],$A75,tbl_data[T1],$C$3)</f>
        <v>0</v>
      </c>
      <c r="AA75" s="198">
        <f>COUNTIFS(tbl_data[12. Consultation Group of],$C$2,tbl_data[1:T2B],$A75,tbl_data[T2],$C$3)</f>
        <v>0</v>
      </c>
      <c r="AB75" s="198">
        <f>COUNTIFS(tbl_data[12. Consultation Group of],$C$2,tbl_data[2:T2B],$A75,tbl_data[T2],$C$3)</f>
        <v>0</v>
      </c>
      <c r="AC75" s="198">
        <f>COUNTIFS(tbl_data[12. Consultation Group of],$C$2,tbl_data[3:T2B],$A75,tbl_data[T2],$C$3)</f>
        <v>0</v>
      </c>
      <c r="AD75" s="198">
        <f>COUNTIFS(tbl_data[12. Consultation Group of],$C$2,tbl_data[1:T3B],$A75,tbl_data[T3],$C$3)</f>
        <v>0</v>
      </c>
      <c r="AE75" s="198">
        <f>COUNTIFS(tbl_data[12. Consultation Group of],$C$2,tbl_data[2:T3B],$A75,tbl_data[T3],$C$3)</f>
        <v>0</v>
      </c>
      <c r="AF75" s="198">
        <f>COUNTIFS(tbl_data[12. Consultation Group of],$C$2,tbl_data[3:T3B],$A75,tbl_data[T3],$C$3)</f>
        <v>0</v>
      </c>
      <c r="AG75" s="198">
        <f t="shared" si="18"/>
        <v>0</v>
      </c>
      <c r="AH75" s="199" t="str">
        <f t="shared" si="19"/>
        <v>Lack Of Access To Technology (0)</v>
      </c>
      <c r="AI75" s="205">
        <f>COUNTIFS(tbl_data[12. Consultation Group of],$D$2,tbl_data[1:T1B],$A75,tbl_data[T1],$D$3)</f>
        <v>0</v>
      </c>
      <c r="AJ75" s="198">
        <f>COUNTIFS(tbl_data[12. Consultation Group of],$D$2,tbl_data[2:T1B],$A75,tbl_data[T1],$D$3)</f>
        <v>0</v>
      </c>
      <c r="AK75" s="198">
        <f>COUNTIFS(tbl_data[12. Consultation Group of],$D$2,tbl_data[3:T1B],$A75,tbl_data[T1],$D$3)</f>
        <v>1</v>
      </c>
      <c r="AL75" s="198">
        <f>COUNTIFS(tbl_data[12. Consultation Group of],$D$2,tbl_data[1:T2B],$A75,tbl_data[T2],$D$3)</f>
        <v>0</v>
      </c>
      <c r="AM75" s="198">
        <f>COUNTIFS(tbl_data[12. Consultation Group of],$D$2,tbl_data[2:T2B],$A75,tbl_data[T2],$D$3)</f>
        <v>0</v>
      </c>
      <c r="AN75" s="198">
        <f>COUNTIFS(tbl_data[12. Consultation Group of],$D$2,tbl_data[3:T2B],$A75,tbl_data[T2],$D$3)</f>
        <v>0</v>
      </c>
      <c r="AO75" s="198">
        <f>COUNTIFS(tbl_data[12. Consultation Group of],$D$2,tbl_data[1:T3B],$A75,tbl_data[T3],$D$3)</f>
        <v>0</v>
      </c>
      <c r="AP75" s="198">
        <f>COUNTIFS(tbl_data[12. Consultation Group of],$D$2,tbl_data[2:T3B],$A75,tbl_data[T3],$D$3)</f>
        <v>0</v>
      </c>
      <c r="AQ75" s="198">
        <f>COUNTIFS(tbl_data[12. Consultation Group of],$D$2,tbl_data[3:T3B],$A75,tbl_data[T3],$D$3)</f>
        <v>0</v>
      </c>
      <c r="AR75" s="198">
        <f t="shared" si="20"/>
        <v>1</v>
      </c>
      <c r="AS75" s="199" t="str">
        <f t="shared" si="21"/>
        <v>Lack Of Access To Technology (1)</v>
      </c>
      <c r="AT75" s="205">
        <f>COUNTIFS(tbl_data[12. Consultation Group of],$E$2,tbl_data[1:T1B],$A75,tbl_data[T1],$E$3)</f>
        <v>0</v>
      </c>
      <c r="AU75" s="198">
        <f>COUNTIFS(tbl_data[12. Consultation Group of],$E$2,tbl_data[2:T1B],$A75,tbl_data[T1],$E$3)</f>
        <v>0</v>
      </c>
      <c r="AV75" s="198">
        <f>COUNTIFS(tbl_data[12. Consultation Group of],$E$2,tbl_data[3:T1B],$A75,tbl_data[T1],$E$3)</f>
        <v>0</v>
      </c>
      <c r="AW75" s="198">
        <f>COUNTIFS(tbl_data[12. Consultation Group of],$E$2,tbl_data[1:T2B],$A75,tbl_data[T2],$E$3)</f>
        <v>0</v>
      </c>
      <c r="AX75" s="198">
        <f>COUNTIFS(tbl_data[12. Consultation Group of],$E$2,tbl_data[2:T2B],$A75,tbl_data[T2],$E$3)</f>
        <v>0</v>
      </c>
      <c r="AY75" s="198">
        <f>COUNTIFS(tbl_data[12. Consultation Group of],$E$2,tbl_data[3:T2B],$A75,tbl_data[T2],$E$3)</f>
        <v>0</v>
      </c>
      <c r="AZ75" s="198">
        <f>COUNTIFS(tbl_data[12. Consultation Group of],$E$2,tbl_data[1:T3B],$A75,tbl_data[T3],$E$3)</f>
        <v>0</v>
      </c>
      <c r="BA75" s="198">
        <f>COUNTIFS(tbl_data[12. Consultation Group of],$E$2,tbl_data[2:T3B],$A75,tbl_data[T3],$E$3)</f>
        <v>0</v>
      </c>
      <c r="BB75" s="198">
        <f>COUNTIFS(tbl_data[12. Consultation Group of],$E$2,tbl_data[3:T3B],$A75,tbl_data[T3],$E$3)</f>
        <v>0</v>
      </c>
      <c r="BC75" s="198">
        <f t="shared" si="22"/>
        <v>0</v>
      </c>
      <c r="BD75" s="199" t="str">
        <f t="shared" si="23"/>
        <v>Lack Of Access To Technology (0)</v>
      </c>
      <c r="BE75" s="205">
        <f>COUNTIFS(tbl_data[1:T1B],$A75,tbl_data[T1],$F$3)</f>
        <v>0</v>
      </c>
      <c r="BF75" s="198">
        <f>COUNTIFS(tbl_data[2:T1B],$A75,tbl_data[T1],$F$3)</f>
        <v>1</v>
      </c>
      <c r="BG75" s="198">
        <f>COUNTIFS(tbl_data[3:T1B],$A75,tbl_data[T1],$F$3)</f>
        <v>1</v>
      </c>
      <c r="BH75" s="198">
        <f>COUNTIFS(tbl_data[1:T2B],$A75,tbl_data[T2],$F$3)</f>
        <v>0</v>
      </c>
      <c r="BI75" s="198">
        <f>COUNTIFS(tbl_data[2:T2B],$A75,tbl_data[T2],$F$3)</f>
        <v>0</v>
      </c>
      <c r="BJ75" s="198">
        <f>COUNTIFS(tbl_data[3:T2B],$A75,tbl_data[T2],$F$3)</f>
        <v>0</v>
      </c>
      <c r="BK75" s="198">
        <f>COUNTIFS(tbl_data[1:T3B],$A75,tbl_data[T3],$F$3)</f>
        <v>0</v>
      </c>
      <c r="BL75" s="198">
        <f>COUNTIFS(tbl_data[2:T3B],$A75,tbl_data[T3],$F$3)</f>
        <v>0</v>
      </c>
      <c r="BM75" s="198">
        <f>COUNTIFS(tbl_data[3:T3B],$A75,tbl_data[T3],$F$3)</f>
        <v>0</v>
      </c>
      <c r="BN75" s="198">
        <f t="shared" si="24"/>
        <v>2</v>
      </c>
      <c r="BO75" s="199" t="str">
        <f t="shared" si="25"/>
        <v>Lack Of Access To Technology (2)</v>
      </c>
      <c r="BQ75" t="str">
        <f t="shared" si="26"/>
        <v>Lack Of Access To Technology</v>
      </c>
      <c r="BR75">
        <f t="shared" si="27"/>
        <v>4</v>
      </c>
      <c r="BS75" t="s">
        <v>943</v>
      </c>
      <c r="BT75" t="s">
        <v>926</v>
      </c>
      <c r="BU75" s="277" t="s">
        <v>936</v>
      </c>
      <c r="BV75" s="153" t="s">
        <v>935</v>
      </c>
    </row>
    <row r="76" spans="1:74" x14ac:dyDescent="0.25">
      <c r="A76" s="215" t="s">
        <v>393</v>
      </c>
      <c r="B76" s="205">
        <f>COUNTIFS(tbl_data[12. Consultation Group of],$A$2,tbl_data[1:T1B],$A76,tbl_data[T1],$A$3)</f>
        <v>0</v>
      </c>
      <c r="C76" s="198">
        <f>COUNTIFS(tbl_data[12. Consultation Group of],$A$2,tbl_data[2:T1B],$A76,tbl_data[T1],$A$3)</f>
        <v>0</v>
      </c>
      <c r="D76" s="198">
        <f>COUNTIFS(tbl_data[12. Consultation Group of],$A$2,tbl_data[3:T1B],$A76,tbl_data[T1],$A$3)</f>
        <v>0</v>
      </c>
      <c r="E76" s="198">
        <f>COUNTIFS(tbl_data[12. Consultation Group of],$A$2,tbl_data[1:T2B],$A76,tbl_data[T2],$A$3)</f>
        <v>0</v>
      </c>
      <c r="F76" s="198">
        <f>COUNTIFS(tbl_data[12. Consultation Group of],$A$2,tbl_data[2:T2B],$A76,tbl_data[T2],$A$3)</f>
        <v>0</v>
      </c>
      <c r="G76" s="198">
        <f>COUNTIFS(tbl_data[12. Consultation Group of],$A$2,tbl_data[3:T2B],$A76,tbl_data[T2],$A$3)</f>
        <v>0</v>
      </c>
      <c r="H76" s="198">
        <f>COUNTIFS(tbl_data[12. Consultation Group of],$A$2,tbl_data[1:T3B],$A76,tbl_data[T3],$A$3)</f>
        <v>0</v>
      </c>
      <c r="I76" s="198">
        <f>COUNTIFS(tbl_data[12. Consultation Group of],$A$2,tbl_data[2:T3B],$A76,tbl_data[T3],$A$3)</f>
        <v>0</v>
      </c>
      <c r="J76" s="198">
        <f>COUNTIFS(tbl_data[12. Consultation Group of],$A$2,tbl_data[3:T3B],$A76,tbl_data[T3],$A$3)</f>
        <v>0</v>
      </c>
      <c r="K76" s="198">
        <f t="shared" si="14"/>
        <v>0</v>
      </c>
      <c r="L76" s="199" t="str">
        <f t="shared" si="15"/>
        <v>Family Problem/ Issues (0)</v>
      </c>
      <c r="M76" s="205">
        <f>COUNTIFS(tbl_data[12. Consultation Group of],$B$2,tbl_data[1:T1B],$A76,tbl_data[T1],$B$3)</f>
        <v>0</v>
      </c>
      <c r="N76" s="198">
        <f>COUNTIFS(tbl_data[12. Consultation Group of],$B$2,tbl_data[2:T1B],$A76,tbl_data[T1],$B$3)</f>
        <v>0</v>
      </c>
      <c r="O76" s="198">
        <f>COUNTIFS(tbl_data[12. Consultation Group of],$B$2,tbl_data[3:T1B],$A76,tbl_data[T1],$B$3)</f>
        <v>0</v>
      </c>
      <c r="P76" s="198">
        <f>COUNTIFS(tbl_data[12. Consultation Group of],$B$2,tbl_data[1:T2B],$A76,tbl_data[T2],$B$3)</f>
        <v>0</v>
      </c>
      <c r="Q76" s="198">
        <f>COUNTIFS(tbl_data[12. Consultation Group of],$B$2,tbl_data[2:T2B],$A76,tbl_data[T2],$B$3)</f>
        <v>0</v>
      </c>
      <c r="R76" s="198">
        <f>COUNTIFS(tbl_data[12. Consultation Group of],$B$2,tbl_data[3:T2B],$A76,tbl_data[T2],$B$3)</f>
        <v>0</v>
      </c>
      <c r="S76" s="198">
        <f>COUNTIFS(tbl_data[12. Consultation Group of],$B$2,tbl_data[1:T3B],$A76,tbl_data[T3],$B$3)</f>
        <v>0</v>
      </c>
      <c r="T76" s="198">
        <f>COUNTIFS(tbl_data[12. Consultation Group of],$B$2,tbl_data[2:T3B],$A76,tbl_data[T3],$B$3)</f>
        <v>0</v>
      </c>
      <c r="U76" s="198">
        <f>COUNTIFS(tbl_data[12. Consultation Group of],$B$2,tbl_data[3:T3B],$A76,tbl_data[T3],$B$3)</f>
        <v>0</v>
      </c>
      <c r="V76" s="198">
        <f t="shared" si="16"/>
        <v>0</v>
      </c>
      <c r="W76" s="199" t="str">
        <f t="shared" si="17"/>
        <v>Family Problem/ Issues (0)</v>
      </c>
      <c r="X76" s="205">
        <f>COUNTIFS(tbl_data[12. Consultation Group of],$C$2,tbl_data[1:T1B],$A76,tbl_data[T1],$C$3)</f>
        <v>0</v>
      </c>
      <c r="Y76" s="198">
        <f>COUNTIFS(tbl_data[12. Consultation Group of],$C$2,tbl_data[2:T1B],$A76,tbl_data[T1],$C$3)</f>
        <v>0</v>
      </c>
      <c r="Z76" s="198">
        <f>COUNTIFS(tbl_data[12. Consultation Group of],$C$2,tbl_data[3:T1B],$A76,tbl_data[T1],$C$3)</f>
        <v>0</v>
      </c>
      <c r="AA76" s="198">
        <f>COUNTIFS(tbl_data[12. Consultation Group of],$C$2,tbl_data[1:T2B],$A76,tbl_data[T2],$C$3)</f>
        <v>0</v>
      </c>
      <c r="AB76" s="198">
        <f>COUNTIFS(tbl_data[12. Consultation Group of],$C$2,tbl_data[2:T2B],$A76,tbl_data[T2],$C$3)</f>
        <v>0</v>
      </c>
      <c r="AC76" s="198">
        <f>COUNTIFS(tbl_data[12. Consultation Group of],$C$2,tbl_data[3:T2B],$A76,tbl_data[T2],$C$3)</f>
        <v>0</v>
      </c>
      <c r="AD76" s="198">
        <f>COUNTIFS(tbl_data[12. Consultation Group of],$C$2,tbl_data[1:T3B],$A76,tbl_data[T3],$C$3)</f>
        <v>0</v>
      </c>
      <c r="AE76" s="198">
        <f>COUNTIFS(tbl_data[12. Consultation Group of],$C$2,tbl_data[2:T3B],$A76,tbl_data[T3],$C$3)</f>
        <v>0</v>
      </c>
      <c r="AF76" s="198">
        <f>COUNTIFS(tbl_data[12. Consultation Group of],$C$2,tbl_data[3:T3B],$A76,tbl_data[T3],$C$3)</f>
        <v>0</v>
      </c>
      <c r="AG76" s="198">
        <f t="shared" si="18"/>
        <v>0</v>
      </c>
      <c r="AH76" s="199" t="str">
        <f t="shared" si="19"/>
        <v>Family Problem/ Issues (0)</v>
      </c>
      <c r="AI76" s="205">
        <f>COUNTIFS(tbl_data[12. Consultation Group of],$D$2,tbl_data[1:T1B],$A76,tbl_data[T1],$D$3)</f>
        <v>0</v>
      </c>
      <c r="AJ76" s="198">
        <f>COUNTIFS(tbl_data[12. Consultation Group of],$D$2,tbl_data[2:T1B],$A76,tbl_data[T1],$D$3)</f>
        <v>0</v>
      </c>
      <c r="AK76" s="198">
        <f>COUNTIFS(tbl_data[12. Consultation Group of],$D$2,tbl_data[3:T1B],$A76,tbl_data[T1],$D$3)</f>
        <v>0</v>
      </c>
      <c r="AL76" s="198">
        <f>COUNTIFS(tbl_data[12. Consultation Group of],$D$2,tbl_data[1:T2B],$A76,tbl_data[T2],$D$3)</f>
        <v>0</v>
      </c>
      <c r="AM76" s="198">
        <f>COUNTIFS(tbl_data[12. Consultation Group of],$D$2,tbl_data[2:T2B],$A76,tbl_data[T2],$D$3)</f>
        <v>0</v>
      </c>
      <c r="AN76" s="198">
        <f>COUNTIFS(tbl_data[12. Consultation Group of],$D$2,tbl_data[3:T2B],$A76,tbl_data[T2],$D$3)</f>
        <v>0</v>
      </c>
      <c r="AO76" s="198">
        <f>COUNTIFS(tbl_data[12. Consultation Group of],$D$2,tbl_data[1:T3B],$A76,tbl_data[T3],$D$3)</f>
        <v>0</v>
      </c>
      <c r="AP76" s="198">
        <f>COUNTIFS(tbl_data[12. Consultation Group of],$D$2,tbl_data[2:T3B],$A76,tbl_data[T3],$D$3)</f>
        <v>0</v>
      </c>
      <c r="AQ76" s="198">
        <f>COUNTIFS(tbl_data[12. Consultation Group of],$D$2,tbl_data[3:T3B],$A76,tbl_data[T3],$D$3)</f>
        <v>0</v>
      </c>
      <c r="AR76" s="198">
        <f t="shared" si="20"/>
        <v>0</v>
      </c>
      <c r="AS76" s="199" t="str">
        <f t="shared" si="21"/>
        <v>Family Problem/ Issues (0)</v>
      </c>
      <c r="AT76" s="205">
        <f>COUNTIFS(tbl_data[12. Consultation Group of],$E$2,tbl_data[1:T1B],$A76,tbl_data[T1],$E$3)</f>
        <v>0</v>
      </c>
      <c r="AU76" s="198">
        <f>COUNTIFS(tbl_data[12. Consultation Group of],$E$2,tbl_data[2:T1B],$A76,tbl_data[T1],$E$3)</f>
        <v>0</v>
      </c>
      <c r="AV76" s="198">
        <f>COUNTIFS(tbl_data[12. Consultation Group of],$E$2,tbl_data[3:T1B],$A76,tbl_data[T1],$E$3)</f>
        <v>0</v>
      </c>
      <c r="AW76" s="198">
        <f>COUNTIFS(tbl_data[12. Consultation Group of],$E$2,tbl_data[1:T2B],$A76,tbl_data[T2],$E$3)</f>
        <v>0</v>
      </c>
      <c r="AX76" s="198">
        <f>COUNTIFS(tbl_data[12. Consultation Group of],$E$2,tbl_data[2:T2B],$A76,tbl_data[T2],$E$3)</f>
        <v>0</v>
      </c>
      <c r="AY76" s="198">
        <f>COUNTIFS(tbl_data[12. Consultation Group of],$E$2,tbl_data[3:T2B],$A76,tbl_data[T2],$E$3)</f>
        <v>0</v>
      </c>
      <c r="AZ76" s="198">
        <f>COUNTIFS(tbl_data[12. Consultation Group of],$E$2,tbl_data[1:T3B],$A76,tbl_data[T3],$E$3)</f>
        <v>0</v>
      </c>
      <c r="BA76" s="198">
        <f>COUNTIFS(tbl_data[12. Consultation Group of],$E$2,tbl_data[2:T3B],$A76,tbl_data[T3],$E$3)</f>
        <v>0</v>
      </c>
      <c r="BB76" s="198">
        <f>COUNTIFS(tbl_data[12. Consultation Group of],$E$2,tbl_data[3:T3B],$A76,tbl_data[T3],$E$3)</f>
        <v>0</v>
      </c>
      <c r="BC76" s="198">
        <f t="shared" si="22"/>
        <v>0</v>
      </c>
      <c r="BD76" s="199" t="str">
        <f t="shared" si="23"/>
        <v>Family Problem/ Issues (0)</v>
      </c>
      <c r="BE76" s="205">
        <f>COUNTIFS(tbl_data[1:T1B],$A76,tbl_data[T1],$F$3)</f>
        <v>0</v>
      </c>
      <c r="BF76" s="198">
        <f>COUNTIFS(tbl_data[2:T1B],$A76,tbl_data[T1],$F$3)</f>
        <v>0</v>
      </c>
      <c r="BG76" s="198">
        <f>COUNTIFS(tbl_data[3:T1B],$A76,tbl_data[T1],$F$3)</f>
        <v>1</v>
      </c>
      <c r="BH76" s="198">
        <f>COUNTIFS(tbl_data[1:T2B],$A76,tbl_data[T2],$F$3)</f>
        <v>0</v>
      </c>
      <c r="BI76" s="198">
        <f>COUNTIFS(tbl_data[2:T2B],$A76,tbl_data[T2],$F$3)</f>
        <v>0</v>
      </c>
      <c r="BJ76" s="198">
        <f>COUNTIFS(tbl_data[3:T2B],$A76,tbl_data[T2],$F$3)</f>
        <v>0</v>
      </c>
      <c r="BK76" s="198">
        <f>COUNTIFS(tbl_data[1:T3B],$A76,tbl_data[T3],$F$3)</f>
        <v>0</v>
      </c>
      <c r="BL76" s="198">
        <f>COUNTIFS(tbl_data[2:T3B],$A76,tbl_data[T3],$F$3)</f>
        <v>0</v>
      </c>
      <c r="BM76" s="198">
        <f>COUNTIFS(tbl_data[3:T3B],$A76,tbl_data[T3],$F$3)</f>
        <v>0</v>
      </c>
      <c r="BN76" s="198">
        <f t="shared" si="24"/>
        <v>1</v>
      </c>
      <c r="BO76" s="199" t="str">
        <f t="shared" si="25"/>
        <v>Family Problem/ Issues (1)</v>
      </c>
      <c r="BQ76" t="str">
        <f t="shared" si="26"/>
        <v>Family Problem/ Issues</v>
      </c>
      <c r="BR76">
        <f t="shared" si="27"/>
        <v>1</v>
      </c>
      <c r="BS76" t="s">
        <v>942</v>
      </c>
      <c r="BT76" t="s">
        <v>925</v>
      </c>
      <c r="BU76" s="276" t="s">
        <v>925</v>
      </c>
      <c r="BV76" s="153" t="s">
        <v>932</v>
      </c>
    </row>
    <row r="77" spans="1:74" x14ac:dyDescent="0.25">
      <c r="A77" s="215" t="s">
        <v>237</v>
      </c>
      <c r="B77" s="205">
        <f>COUNTIFS(tbl_data[12. Consultation Group of],$A$2,tbl_data[1:T1B],$A77,tbl_data[T1],$A$3)</f>
        <v>0</v>
      </c>
      <c r="C77" s="198">
        <f>COUNTIFS(tbl_data[12. Consultation Group of],$A$2,tbl_data[2:T1B],$A77,tbl_data[T1],$A$3)</f>
        <v>0</v>
      </c>
      <c r="D77" s="198">
        <f>COUNTIFS(tbl_data[12. Consultation Group of],$A$2,tbl_data[3:T1B],$A77,tbl_data[T1],$A$3)</f>
        <v>0</v>
      </c>
      <c r="E77" s="198">
        <f>COUNTIFS(tbl_data[12. Consultation Group of],$A$2,tbl_data[1:T2B],$A77,tbl_data[T2],$A$3)</f>
        <v>0</v>
      </c>
      <c r="F77" s="198">
        <f>COUNTIFS(tbl_data[12. Consultation Group of],$A$2,tbl_data[2:T2B],$A77,tbl_data[T2],$A$3)</f>
        <v>0</v>
      </c>
      <c r="G77" s="198">
        <f>COUNTIFS(tbl_data[12. Consultation Group of],$A$2,tbl_data[3:T2B],$A77,tbl_data[T2],$A$3)</f>
        <v>0</v>
      </c>
      <c r="H77" s="198">
        <f>COUNTIFS(tbl_data[12. Consultation Group of],$A$2,tbl_data[1:T3B],$A77,tbl_data[T3],$A$3)</f>
        <v>0</v>
      </c>
      <c r="I77" s="198">
        <f>COUNTIFS(tbl_data[12. Consultation Group of],$A$2,tbl_data[2:T3B],$A77,tbl_data[T3],$A$3)</f>
        <v>0</v>
      </c>
      <c r="J77" s="198">
        <f>COUNTIFS(tbl_data[12. Consultation Group of],$A$2,tbl_data[3:T3B],$A77,tbl_data[T3],$A$3)</f>
        <v>0</v>
      </c>
      <c r="K77" s="198">
        <f t="shared" si="14"/>
        <v>0</v>
      </c>
      <c r="L77" s="199" t="str">
        <f t="shared" si="15"/>
        <v>Lack Of Risk Awareness And Planning (0)</v>
      </c>
      <c r="M77" s="205">
        <f>COUNTIFS(tbl_data[12. Consultation Group of],$B$2,tbl_data[1:T1B],$A77,tbl_data[T1],$B$3)</f>
        <v>0</v>
      </c>
      <c r="N77" s="198">
        <f>COUNTIFS(tbl_data[12. Consultation Group of],$B$2,tbl_data[2:T1B],$A77,tbl_data[T1],$B$3)</f>
        <v>0</v>
      </c>
      <c r="O77" s="198">
        <f>COUNTIFS(tbl_data[12. Consultation Group of],$B$2,tbl_data[3:T1B],$A77,tbl_data[T1],$B$3)</f>
        <v>0</v>
      </c>
      <c r="P77" s="198">
        <f>COUNTIFS(tbl_data[12. Consultation Group of],$B$2,tbl_data[1:T2B],$A77,tbl_data[T2],$B$3)</f>
        <v>0</v>
      </c>
      <c r="Q77" s="198">
        <f>COUNTIFS(tbl_data[12. Consultation Group of],$B$2,tbl_data[2:T2B],$A77,tbl_data[T2],$B$3)</f>
        <v>0</v>
      </c>
      <c r="R77" s="198">
        <f>COUNTIFS(tbl_data[12. Consultation Group of],$B$2,tbl_data[3:T2B],$A77,tbl_data[T2],$B$3)</f>
        <v>0</v>
      </c>
      <c r="S77" s="198">
        <f>COUNTIFS(tbl_data[12. Consultation Group of],$B$2,tbl_data[1:T3B],$A77,tbl_data[T3],$B$3)</f>
        <v>0</v>
      </c>
      <c r="T77" s="198">
        <f>COUNTIFS(tbl_data[12. Consultation Group of],$B$2,tbl_data[2:T3B],$A77,tbl_data[T3],$B$3)</f>
        <v>0</v>
      </c>
      <c r="U77" s="198">
        <f>COUNTIFS(tbl_data[12. Consultation Group of],$B$2,tbl_data[3:T3B],$A77,tbl_data[T3],$B$3)</f>
        <v>0</v>
      </c>
      <c r="V77" s="198">
        <f t="shared" si="16"/>
        <v>0</v>
      </c>
      <c r="W77" s="199" t="str">
        <f t="shared" si="17"/>
        <v>Lack Of Risk Awareness And Planning (0)</v>
      </c>
      <c r="X77" s="205">
        <f>COUNTIFS(tbl_data[12. Consultation Group of],$C$2,tbl_data[1:T1B],$A77,tbl_data[T1],$C$3)</f>
        <v>0</v>
      </c>
      <c r="Y77" s="198">
        <f>COUNTIFS(tbl_data[12. Consultation Group of],$C$2,tbl_data[2:T1B],$A77,tbl_data[T1],$C$3)</f>
        <v>0</v>
      </c>
      <c r="Z77" s="198">
        <f>COUNTIFS(tbl_data[12. Consultation Group of],$C$2,tbl_data[3:T1B],$A77,tbl_data[T1],$C$3)</f>
        <v>0</v>
      </c>
      <c r="AA77" s="198">
        <f>COUNTIFS(tbl_data[12. Consultation Group of],$C$2,tbl_data[1:T2B],$A77,tbl_data[T2],$C$3)</f>
        <v>0</v>
      </c>
      <c r="AB77" s="198">
        <f>COUNTIFS(tbl_data[12. Consultation Group of],$C$2,tbl_data[2:T2B],$A77,tbl_data[T2],$C$3)</f>
        <v>0</v>
      </c>
      <c r="AC77" s="198">
        <f>COUNTIFS(tbl_data[12. Consultation Group of],$C$2,tbl_data[3:T2B],$A77,tbl_data[T2],$C$3)</f>
        <v>0</v>
      </c>
      <c r="AD77" s="198">
        <f>COUNTIFS(tbl_data[12. Consultation Group of],$C$2,tbl_data[1:T3B],$A77,tbl_data[T3],$C$3)</f>
        <v>0</v>
      </c>
      <c r="AE77" s="198">
        <f>COUNTIFS(tbl_data[12. Consultation Group of],$C$2,tbl_data[2:T3B],$A77,tbl_data[T3],$C$3)</f>
        <v>0</v>
      </c>
      <c r="AF77" s="198">
        <f>COUNTIFS(tbl_data[12. Consultation Group of],$C$2,tbl_data[3:T3B],$A77,tbl_data[T3],$C$3)</f>
        <v>0</v>
      </c>
      <c r="AG77" s="198">
        <f t="shared" si="18"/>
        <v>0</v>
      </c>
      <c r="AH77" s="199" t="str">
        <f t="shared" si="19"/>
        <v>Lack Of Risk Awareness And Planning (0)</v>
      </c>
      <c r="AI77" s="205">
        <f>COUNTIFS(tbl_data[12. Consultation Group of],$D$2,tbl_data[1:T1B],$A77,tbl_data[T1],$D$3)</f>
        <v>1</v>
      </c>
      <c r="AJ77" s="198">
        <f>COUNTIFS(tbl_data[12. Consultation Group of],$D$2,tbl_data[2:T1B],$A77,tbl_data[T1],$D$3)</f>
        <v>1</v>
      </c>
      <c r="AK77" s="198">
        <f>COUNTIFS(tbl_data[12. Consultation Group of],$D$2,tbl_data[3:T1B],$A77,tbl_data[T1],$D$3)</f>
        <v>0</v>
      </c>
      <c r="AL77" s="198">
        <f>COUNTIFS(tbl_data[12. Consultation Group of],$D$2,tbl_data[1:T2B],$A77,tbl_data[T2],$D$3)</f>
        <v>0</v>
      </c>
      <c r="AM77" s="198">
        <f>COUNTIFS(tbl_data[12. Consultation Group of],$D$2,tbl_data[2:T2B],$A77,tbl_data[T2],$D$3)</f>
        <v>0</v>
      </c>
      <c r="AN77" s="198">
        <f>COUNTIFS(tbl_data[12. Consultation Group of],$D$2,tbl_data[3:T2B],$A77,tbl_data[T2],$D$3)</f>
        <v>0</v>
      </c>
      <c r="AO77" s="198">
        <f>COUNTIFS(tbl_data[12. Consultation Group of],$D$2,tbl_data[1:T3B],$A77,tbl_data[T3],$D$3)</f>
        <v>0</v>
      </c>
      <c r="AP77" s="198">
        <f>COUNTIFS(tbl_data[12. Consultation Group of],$D$2,tbl_data[2:T3B],$A77,tbl_data[T3],$D$3)</f>
        <v>0</v>
      </c>
      <c r="AQ77" s="198">
        <f>COUNTIFS(tbl_data[12. Consultation Group of],$D$2,tbl_data[3:T3B],$A77,tbl_data[T3],$D$3)</f>
        <v>0</v>
      </c>
      <c r="AR77" s="198">
        <f t="shared" si="20"/>
        <v>2</v>
      </c>
      <c r="AS77" s="199" t="str">
        <f t="shared" si="21"/>
        <v>Lack Of Risk Awareness And Planning (2)</v>
      </c>
      <c r="AT77" s="205">
        <f>COUNTIFS(tbl_data[12. Consultation Group of],$E$2,tbl_data[1:T1B],$A77,tbl_data[T1],$E$3)</f>
        <v>0</v>
      </c>
      <c r="AU77" s="198">
        <f>COUNTIFS(tbl_data[12. Consultation Group of],$E$2,tbl_data[2:T1B],$A77,tbl_data[T1],$E$3)</f>
        <v>0</v>
      </c>
      <c r="AV77" s="198">
        <f>COUNTIFS(tbl_data[12. Consultation Group of],$E$2,tbl_data[3:T1B],$A77,tbl_data[T1],$E$3)</f>
        <v>0</v>
      </c>
      <c r="AW77" s="198">
        <f>COUNTIFS(tbl_data[12. Consultation Group of],$E$2,tbl_data[1:T2B],$A77,tbl_data[T2],$E$3)</f>
        <v>0</v>
      </c>
      <c r="AX77" s="198">
        <f>COUNTIFS(tbl_data[12. Consultation Group of],$E$2,tbl_data[2:T2B],$A77,tbl_data[T2],$E$3)</f>
        <v>0</v>
      </c>
      <c r="AY77" s="198">
        <f>COUNTIFS(tbl_data[12. Consultation Group of],$E$2,tbl_data[3:T2B],$A77,tbl_data[T2],$E$3)</f>
        <v>0</v>
      </c>
      <c r="AZ77" s="198">
        <f>COUNTIFS(tbl_data[12. Consultation Group of],$E$2,tbl_data[1:T3B],$A77,tbl_data[T3],$E$3)</f>
        <v>0</v>
      </c>
      <c r="BA77" s="198">
        <f>COUNTIFS(tbl_data[12. Consultation Group of],$E$2,tbl_data[2:T3B],$A77,tbl_data[T3],$E$3)</f>
        <v>0</v>
      </c>
      <c r="BB77" s="198">
        <f>COUNTIFS(tbl_data[12. Consultation Group of],$E$2,tbl_data[3:T3B],$A77,tbl_data[T3],$E$3)</f>
        <v>0</v>
      </c>
      <c r="BC77" s="198">
        <f t="shared" si="22"/>
        <v>0</v>
      </c>
      <c r="BD77" s="199" t="str">
        <f t="shared" si="23"/>
        <v>Lack Of Risk Awareness And Planning (0)</v>
      </c>
      <c r="BE77" s="205">
        <f>COUNTIFS(tbl_data[1:T1B],$A77,tbl_data[T1],$F$3)</f>
        <v>1</v>
      </c>
      <c r="BF77" s="198">
        <f>COUNTIFS(tbl_data[2:T1B],$A77,tbl_data[T1],$F$3)</f>
        <v>1</v>
      </c>
      <c r="BG77" s="198">
        <f>COUNTIFS(tbl_data[3:T1B],$A77,tbl_data[T1],$F$3)</f>
        <v>0</v>
      </c>
      <c r="BH77" s="198">
        <f>COUNTIFS(tbl_data[1:T2B],$A77,tbl_data[T2],$F$3)</f>
        <v>0</v>
      </c>
      <c r="BI77" s="198">
        <f>COUNTIFS(tbl_data[2:T2B],$A77,tbl_data[T2],$F$3)</f>
        <v>0</v>
      </c>
      <c r="BJ77" s="198">
        <f>COUNTIFS(tbl_data[3:T2B],$A77,tbl_data[T2],$F$3)</f>
        <v>0</v>
      </c>
      <c r="BK77" s="198">
        <f>COUNTIFS(tbl_data[1:T3B],$A77,tbl_data[T3],$F$3)</f>
        <v>0</v>
      </c>
      <c r="BL77" s="198">
        <f>COUNTIFS(tbl_data[2:T3B],$A77,tbl_data[T3],$F$3)</f>
        <v>0</v>
      </c>
      <c r="BM77" s="198">
        <f>COUNTIFS(tbl_data[3:T3B],$A77,tbl_data[T3],$F$3)</f>
        <v>0</v>
      </c>
      <c r="BN77" s="198">
        <f t="shared" si="24"/>
        <v>2</v>
      </c>
      <c r="BO77" s="199" t="str">
        <f t="shared" si="25"/>
        <v>Lack Of Risk Awareness And Planning (2)</v>
      </c>
      <c r="BQ77" t="str">
        <f t="shared" si="26"/>
        <v>Lack Of Risk Awareness And Planning</v>
      </c>
      <c r="BR77">
        <f t="shared" si="27"/>
        <v>4</v>
      </c>
      <c r="BS77" t="s">
        <v>929</v>
      </c>
      <c r="BT77" t="s">
        <v>424</v>
      </c>
      <c r="BU77" s="39" t="s">
        <v>929</v>
      </c>
      <c r="BV77" t="s">
        <v>933</v>
      </c>
    </row>
    <row r="78" spans="1:74" x14ac:dyDescent="0.25">
      <c r="A78" s="215" t="s">
        <v>309</v>
      </c>
      <c r="B78" s="205">
        <f>COUNTIFS(tbl_data[12. Consultation Group of],$A$2,tbl_data[1:T1B],$A78,tbl_data[T1],$A$3)</f>
        <v>0</v>
      </c>
      <c r="C78" s="198">
        <f>COUNTIFS(tbl_data[12. Consultation Group of],$A$2,tbl_data[2:T1B],$A78,tbl_data[T1],$A$3)</f>
        <v>0</v>
      </c>
      <c r="D78" s="198">
        <f>COUNTIFS(tbl_data[12. Consultation Group of],$A$2,tbl_data[3:T1B],$A78,tbl_data[T1],$A$3)</f>
        <v>0</v>
      </c>
      <c r="E78" s="198">
        <f>COUNTIFS(tbl_data[12. Consultation Group of],$A$2,tbl_data[1:T2B],$A78,tbl_data[T2],$A$3)</f>
        <v>0</v>
      </c>
      <c r="F78" s="198">
        <f>COUNTIFS(tbl_data[12. Consultation Group of],$A$2,tbl_data[2:T2B],$A78,tbl_data[T2],$A$3)</f>
        <v>0</v>
      </c>
      <c r="G78" s="198">
        <f>COUNTIFS(tbl_data[12. Consultation Group of],$A$2,tbl_data[3:T2B],$A78,tbl_data[T2],$A$3)</f>
        <v>0</v>
      </c>
      <c r="H78" s="198">
        <f>COUNTIFS(tbl_data[12. Consultation Group of],$A$2,tbl_data[1:T3B],$A78,tbl_data[T3],$A$3)</f>
        <v>0</v>
      </c>
      <c r="I78" s="198">
        <f>COUNTIFS(tbl_data[12. Consultation Group of],$A$2,tbl_data[2:T3B],$A78,tbl_data[T3],$A$3)</f>
        <v>0</v>
      </c>
      <c r="J78" s="198">
        <f>COUNTIFS(tbl_data[12. Consultation Group of],$A$2,tbl_data[3:T3B],$A78,tbl_data[T3],$A$3)</f>
        <v>0</v>
      </c>
      <c r="K78" s="198">
        <f t="shared" si="14"/>
        <v>0</v>
      </c>
      <c r="L78" s="199" t="str">
        <f t="shared" si="15"/>
        <v>Lack Of Employment (0)</v>
      </c>
      <c r="M78" s="205">
        <f>COUNTIFS(tbl_data[12. Consultation Group of],$B$2,tbl_data[1:T1B],$A78,tbl_data[T1],$B$3)</f>
        <v>0</v>
      </c>
      <c r="N78" s="198">
        <f>COUNTIFS(tbl_data[12. Consultation Group of],$B$2,tbl_data[2:T1B],$A78,tbl_data[T1],$B$3)</f>
        <v>0</v>
      </c>
      <c r="O78" s="198">
        <f>COUNTIFS(tbl_data[12. Consultation Group of],$B$2,tbl_data[3:T1B],$A78,tbl_data[T1],$B$3)</f>
        <v>0</v>
      </c>
      <c r="P78" s="198">
        <f>COUNTIFS(tbl_data[12. Consultation Group of],$B$2,tbl_data[1:T2B],$A78,tbl_data[T2],$B$3)</f>
        <v>0</v>
      </c>
      <c r="Q78" s="198">
        <f>COUNTIFS(tbl_data[12. Consultation Group of],$B$2,tbl_data[2:T2B],$A78,tbl_data[T2],$B$3)</f>
        <v>0</v>
      </c>
      <c r="R78" s="198">
        <f>COUNTIFS(tbl_data[12. Consultation Group of],$B$2,tbl_data[3:T2B],$A78,tbl_data[T2],$B$3)</f>
        <v>0</v>
      </c>
      <c r="S78" s="198">
        <f>COUNTIFS(tbl_data[12. Consultation Group of],$B$2,tbl_data[1:T3B],$A78,tbl_data[T3],$B$3)</f>
        <v>0</v>
      </c>
      <c r="T78" s="198">
        <f>COUNTIFS(tbl_data[12. Consultation Group of],$B$2,tbl_data[2:T3B],$A78,tbl_data[T3],$B$3)</f>
        <v>0</v>
      </c>
      <c r="U78" s="198">
        <f>COUNTIFS(tbl_data[12. Consultation Group of],$B$2,tbl_data[3:T3B],$A78,tbl_data[T3],$B$3)</f>
        <v>0</v>
      </c>
      <c r="V78" s="198">
        <f t="shared" si="16"/>
        <v>0</v>
      </c>
      <c r="W78" s="199" t="str">
        <f t="shared" si="17"/>
        <v>Lack Of Employment (0)</v>
      </c>
      <c r="X78" s="205">
        <f>COUNTIFS(tbl_data[12. Consultation Group of],$C$2,tbl_data[1:T1B],$A78,tbl_data[T1],$C$3)</f>
        <v>1</v>
      </c>
      <c r="Y78" s="198">
        <f>COUNTIFS(tbl_data[12. Consultation Group of],$C$2,tbl_data[2:T1B],$A78,tbl_data[T1],$C$3)</f>
        <v>0</v>
      </c>
      <c r="Z78" s="198">
        <f>COUNTIFS(tbl_data[12. Consultation Group of],$C$2,tbl_data[3:T1B],$A78,tbl_data[T1],$C$3)</f>
        <v>0</v>
      </c>
      <c r="AA78" s="198">
        <f>COUNTIFS(tbl_data[12. Consultation Group of],$C$2,tbl_data[1:T2B],$A78,tbl_data[T2],$C$3)</f>
        <v>0</v>
      </c>
      <c r="AB78" s="198">
        <f>COUNTIFS(tbl_data[12. Consultation Group of],$C$2,tbl_data[2:T2B],$A78,tbl_data[T2],$C$3)</f>
        <v>0</v>
      </c>
      <c r="AC78" s="198">
        <f>COUNTIFS(tbl_data[12. Consultation Group of],$C$2,tbl_data[3:T2B],$A78,tbl_data[T2],$C$3)</f>
        <v>0</v>
      </c>
      <c r="AD78" s="198">
        <f>COUNTIFS(tbl_data[12. Consultation Group of],$C$2,tbl_data[1:T3B],$A78,tbl_data[T3],$C$3)</f>
        <v>0</v>
      </c>
      <c r="AE78" s="198">
        <f>COUNTIFS(tbl_data[12. Consultation Group of],$C$2,tbl_data[2:T3B],$A78,tbl_data[T3],$C$3)</f>
        <v>0</v>
      </c>
      <c r="AF78" s="198">
        <f>COUNTIFS(tbl_data[12. Consultation Group of],$C$2,tbl_data[3:T3B],$A78,tbl_data[T3],$C$3)</f>
        <v>0</v>
      </c>
      <c r="AG78" s="198">
        <f t="shared" si="18"/>
        <v>1</v>
      </c>
      <c r="AH78" s="199" t="str">
        <f t="shared" si="19"/>
        <v>Lack Of Employment (1)</v>
      </c>
      <c r="AI78" s="205">
        <f>COUNTIFS(tbl_data[12. Consultation Group of],$D$2,tbl_data[1:T1B],$A78,tbl_data[T1],$D$3)</f>
        <v>0</v>
      </c>
      <c r="AJ78" s="198">
        <f>COUNTIFS(tbl_data[12. Consultation Group of],$D$2,tbl_data[2:T1B],$A78,tbl_data[T1],$D$3)</f>
        <v>0</v>
      </c>
      <c r="AK78" s="198">
        <f>COUNTIFS(tbl_data[12. Consultation Group of],$D$2,tbl_data[3:T1B],$A78,tbl_data[T1],$D$3)</f>
        <v>0</v>
      </c>
      <c r="AL78" s="198">
        <f>COUNTIFS(tbl_data[12. Consultation Group of],$D$2,tbl_data[1:T2B],$A78,tbl_data[T2],$D$3)</f>
        <v>0</v>
      </c>
      <c r="AM78" s="198">
        <f>COUNTIFS(tbl_data[12. Consultation Group of],$D$2,tbl_data[2:T2B],$A78,tbl_data[T2],$D$3)</f>
        <v>0</v>
      </c>
      <c r="AN78" s="198">
        <f>COUNTIFS(tbl_data[12. Consultation Group of],$D$2,tbl_data[3:T2B],$A78,tbl_data[T2],$D$3)</f>
        <v>0</v>
      </c>
      <c r="AO78" s="198">
        <f>COUNTIFS(tbl_data[12. Consultation Group of],$D$2,tbl_data[1:T3B],$A78,tbl_data[T3],$D$3)</f>
        <v>0</v>
      </c>
      <c r="AP78" s="198">
        <f>COUNTIFS(tbl_data[12. Consultation Group of],$D$2,tbl_data[2:T3B],$A78,tbl_data[T3],$D$3)</f>
        <v>0</v>
      </c>
      <c r="AQ78" s="198">
        <f>COUNTIFS(tbl_data[12. Consultation Group of],$D$2,tbl_data[3:T3B],$A78,tbl_data[T3],$D$3)</f>
        <v>0</v>
      </c>
      <c r="AR78" s="198">
        <f t="shared" si="20"/>
        <v>0</v>
      </c>
      <c r="AS78" s="199" t="str">
        <f t="shared" si="21"/>
        <v>Lack Of Employment (0)</v>
      </c>
      <c r="AT78" s="205">
        <f>COUNTIFS(tbl_data[12. Consultation Group of],$E$2,tbl_data[1:T1B],$A78,tbl_data[T1],$E$3)</f>
        <v>0</v>
      </c>
      <c r="AU78" s="198">
        <f>COUNTIFS(tbl_data[12. Consultation Group of],$E$2,tbl_data[2:T1B],$A78,tbl_data[T1],$E$3)</f>
        <v>0</v>
      </c>
      <c r="AV78" s="198">
        <f>COUNTIFS(tbl_data[12. Consultation Group of],$E$2,tbl_data[3:T1B],$A78,tbl_data[T1],$E$3)</f>
        <v>0</v>
      </c>
      <c r="AW78" s="198">
        <f>COUNTIFS(tbl_data[12. Consultation Group of],$E$2,tbl_data[1:T2B],$A78,tbl_data[T2],$E$3)</f>
        <v>0</v>
      </c>
      <c r="AX78" s="198">
        <f>COUNTIFS(tbl_data[12. Consultation Group of],$E$2,tbl_data[2:T2B],$A78,tbl_data[T2],$E$3)</f>
        <v>0</v>
      </c>
      <c r="AY78" s="198">
        <f>COUNTIFS(tbl_data[12. Consultation Group of],$E$2,tbl_data[3:T2B],$A78,tbl_data[T2],$E$3)</f>
        <v>0</v>
      </c>
      <c r="AZ78" s="198">
        <f>COUNTIFS(tbl_data[12. Consultation Group of],$E$2,tbl_data[1:T3B],$A78,tbl_data[T3],$E$3)</f>
        <v>0</v>
      </c>
      <c r="BA78" s="198">
        <f>COUNTIFS(tbl_data[12. Consultation Group of],$E$2,tbl_data[2:T3B],$A78,tbl_data[T3],$E$3)</f>
        <v>0</v>
      </c>
      <c r="BB78" s="198">
        <f>COUNTIFS(tbl_data[12. Consultation Group of],$E$2,tbl_data[3:T3B],$A78,tbl_data[T3],$E$3)</f>
        <v>0</v>
      </c>
      <c r="BC78" s="198">
        <f t="shared" si="22"/>
        <v>0</v>
      </c>
      <c r="BD78" s="199" t="str">
        <f t="shared" si="23"/>
        <v>Lack Of Employment (0)</v>
      </c>
      <c r="BE78" s="205">
        <f>COUNTIFS(tbl_data[1:T1B],$A78,tbl_data[T1],$F$3)</f>
        <v>1</v>
      </c>
      <c r="BF78" s="198">
        <f>COUNTIFS(tbl_data[2:T1B],$A78,tbl_data[T1],$F$3)</f>
        <v>0</v>
      </c>
      <c r="BG78" s="198">
        <f>COUNTIFS(tbl_data[3:T1B],$A78,tbl_data[T1],$F$3)</f>
        <v>0</v>
      </c>
      <c r="BH78" s="198">
        <f>COUNTIFS(tbl_data[1:T2B],$A78,tbl_data[T2],$F$3)</f>
        <v>0</v>
      </c>
      <c r="BI78" s="198">
        <f>COUNTIFS(tbl_data[2:T2B],$A78,tbl_data[T2],$F$3)</f>
        <v>0</v>
      </c>
      <c r="BJ78" s="198">
        <f>COUNTIFS(tbl_data[3:T2B],$A78,tbl_data[T2],$F$3)</f>
        <v>0</v>
      </c>
      <c r="BK78" s="198">
        <f>COUNTIFS(tbl_data[1:T3B],$A78,tbl_data[T3],$F$3)</f>
        <v>0</v>
      </c>
      <c r="BL78" s="198">
        <f>COUNTIFS(tbl_data[2:T3B],$A78,tbl_data[T3],$F$3)</f>
        <v>0</v>
      </c>
      <c r="BM78" s="198">
        <f>COUNTIFS(tbl_data[3:T3B],$A78,tbl_data[T3],$F$3)</f>
        <v>0</v>
      </c>
      <c r="BN78" s="198">
        <f t="shared" si="24"/>
        <v>1</v>
      </c>
      <c r="BO78" s="199" t="str">
        <f t="shared" si="25"/>
        <v>Lack Of Employment (1)</v>
      </c>
      <c r="BQ78" t="str">
        <f t="shared" si="26"/>
        <v>Lack Of Employment</v>
      </c>
      <c r="BR78">
        <f t="shared" si="27"/>
        <v>2</v>
      </c>
      <c r="BS78" t="s">
        <v>943</v>
      </c>
      <c r="BT78" t="s">
        <v>926</v>
      </c>
      <c r="BU78" s="277" t="s">
        <v>934</v>
      </c>
      <c r="BV78" s="153" t="s">
        <v>935</v>
      </c>
    </row>
    <row r="79" spans="1:74" x14ac:dyDescent="0.25">
      <c r="A79" s="215" t="s">
        <v>430</v>
      </c>
      <c r="B79" s="205">
        <f>COUNTIFS(tbl_data[12. Consultation Group of],$A$2,tbl_data[1:T1B],$A79,tbl_data[T1],$A$3)</f>
        <v>0</v>
      </c>
      <c r="C79" s="198">
        <f>COUNTIFS(tbl_data[12. Consultation Group of],$A$2,tbl_data[2:T1B],$A79,tbl_data[T1],$A$3)</f>
        <v>0</v>
      </c>
      <c r="D79" s="198">
        <f>COUNTIFS(tbl_data[12. Consultation Group of],$A$2,tbl_data[3:T1B],$A79,tbl_data[T1],$A$3)</f>
        <v>1</v>
      </c>
      <c r="E79" s="198">
        <f>COUNTIFS(tbl_data[12. Consultation Group of],$A$2,tbl_data[1:T2B],$A79,tbl_data[T2],$A$3)</f>
        <v>0</v>
      </c>
      <c r="F79" s="198">
        <f>COUNTIFS(tbl_data[12. Consultation Group of],$A$2,tbl_data[2:T2B],$A79,tbl_data[T2],$A$3)</f>
        <v>0</v>
      </c>
      <c r="G79" s="198">
        <f>COUNTIFS(tbl_data[12. Consultation Group of],$A$2,tbl_data[3:T2B],$A79,tbl_data[T2],$A$3)</f>
        <v>0</v>
      </c>
      <c r="H79" s="198">
        <f>COUNTIFS(tbl_data[12. Consultation Group of],$A$2,tbl_data[1:T3B],$A79,tbl_data[T3],$A$3)</f>
        <v>0</v>
      </c>
      <c r="I79" s="198">
        <f>COUNTIFS(tbl_data[12. Consultation Group of],$A$2,tbl_data[2:T3B],$A79,tbl_data[T3],$A$3)</f>
        <v>0</v>
      </c>
      <c r="J79" s="198">
        <f>COUNTIFS(tbl_data[12. Consultation Group of],$A$2,tbl_data[3:T3B],$A79,tbl_data[T3],$A$3)</f>
        <v>0</v>
      </c>
      <c r="K79" s="198">
        <f t="shared" si="14"/>
        <v>1</v>
      </c>
      <c r="L79" s="199" t="str">
        <f t="shared" si="15"/>
        <v>Government Inefficiency (1)</v>
      </c>
      <c r="M79" s="205">
        <f>COUNTIFS(tbl_data[12. Consultation Group of],$B$2,tbl_data[1:T1B],$A79,tbl_data[T1],$B$3)</f>
        <v>0</v>
      </c>
      <c r="N79" s="198">
        <f>COUNTIFS(tbl_data[12. Consultation Group of],$B$2,tbl_data[2:T1B],$A79,tbl_data[T1],$B$3)</f>
        <v>0</v>
      </c>
      <c r="O79" s="198">
        <f>COUNTIFS(tbl_data[12. Consultation Group of],$B$2,tbl_data[3:T1B],$A79,tbl_data[T1],$B$3)</f>
        <v>0</v>
      </c>
      <c r="P79" s="198">
        <f>COUNTIFS(tbl_data[12. Consultation Group of],$B$2,tbl_data[1:T2B],$A79,tbl_data[T2],$B$3)</f>
        <v>0</v>
      </c>
      <c r="Q79" s="198">
        <f>COUNTIFS(tbl_data[12. Consultation Group of],$B$2,tbl_data[2:T2B],$A79,tbl_data[T2],$B$3)</f>
        <v>0</v>
      </c>
      <c r="R79" s="198">
        <f>COUNTIFS(tbl_data[12. Consultation Group of],$B$2,tbl_data[3:T2B],$A79,tbl_data[T2],$B$3)</f>
        <v>0</v>
      </c>
      <c r="S79" s="198">
        <f>COUNTIFS(tbl_data[12. Consultation Group of],$B$2,tbl_data[1:T3B],$A79,tbl_data[T3],$B$3)</f>
        <v>0</v>
      </c>
      <c r="T79" s="198">
        <f>COUNTIFS(tbl_data[12. Consultation Group of],$B$2,tbl_data[2:T3B],$A79,tbl_data[T3],$B$3)</f>
        <v>0</v>
      </c>
      <c r="U79" s="198">
        <f>COUNTIFS(tbl_data[12. Consultation Group of],$B$2,tbl_data[3:T3B],$A79,tbl_data[T3],$B$3)</f>
        <v>0</v>
      </c>
      <c r="V79" s="198">
        <f t="shared" si="16"/>
        <v>0</v>
      </c>
      <c r="W79" s="199" t="str">
        <f t="shared" si="17"/>
        <v>Government Inefficiency (0)</v>
      </c>
      <c r="X79" s="205">
        <f>COUNTIFS(tbl_data[12. Consultation Group of],$C$2,tbl_data[1:T1B],$A79,tbl_data[T1],$C$3)</f>
        <v>0</v>
      </c>
      <c r="Y79" s="198">
        <f>COUNTIFS(tbl_data[12. Consultation Group of],$C$2,tbl_data[2:T1B],$A79,tbl_data[T1],$C$3)</f>
        <v>0</v>
      </c>
      <c r="Z79" s="198">
        <f>COUNTIFS(tbl_data[12. Consultation Group of],$C$2,tbl_data[3:T1B],$A79,tbl_data[T1],$C$3)</f>
        <v>0</v>
      </c>
      <c r="AA79" s="198">
        <f>COUNTIFS(tbl_data[12. Consultation Group of],$C$2,tbl_data[1:T2B],$A79,tbl_data[T2],$C$3)</f>
        <v>0</v>
      </c>
      <c r="AB79" s="198">
        <f>COUNTIFS(tbl_data[12. Consultation Group of],$C$2,tbl_data[2:T2B],$A79,tbl_data[T2],$C$3)</f>
        <v>0</v>
      </c>
      <c r="AC79" s="198">
        <f>COUNTIFS(tbl_data[12. Consultation Group of],$C$2,tbl_data[3:T2B],$A79,tbl_data[T2],$C$3)</f>
        <v>0</v>
      </c>
      <c r="AD79" s="198">
        <f>COUNTIFS(tbl_data[12. Consultation Group of],$C$2,tbl_data[1:T3B],$A79,tbl_data[T3],$C$3)</f>
        <v>0</v>
      </c>
      <c r="AE79" s="198">
        <f>COUNTIFS(tbl_data[12. Consultation Group of],$C$2,tbl_data[2:T3B],$A79,tbl_data[T3],$C$3)</f>
        <v>0</v>
      </c>
      <c r="AF79" s="198">
        <f>COUNTIFS(tbl_data[12. Consultation Group of],$C$2,tbl_data[3:T3B],$A79,tbl_data[T3],$C$3)</f>
        <v>0</v>
      </c>
      <c r="AG79" s="198">
        <f t="shared" si="18"/>
        <v>0</v>
      </c>
      <c r="AH79" s="199" t="str">
        <f t="shared" si="19"/>
        <v>Government Inefficiency (0)</v>
      </c>
      <c r="AI79" s="205">
        <f>COUNTIFS(tbl_data[12. Consultation Group of],$D$2,tbl_data[1:T1B],$A79,tbl_data[T1],$D$3)</f>
        <v>0</v>
      </c>
      <c r="AJ79" s="198">
        <f>COUNTIFS(tbl_data[12. Consultation Group of],$D$2,tbl_data[2:T1B],$A79,tbl_data[T1],$D$3)</f>
        <v>0</v>
      </c>
      <c r="AK79" s="198">
        <f>COUNTIFS(tbl_data[12. Consultation Group of],$D$2,tbl_data[3:T1B],$A79,tbl_data[T1],$D$3)</f>
        <v>0</v>
      </c>
      <c r="AL79" s="198">
        <f>COUNTIFS(tbl_data[12. Consultation Group of],$D$2,tbl_data[1:T2B],$A79,tbl_data[T2],$D$3)</f>
        <v>0</v>
      </c>
      <c r="AM79" s="198">
        <f>COUNTIFS(tbl_data[12. Consultation Group of],$D$2,tbl_data[2:T2B],$A79,tbl_data[T2],$D$3)</f>
        <v>0</v>
      </c>
      <c r="AN79" s="198">
        <f>COUNTIFS(tbl_data[12. Consultation Group of],$D$2,tbl_data[3:T2B],$A79,tbl_data[T2],$D$3)</f>
        <v>0</v>
      </c>
      <c r="AO79" s="198">
        <f>COUNTIFS(tbl_data[12. Consultation Group of],$D$2,tbl_data[1:T3B],$A79,tbl_data[T3],$D$3)</f>
        <v>0</v>
      </c>
      <c r="AP79" s="198">
        <f>COUNTIFS(tbl_data[12. Consultation Group of],$D$2,tbl_data[2:T3B],$A79,tbl_data[T3],$D$3)</f>
        <v>0</v>
      </c>
      <c r="AQ79" s="198">
        <f>COUNTIFS(tbl_data[12. Consultation Group of],$D$2,tbl_data[3:T3B],$A79,tbl_data[T3],$D$3)</f>
        <v>0</v>
      </c>
      <c r="AR79" s="198">
        <f t="shared" si="20"/>
        <v>0</v>
      </c>
      <c r="AS79" s="199" t="str">
        <f t="shared" si="21"/>
        <v>Government Inefficiency (0)</v>
      </c>
      <c r="AT79" s="205">
        <f>COUNTIFS(tbl_data[12. Consultation Group of],$E$2,tbl_data[1:T1B],$A79,tbl_data[T1],$E$3)</f>
        <v>0</v>
      </c>
      <c r="AU79" s="198">
        <f>COUNTIFS(tbl_data[12. Consultation Group of],$E$2,tbl_data[2:T1B],$A79,tbl_data[T1],$E$3)</f>
        <v>0</v>
      </c>
      <c r="AV79" s="198">
        <f>COUNTIFS(tbl_data[12. Consultation Group of],$E$2,tbl_data[3:T1B],$A79,tbl_data[T1],$E$3)</f>
        <v>0</v>
      </c>
      <c r="AW79" s="198">
        <f>COUNTIFS(tbl_data[12. Consultation Group of],$E$2,tbl_data[1:T2B],$A79,tbl_data[T2],$E$3)</f>
        <v>0</v>
      </c>
      <c r="AX79" s="198">
        <f>COUNTIFS(tbl_data[12. Consultation Group of],$E$2,tbl_data[2:T2B],$A79,tbl_data[T2],$E$3)</f>
        <v>0</v>
      </c>
      <c r="AY79" s="198">
        <f>COUNTIFS(tbl_data[12. Consultation Group of],$E$2,tbl_data[3:T2B],$A79,tbl_data[T2],$E$3)</f>
        <v>0</v>
      </c>
      <c r="AZ79" s="198">
        <f>COUNTIFS(tbl_data[12. Consultation Group of],$E$2,tbl_data[1:T3B],$A79,tbl_data[T3],$E$3)</f>
        <v>0</v>
      </c>
      <c r="BA79" s="198">
        <f>COUNTIFS(tbl_data[12. Consultation Group of],$E$2,tbl_data[2:T3B],$A79,tbl_data[T3],$E$3)</f>
        <v>0</v>
      </c>
      <c r="BB79" s="198">
        <f>COUNTIFS(tbl_data[12. Consultation Group of],$E$2,tbl_data[3:T3B],$A79,tbl_data[T3],$E$3)</f>
        <v>0</v>
      </c>
      <c r="BC79" s="198">
        <f t="shared" si="22"/>
        <v>0</v>
      </c>
      <c r="BD79" s="199" t="str">
        <f t="shared" si="23"/>
        <v>Government Inefficiency (0)</v>
      </c>
      <c r="BE79" s="205">
        <f>COUNTIFS(tbl_data[1:T1B],$A79,tbl_data[T1],$F$3)</f>
        <v>0</v>
      </c>
      <c r="BF79" s="198">
        <f>COUNTIFS(tbl_data[2:T1B],$A79,tbl_data[T1],$F$3)</f>
        <v>0</v>
      </c>
      <c r="BG79" s="198">
        <f>COUNTIFS(tbl_data[3:T1B],$A79,tbl_data[T1],$F$3)</f>
        <v>0</v>
      </c>
      <c r="BH79" s="198">
        <f>COUNTIFS(tbl_data[1:T2B],$A79,tbl_data[T2],$F$3)</f>
        <v>0</v>
      </c>
      <c r="BI79" s="198">
        <f>COUNTIFS(tbl_data[2:T2B],$A79,tbl_data[T2],$F$3)</f>
        <v>0</v>
      </c>
      <c r="BJ79" s="198">
        <f>COUNTIFS(tbl_data[3:T2B],$A79,tbl_data[T2],$F$3)</f>
        <v>0</v>
      </c>
      <c r="BK79" s="198">
        <f>COUNTIFS(tbl_data[1:T3B],$A79,tbl_data[T3],$F$3)</f>
        <v>0</v>
      </c>
      <c r="BL79" s="198">
        <f>COUNTIFS(tbl_data[2:T3B],$A79,tbl_data[T3],$F$3)</f>
        <v>0</v>
      </c>
      <c r="BM79" s="198">
        <f>COUNTIFS(tbl_data[3:T3B],$A79,tbl_data[T3],$F$3)</f>
        <v>0</v>
      </c>
      <c r="BN79" s="198">
        <f t="shared" si="24"/>
        <v>0</v>
      </c>
      <c r="BO79" s="199" t="str">
        <f t="shared" si="25"/>
        <v>Government Inefficiency (0)</v>
      </c>
      <c r="BQ79" t="str">
        <f t="shared" si="26"/>
        <v>Government Inefficiency</v>
      </c>
      <c r="BR79">
        <f t="shared" si="27"/>
        <v>1</v>
      </c>
      <c r="BS79" t="s">
        <v>942</v>
      </c>
      <c r="BT79" t="s">
        <v>925</v>
      </c>
      <c r="BU79" s="276" t="s">
        <v>925</v>
      </c>
      <c r="BV79" s="153" t="s">
        <v>932</v>
      </c>
    </row>
    <row r="80" spans="1:74" x14ac:dyDescent="0.25">
      <c r="A80" s="215" t="s">
        <v>322</v>
      </c>
      <c r="B80" s="205">
        <f>COUNTIFS(tbl_data[12. Consultation Group of],$A$2,tbl_data[1:T1B],$A80,tbl_data[T1],$A$3)</f>
        <v>0</v>
      </c>
      <c r="C80" s="198">
        <f>COUNTIFS(tbl_data[12. Consultation Group of],$A$2,tbl_data[2:T1B],$A80,tbl_data[T1],$A$3)</f>
        <v>0</v>
      </c>
      <c r="D80" s="198">
        <f>COUNTIFS(tbl_data[12. Consultation Group of],$A$2,tbl_data[3:T1B],$A80,tbl_data[T1],$A$3)</f>
        <v>0</v>
      </c>
      <c r="E80" s="198">
        <f>COUNTIFS(tbl_data[12. Consultation Group of],$A$2,tbl_data[1:T2B],$A80,tbl_data[T2],$A$3)</f>
        <v>0</v>
      </c>
      <c r="F80" s="198">
        <f>COUNTIFS(tbl_data[12. Consultation Group of],$A$2,tbl_data[2:T2B],$A80,tbl_data[T2],$A$3)</f>
        <v>0</v>
      </c>
      <c r="G80" s="198">
        <f>COUNTIFS(tbl_data[12. Consultation Group of],$A$2,tbl_data[3:T2B],$A80,tbl_data[T2],$A$3)</f>
        <v>0</v>
      </c>
      <c r="H80" s="198">
        <f>COUNTIFS(tbl_data[12. Consultation Group of],$A$2,tbl_data[1:T3B],$A80,tbl_data[T3],$A$3)</f>
        <v>0</v>
      </c>
      <c r="I80" s="198">
        <f>COUNTIFS(tbl_data[12. Consultation Group of],$A$2,tbl_data[2:T3B],$A80,tbl_data[T3],$A$3)</f>
        <v>0</v>
      </c>
      <c r="J80" s="198">
        <f>COUNTIFS(tbl_data[12. Consultation Group of],$A$2,tbl_data[3:T3B],$A80,tbl_data[T3],$A$3)</f>
        <v>0</v>
      </c>
      <c r="K80" s="198">
        <f t="shared" si="14"/>
        <v>0</v>
      </c>
      <c r="L80" s="199" t="str">
        <f t="shared" si="15"/>
        <v>Lack Of Opportunity/Time (0)</v>
      </c>
      <c r="M80" s="205">
        <f>COUNTIFS(tbl_data[12. Consultation Group of],$B$2,tbl_data[1:T1B],$A80,tbl_data[T1],$B$3)</f>
        <v>0</v>
      </c>
      <c r="N80" s="198">
        <f>COUNTIFS(tbl_data[12. Consultation Group of],$B$2,tbl_data[2:T1B],$A80,tbl_data[T1],$B$3)</f>
        <v>0</v>
      </c>
      <c r="O80" s="198">
        <f>COUNTIFS(tbl_data[12. Consultation Group of],$B$2,tbl_data[3:T1B],$A80,tbl_data[T1],$B$3)</f>
        <v>0</v>
      </c>
      <c r="P80" s="198">
        <f>COUNTIFS(tbl_data[12. Consultation Group of],$B$2,tbl_data[1:T2B],$A80,tbl_data[T2],$B$3)</f>
        <v>0</v>
      </c>
      <c r="Q80" s="198">
        <f>COUNTIFS(tbl_data[12. Consultation Group of],$B$2,tbl_data[2:T2B],$A80,tbl_data[T2],$B$3)</f>
        <v>0</v>
      </c>
      <c r="R80" s="198">
        <f>COUNTIFS(tbl_data[12. Consultation Group of],$B$2,tbl_data[3:T2B],$A80,tbl_data[T2],$B$3)</f>
        <v>0</v>
      </c>
      <c r="S80" s="198">
        <f>COUNTIFS(tbl_data[12. Consultation Group of],$B$2,tbl_data[1:T3B],$A80,tbl_data[T3],$B$3)</f>
        <v>0</v>
      </c>
      <c r="T80" s="198">
        <f>COUNTIFS(tbl_data[12. Consultation Group of],$B$2,tbl_data[2:T3B],$A80,tbl_data[T3],$B$3)</f>
        <v>0</v>
      </c>
      <c r="U80" s="198">
        <f>COUNTIFS(tbl_data[12. Consultation Group of],$B$2,tbl_data[3:T3B],$A80,tbl_data[T3],$B$3)</f>
        <v>0</v>
      </c>
      <c r="V80" s="198">
        <f t="shared" si="16"/>
        <v>0</v>
      </c>
      <c r="W80" s="199" t="str">
        <f t="shared" si="17"/>
        <v>Lack Of Opportunity/Time (0)</v>
      </c>
      <c r="X80" s="205">
        <f>COUNTIFS(tbl_data[12. Consultation Group of],$C$2,tbl_data[1:T1B],$A80,tbl_data[T1],$C$3)</f>
        <v>0</v>
      </c>
      <c r="Y80" s="198">
        <f>COUNTIFS(tbl_data[12. Consultation Group of],$C$2,tbl_data[2:T1B],$A80,tbl_data[T1],$C$3)</f>
        <v>0</v>
      </c>
      <c r="Z80" s="198">
        <f>COUNTIFS(tbl_data[12. Consultation Group of],$C$2,tbl_data[3:T1B],$A80,tbl_data[T1],$C$3)</f>
        <v>0</v>
      </c>
      <c r="AA80" s="198">
        <f>COUNTIFS(tbl_data[12. Consultation Group of],$C$2,tbl_data[1:T2B],$A80,tbl_data[T2],$C$3)</f>
        <v>0</v>
      </c>
      <c r="AB80" s="198">
        <f>COUNTIFS(tbl_data[12. Consultation Group of],$C$2,tbl_data[2:T2B],$A80,tbl_data[T2],$C$3)</f>
        <v>0</v>
      </c>
      <c r="AC80" s="198">
        <f>COUNTIFS(tbl_data[12. Consultation Group of],$C$2,tbl_data[3:T2B],$A80,tbl_data[T2],$C$3)</f>
        <v>0</v>
      </c>
      <c r="AD80" s="198">
        <f>COUNTIFS(tbl_data[12. Consultation Group of],$C$2,tbl_data[1:T3B],$A80,tbl_data[T3],$C$3)</f>
        <v>0</v>
      </c>
      <c r="AE80" s="198">
        <f>COUNTIFS(tbl_data[12. Consultation Group of],$C$2,tbl_data[2:T3B],$A80,tbl_data[T3],$C$3)</f>
        <v>0</v>
      </c>
      <c r="AF80" s="198">
        <f>COUNTIFS(tbl_data[12. Consultation Group of],$C$2,tbl_data[3:T3B],$A80,tbl_data[T3],$C$3)</f>
        <v>0</v>
      </c>
      <c r="AG80" s="198">
        <f t="shared" si="18"/>
        <v>0</v>
      </c>
      <c r="AH80" s="199" t="str">
        <f t="shared" si="19"/>
        <v>Lack Of Opportunity/Time (0)</v>
      </c>
      <c r="AI80" s="205">
        <f>COUNTIFS(tbl_data[12. Consultation Group of],$D$2,tbl_data[1:T1B],$A80,tbl_data[T1],$D$3)</f>
        <v>0</v>
      </c>
      <c r="AJ80" s="198">
        <f>COUNTIFS(tbl_data[12. Consultation Group of],$D$2,tbl_data[2:T1B],$A80,tbl_data[T1],$D$3)</f>
        <v>0</v>
      </c>
      <c r="AK80" s="198">
        <f>COUNTIFS(tbl_data[12. Consultation Group of],$D$2,tbl_data[3:T1B],$A80,tbl_data[T1],$D$3)</f>
        <v>0</v>
      </c>
      <c r="AL80" s="198">
        <f>COUNTIFS(tbl_data[12. Consultation Group of],$D$2,tbl_data[1:T2B],$A80,tbl_data[T2],$D$3)</f>
        <v>0</v>
      </c>
      <c r="AM80" s="198">
        <f>COUNTIFS(tbl_data[12. Consultation Group of],$D$2,tbl_data[2:T2B],$A80,tbl_data[T2],$D$3)</f>
        <v>0</v>
      </c>
      <c r="AN80" s="198">
        <f>COUNTIFS(tbl_data[12. Consultation Group of],$D$2,tbl_data[3:T2B],$A80,tbl_data[T2],$D$3)</f>
        <v>0</v>
      </c>
      <c r="AO80" s="198">
        <f>COUNTIFS(tbl_data[12. Consultation Group of],$D$2,tbl_data[1:T3B],$A80,tbl_data[T3],$D$3)</f>
        <v>0</v>
      </c>
      <c r="AP80" s="198">
        <f>COUNTIFS(tbl_data[12. Consultation Group of],$D$2,tbl_data[2:T3B],$A80,tbl_data[T3],$D$3)</f>
        <v>0</v>
      </c>
      <c r="AQ80" s="198">
        <f>COUNTIFS(tbl_data[12. Consultation Group of],$D$2,tbl_data[3:T3B],$A80,tbl_data[T3],$D$3)</f>
        <v>0</v>
      </c>
      <c r="AR80" s="198">
        <f t="shared" si="20"/>
        <v>0</v>
      </c>
      <c r="AS80" s="199" t="str">
        <f t="shared" si="21"/>
        <v>Lack Of Opportunity/Time (0)</v>
      </c>
      <c r="AT80" s="205">
        <f>COUNTIFS(tbl_data[12. Consultation Group of],$E$2,tbl_data[1:T1B],$A80,tbl_data[T1],$E$3)</f>
        <v>0</v>
      </c>
      <c r="AU80" s="198">
        <f>COUNTIFS(tbl_data[12. Consultation Group of],$E$2,tbl_data[2:T1B],$A80,tbl_data[T1],$E$3)</f>
        <v>0</v>
      </c>
      <c r="AV80" s="198">
        <f>COUNTIFS(tbl_data[12. Consultation Group of],$E$2,tbl_data[3:T1B],$A80,tbl_data[T1],$E$3)</f>
        <v>0</v>
      </c>
      <c r="AW80" s="198">
        <f>COUNTIFS(tbl_data[12. Consultation Group of],$E$2,tbl_data[1:T2B],$A80,tbl_data[T2],$E$3)</f>
        <v>0</v>
      </c>
      <c r="AX80" s="198">
        <f>COUNTIFS(tbl_data[12. Consultation Group of],$E$2,tbl_data[2:T2B],$A80,tbl_data[T2],$E$3)</f>
        <v>0</v>
      </c>
      <c r="AY80" s="198">
        <f>COUNTIFS(tbl_data[12. Consultation Group of],$E$2,tbl_data[3:T2B],$A80,tbl_data[T2],$E$3)</f>
        <v>0</v>
      </c>
      <c r="AZ80" s="198">
        <f>COUNTIFS(tbl_data[12. Consultation Group of],$E$2,tbl_data[1:T3B],$A80,tbl_data[T3],$E$3)</f>
        <v>0</v>
      </c>
      <c r="BA80" s="198">
        <f>COUNTIFS(tbl_data[12. Consultation Group of],$E$2,tbl_data[2:T3B],$A80,tbl_data[T3],$E$3)</f>
        <v>0</v>
      </c>
      <c r="BB80" s="198">
        <f>COUNTIFS(tbl_data[12. Consultation Group of],$E$2,tbl_data[3:T3B],$A80,tbl_data[T3],$E$3)</f>
        <v>0</v>
      </c>
      <c r="BC80" s="198">
        <f t="shared" si="22"/>
        <v>0</v>
      </c>
      <c r="BD80" s="199" t="str">
        <f t="shared" si="23"/>
        <v>Lack Of Opportunity/Time (0)</v>
      </c>
      <c r="BE80" s="205">
        <f>COUNTIFS(tbl_data[1:T1B],$A80,tbl_data[T1],$F$3)</f>
        <v>1</v>
      </c>
      <c r="BF80" s="198">
        <f>COUNTIFS(tbl_data[2:T1B],$A80,tbl_data[T1],$F$3)</f>
        <v>0</v>
      </c>
      <c r="BG80" s="198">
        <f>COUNTIFS(tbl_data[3:T1B],$A80,tbl_data[T1],$F$3)</f>
        <v>0</v>
      </c>
      <c r="BH80" s="198">
        <f>COUNTIFS(tbl_data[1:T2B],$A80,tbl_data[T2],$F$3)</f>
        <v>0</v>
      </c>
      <c r="BI80" s="198">
        <f>COUNTIFS(tbl_data[2:T2B],$A80,tbl_data[T2],$F$3)</f>
        <v>0</v>
      </c>
      <c r="BJ80" s="198">
        <f>COUNTIFS(tbl_data[3:T2B],$A80,tbl_data[T2],$F$3)</f>
        <v>0</v>
      </c>
      <c r="BK80" s="198">
        <f>COUNTIFS(tbl_data[1:T3B],$A80,tbl_data[T3],$F$3)</f>
        <v>0</v>
      </c>
      <c r="BL80" s="198">
        <f>COUNTIFS(tbl_data[2:T3B],$A80,tbl_data[T3],$F$3)</f>
        <v>0</v>
      </c>
      <c r="BM80" s="198">
        <f>COUNTIFS(tbl_data[3:T3B],$A80,tbl_data[T3],$F$3)</f>
        <v>0</v>
      </c>
      <c r="BN80" s="198">
        <f t="shared" si="24"/>
        <v>1</v>
      </c>
      <c r="BO80" s="199" t="str">
        <f t="shared" si="25"/>
        <v>Lack Of Opportunity/Time (1)</v>
      </c>
      <c r="BQ80" t="str">
        <f t="shared" si="26"/>
        <v>Lack Of Opportunity/Time</v>
      </c>
      <c r="BR80">
        <f t="shared" si="27"/>
        <v>1</v>
      </c>
      <c r="BS80" t="s">
        <v>943</v>
      </c>
      <c r="BT80" t="s">
        <v>926</v>
      </c>
      <c r="BU80" s="277" t="s">
        <v>936</v>
      </c>
      <c r="BV80" s="153" t="s">
        <v>935</v>
      </c>
    </row>
    <row r="81" spans="1:74" x14ac:dyDescent="0.25">
      <c r="A81" s="215" t="s">
        <v>353</v>
      </c>
      <c r="B81" s="205">
        <f>COUNTIFS(tbl_data[12. Consultation Group of],$A$2,tbl_data[1:T1B],$A81,tbl_data[T1],$A$3)</f>
        <v>0</v>
      </c>
      <c r="C81" s="198">
        <f>COUNTIFS(tbl_data[12. Consultation Group of],$A$2,tbl_data[2:T1B],$A81,tbl_data[T1],$A$3)</f>
        <v>0</v>
      </c>
      <c r="D81" s="198">
        <f>COUNTIFS(tbl_data[12. Consultation Group of],$A$2,tbl_data[3:T1B],$A81,tbl_data[T1],$A$3)</f>
        <v>1</v>
      </c>
      <c r="E81" s="198">
        <f>COUNTIFS(tbl_data[12. Consultation Group of],$A$2,tbl_data[1:T2B],$A81,tbl_data[T2],$A$3)</f>
        <v>0</v>
      </c>
      <c r="F81" s="198">
        <f>COUNTIFS(tbl_data[12. Consultation Group of],$A$2,tbl_data[2:T2B],$A81,tbl_data[T2],$A$3)</f>
        <v>0</v>
      </c>
      <c r="G81" s="198">
        <f>COUNTIFS(tbl_data[12. Consultation Group of],$A$2,tbl_data[3:T2B],$A81,tbl_data[T2],$A$3)</f>
        <v>0</v>
      </c>
      <c r="H81" s="198">
        <f>COUNTIFS(tbl_data[12. Consultation Group of],$A$2,tbl_data[1:T3B],$A81,tbl_data[T3],$A$3)</f>
        <v>0</v>
      </c>
      <c r="I81" s="198">
        <f>COUNTIFS(tbl_data[12. Consultation Group of],$A$2,tbl_data[2:T3B],$A81,tbl_data[T3],$A$3)</f>
        <v>0</v>
      </c>
      <c r="J81" s="198">
        <f>COUNTIFS(tbl_data[12. Consultation Group of],$A$2,tbl_data[3:T3B],$A81,tbl_data[T3],$A$3)</f>
        <v>0</v>
      </c>
      <c r="K81" s="198">
        <f t="shared" si="14"/>
        <v>1</v>
      </c>
      <c r="L81" s="199" t="str">
        <f t="shared" si="15"/>
        <v>Water Pollution (1)</v>
      </c>
      <c r="M81" s="205">
        <f>COUNTIFS(tbl_data[12. Consultation Group of],$B$2,tbl_data[1:T1B],$A81,tbl_data[T1],$B$3)</f>
        <v>0</v>
      </c>
      <c r="N81" s="198">
        <f>COUNTIFS(tbl_data[12. Consultation Group of],$B$2,tbl_data[2:T1B],$A81,tbl_data[T1],$B$3)</f>
        <v>0</v>
      </c>
      <c r="O81" s="198">
        <f>COUNTIFS(tbl_data[12. Consultation Group of],$B$2,tbl_data[3:T1B],$A81,tbl_data[T1],$B$3)</f>
        <v>0</v>
      </c>
      <c r="P81" s="198">
        <f>COUNTIFS(tbl_data[12. Consultation Group of],$B$2,tbl_data[1:T2B],$A81,tbl_data[T2],$B$3)</f>
        <v>0</v>
      </c>
      <c r="Q81" s="198">
        <f>COUNTIFS(tbl_data[12. Consultation Group of],$B$2,tbl_data[2:T2B],$A81,tbl_data[T2],$B$3)</f>
        <v>0</v>
      </c>
      <c r="R81" s="198">
        <f>COUNTIFS(tbl_data[12. Consultation Group of],$B$2,tbl_data[3:T2B],$A81,tbl_data[T2],$B$3)</f>
        <v>0</v>
      </c>
      <c r="S81" s="198">
        <f>COUNTIFS(tbl_data[12. Consultation Group of],$B$2,tbl_data[1:T3B],$A81,tbl_data[T3],$B$3)</f>
        <v>0</v>
      </c>
      <c r="T81" s="198">
        <f>COUNTIFS(tbl_data[12. Consultation Group of],$B$2,tbl_data[2:T3B],$A81,tbl_data[T3],$B$3)</f>
        <v>0</v>
      </c>
      <c r="U81" s="198">
        <f>COUNTIFS(tbl_data[12. Consultation Group of],$B$2,tbl_data[3:T3B],$A81,tbl_data[T3],$B$3)</f>
        <v>0</v>
      </c>
      <c r="V81" s="198">
        <f t="shared" si="16"/>
        <v>0</v>
      </c>
      <c r="W81" s="199" t="str">
        <f t="shared" si="17"/>
        <v>Water Pollution (0)</v>
      </c>
      <c r="X81" s="205">
        <f>COUNTIFS(tbl_data[12. Consultation Group of],$C$2,tbl_data[1:T1B],$A81,tbl_data[T1],$C$3)</f>
        <v>0</v>
      </c>
      <c r="Y81" s="198">
        <f>COUNTIFS(tbl_data[12. Consultation Group of],$C$2,tbl_data[2:T1B],$A81,tbl_data[T1],$C$3)</f>
        <v>0</v>
      </c>
      <c r="Z81" s="198">
        <f>COUNTIFS(tbl_data[12. Consultation Group of],$C$2,tbl_data[3:T1B],$A81,tbl_data[T1],$C$3)</f>
        <v>0</v>
      </c>
      <c r="AA81" s="198">
        <f>COUNTIFS(tbl_data[12. Consultation Group of],$C$2,tbl_data[1:T2B],$A81,tbl_data[T2],$C$3)</f>
        <v>0</v>
      </c>
      <c r="AB81" s="198">
        <f>COUNTIFS(tbl_data[12. Consultation Group of],$C$2,tbl_data[2:T2B],$A81,tbl_data[T2],$C$3)</f>
        <v>0</v>
      </c>
      <c r="AC81" s="198">
        <f>COUNTIFS(tbl_data[12. Consultation Group of],$C$2,tbl_data[3:T2B],$A81,tbl_data[T2],$C$3)</f>
        <v>0</v>
      </c>
      <c r="AD81" s="198">
        <f>COUNTIFS(tbl_data[12. Consultation Group of],$C$2,tbl_data[1:T3B],$A81,tbl_data[T3],$C$3)</f>
        <v>0</v>
      </c>
      <c r="AE81" s="198">
        <f>COUNTIFS(tbl_data[12. Consultation Group of],$C$2,tbl_data[2:T3B],$A81,tbl_data[T3],$C$3)</f>
        <v>0</v>
      </c>
      <c r="AF81" s="198">
        <f>COUNTIFS(tbl_data[12. Consultation Group of],$C$2,tbl_data[3:T3B],$A81,tbl_data[T3],$C$3)</f>
        <v>0</v>
      </c>
      <c r="AG81" s="198">
        <f t="shared" si="18"/>
        <v>0</v>
      </c>
      <c r="AH81" s="199" t="str">
        <f t="shared" si="19"/>
        <v>Water Pollution (0)</v>
      </c>
      <c r="AI81" s="205">
        <f>COUNTIFS(tbl_data[12. Consultation Group of],$D$2,tbl_data[1:T1B],$A81,tbl_data[T1],$D$3)</f>
        <v>0</v>
      </c>
      <c r="AJ81" s="198">
        <f>COUNTIFS(tbl_data[12. Consultation Group of],$D$2,tbl_data[2:T1B],$A81,tbl_data[T1],$D$3)</f>
        <v>0</v>
      </c>
      <c r="AK81" s="198">
        <f>COUNTIFS(tbl_data[12. Consultation Group of],$D$2,tbl_data[3:T1B],$A81,tbl_data[T1],$D$3)</f>
        <v>0</v>
      </c>
      <c r="AL81" s="198">
        <f>COUNTIFS(tbl_data[12. Consultation Group of],$D$2,tbl_data[1:T2B],$A81,tbl_data[T2],$D$3)</f>
        <v>0</v>
      </c>
      <c r="AM81" s="198">
        <f>COUNTIFS(tbl_data[12. Consultation Group of],$D$2,tbl_data[2:T2B],$A81,tbl_data[T2],$D$3)</f>
        <v>0</v>
      </c>
      <c r="AN81" s="198">
        <f>COUNTIFS(tbl_data[12. Consultation Group of],$D$2,tbl_data[3:T2B],$A81,tbl_data[T2],$D$3)</f>
        <v>0</v>
      </c>
      <c r="AO81" s="198">
        <f>COUNTIFS(tbl_data[12. Consultation Group of],$D$2,tbl_data[1:T3B],$A81,tbl_data[T3],$D$3)</f>
        <v>0</v>
      </c>
      <c r="AP81" s="198">
        <f>COUNTIFS(tbl_data[12. Consultation Group of],$D$2,tbl_data[2:T3B],$A81,tbl_data[T3],$D$3)</f>
        <v>0</v>
      </c>
      <c r="AQ81" s="198">
        <f>COUNTIFS(tbl_data[12. Consultation Group of],$D$2,tbl_data[3:T3B],$A81,tbl_data[T3],$D$3)</f>
        <v>0</v>
      </c>
      <c r="AR81" s="198">
        <f t="shared" si="20"/>
        <v>0</v>
      </c>
      <c r="AS81" s="199" t="str">
        <f t="shared" si="21"/>
        <v>Water Pollution (0)</v>
      </c>
      <c r="AT81" s="205">
        <f>COUNTIFS(tbl_data[12. Consultation Group of],$E$2,tbl_data[1:T1B],$A81,tbl_data[T1],$E$3)</f>
        <v>0</v>
      </c>
      <c r="AU81" s="198">
        <f>COUNTIFS(tbl_data[12. Consultation Group of],$E$2,tbl_data[2:T1B],$A81,tbl_data[T1],$E$3)</f>
        <v>0</v>
      </c>
      <c r="AV81" s="198">
        <f>COUNTIFS(tbl_data[12. Consultation Group of],$E$2,tbl_data[3:T1B],$A81,tbl_data[T1],$E$3)</f>
        <v>0</v>
      </c>
      <c r="AW81" s="198">
        <f>COUNTIFS(tbl_data[12. Consultation Group of],$E$2,tbl_data[1:T2B],$A81,tbl_data[T2],$E$3)</f>
        <v>0</v>
      </c>
      <c r="AX81" s="198">
        <f>COUNTIFS(tbl_data[12. Consultation Group of],$E$2,tbl_data[2:T2B],$A81,tbl_data[T2],$E$3)</f>
        <v>0</v>
      </c>
      <c r="AY81" s="198">
        <f>COUNTIFS(tbl_data[12. Consultation Group of],$E$2,tbl_data[3:T2B],$A81,tbl_data[T2],$E$3)</f>
        <v>0</v>
      </c>
      <c r="AZ81" s="198">
        <f>COUNTIFS(tbl_data[12. Consultation Group of],$E$2,tbl_data[1:T3B],$A81,tbl_data[T3],$E$3)</f>
        <v>0</v>
      </c>
      <c r="BA81" s="198">
        <f>COUNTIFS(tbl_data[12. Consultation Group of],$E$2,tbl_data[2:T3B],$A81,tbl_data[T3],$E$3)</f>
        <v>0</v>
      </c>
      <c r="BB81" s="198">
        <f>COUNTIFS(tbl_data[12. Consultation Group of],$E$2,tbl_data[3:T3B],$A81,tbl_data[T3],$E$3)</f>
        <v>0</v>
      </c>
      <c r="BC81" s="198">
        <f t="shared" si="22"/>
        <v>0</v>
      </c>
      <c r="BD81" s="199" t="str">
        <f t="shared" si="23"/>
        <v>Water Pollution (0)</v>
      </c>
      <c r="BE81" s="205">
        <f>COUNTIFS(tbl_data[1:T1B],$A81,tbl_data[T1],$F$3)</f>
        <v>0</v>
      </c>
      <c r="BF81" s="198">
        <f>COUNTIFS(tbl_data[2:T1B],$A81,tbl_data[T1],$F$3)</f>
        <v>0</v>
      </c>
      <c r="BG81" s="198">
        <f>COUNTIFS(tbl_data[3:T1B],$A81,tbl_data[T1],$F$3)</f>
        <v>0</v>
      </c>
      <c r="BH81" s="198">
        <f>COUNTIFS(tbl_data[1:T2B],$A81,tbl_data[T2],$F$3)</f>
        <v>0</v>
      </c>
      <c r="BI81" s="198">
        <f>COUNTIFS(tbl_data[2:T2B],$A81,tbl_data[T2],$F$3)</f>
        <v>0</v>
      </c>
      <c r="BJ81" s="198">
        <f>COUNTIFS(tbl_data[3:T2B],$A81,tbl_data[T2],$F$3)</f>
        <v>0</v>
      </c>
      <c r="BK81" s="198">
        <f>COUNTIFS(tbl_data[1:T3B],$A81,tbl_data[T3],$F$3)</f>
        <v>0</v>
      </c>
      <c r="BL81" s="198">
        <f>COUNTIFS(tbl_data[2:T3B],$A81,tbl_data[T3],$F$3)</f>
        <v>0</v>
      </c>
      <c r="BM81" s="198">
        <f>COUNTIFS(tbl_data[3:T3B],$A81,tbl_data[T3],$F$3)</f>
        <v>0</v>
      </c>
      <c r="BN81" s="198">
        <f t="shared" si="24"/>
        <v>0</v>
      </c>
      <c r="BO81" s="199" t="str">
        <f t="shared" si="25"/>
        <v>Water Pollution (0)</v>
      </c>
      <c r="BQ81" s="218" t="str">
        <f t="shared" si="26"/>
        <v>Water Pollution</v>
      </c>
      <c r="BR81">
        <f t="shared" si="27"/>
        <v>1</v>
      </c>
      <c r="BV81" t="s">
        <v>937</v>
      </c>
    </row>
    <row r="82" spans="1:74" x14ac:dyDescent="0.25">
      <c r="A82" s="215" t="s">
        <v>496</v>
      </c>
      <c r="B82" s="205">
        <f>COUNTIFS(tbl_data[12. Consultation Group of],$A$2,tbl_data[1:T1B],$A82,tbl_data[T1],$A$3)</f>
        <v>0</v>
      </c>
      <c r="C82" s="198">
        <f>COUNTIFS(tbl_data[12. Consultation Group of],$A$2,tbl_data[2:T1B],$A82,tbl_data[T1],$A$3)</f>
        <v>0</v>
      </c>
      <c r="D82" s="198">
        <f>COUNTIFS(tbl_data[12. Consultation Group of],$A$2,tbl_data[3:T1B],$A82,tbl_data[T1],$A$3)</f>
        <v>0</v>
      </c>
      <c r="E82" s="198">
        <f>COUNTIFS(tbl_data[12. Consultation Group of],$A$2,tbl_data[1:T2B],$A82,tbl_data[T2],$A$3)</f>
        <v>0</v>
      </c>
      <c r="F82" s="198">
        <f>COUNTIFS(tbl_data[12. Consultation Group of],$A$2,tbl_data[2:T2B],$A82,tbl_data[T2],$A$3)</f>
        <v>0</v>
      </c>
      <c r="G82" s="198">
        <f>COUNTIFS(tbl_data[12. Consultation Group of],$A$2,tbl_data[3:T2B],$A82,tbl_data[T2],$A$3)</f>
        <v>0</v>
      </c>
      <c r="H82" s="198">
        <f>COUNTIFS(tbl_data[12. Consultation Group of],$A$2,tbl_data[1:T3B],$A82,tbl_data[T3],$A$3)</f>
        <v>0</v>
      </c>
      <c r="I82" s="198">
        <f>COUNTIFS(tbl_data[12. Consultation Group of],$A$2,tbl_data[2:T3B],$A82,tbl_data[T3],$A$3)</f>
        <v>0</v>
      </c>
      <c r="J82" s="198">
        <f>COUNTIFS(tbl_data[12. Consultation Group of],$A$2,tbl_data[3:T3B],$A82,tbl_data[T3],$A$3)</f>
        <v>0</v>
      </c>
      <c r="K82" s="198">
        <f t="shared" si="14"/>
        <v>0</v>
      </c>
      <c r="L82" s="199" t="str">
        <f t="shared" si="15"/>
        <v>Exclusion Of Ethnic Minorities Or Indigenous People (0)</v>
      </c>
      <c r="M82" s="205">
        <f>COUNTIFS(tbl_data[12. Consultation Group of],$B$2,tbl_data[1:T1B],$A82,tbl_data[T1],$B$3)</f>
        <v>0</v>
      </c>
      <c r="N82" s="198">
        <f>COUNTIFS(tbl_data[12. Consultation Group of],$B$2,tbl_data[2:T1B],$A82,tbl_data[T1],$B$3)</f>
        <v>0</v>
      </c>
      <c r="O82" s="198">
        <f>COUNTIFS(tbl_data[12. Consultation Group of],$B$2,tbl_data[3:T1B],$A82,tbl_data[T1],$B$3)</f>
        <v>0</v>
      </c>
      <c r="P82" s="198">
        <f>COUNTIFS(tbl_data[12. Consultation Group of],$B$2,tbl_data[1:T2B],$A82,tbl_data[T2],$B$3)</f>
        <v>0</v>
      </c>
      <c r="Q82" s="198">
        <f>COUNTIFS(tbl_data[12. Consultation Group of],$B$2,tbl_data[2:T2B],$A82,tbl_data[T2],$B$3)</f>
        <v>0</v>
      </c>
      <c r="R82" s="198">
        <f>COUNTIFS(tbl_data[12. Consultation Group of],$B$2,tbl_data[3:T2B],$A82,tbl_data[T2],$B$3)</f>
        <v>0</v>
      </c>
      <c r="S82" s="198">
        <f>COUNTIFS(tbl_data[12. Consultation Group of],$B$2,tbl_data[1:T3B],$A82,tbl_data[T3],$B$3)</f>
        <v>0</v>
      </c>
      <c r="T82" s="198">
        <f>COUNTIFS(tbl_data[12. Consultation Group of],$B$2,tbl_data[2:T3B],$A82,tbl_data[T3],$B$3)</f>
        <v>0</v>
      </c>
      <c r="U82" s="198">
        <f>COUNTIFS(tbl_data[12. Consultation Group of],$B$2,tbl_data[3:T3B],$A82,tbl_data[T3],$B$3)</f>
        <v>0</v>
      </c>
      <c r="V82" s="198">
        <f t="shared" si="16"/>
        <v>0</v>
      </c>
      <c r="W82" s="199" t="str">
        <f t="shared" si="17"/>
        <v>Exclusion Of Ethnic Minorities Or Indigenous People (0)</v>
      </c>
      <c r="X82" s="205">
        <f>COUNTIFS(tbl_data[12. Consultation Group of],$C$2,tbl_data[1:T1B],$A82,tbl_data[T1],$C$3)</f>
        <v>0</v>
      </c>
      <c r="Y82" s="198">
        <f>COUNTIFS(tbl_data[12. Consultation Group of],$C$2,tbl_data[2:T1B],$A82,tbl_data[T1],$C$3)</f>
        <v>0</v>
      </c>
      <c r="Z82" s="198">
        <f>COUNTIFS(tbl_data[12. Consultation Group of],$C$2,tbl_data[3:T1B],$A82,tbl_data[T1],$C$3)</f>
        <v>0</v>
      </c>
      <c r="AA82" s="198">
        <f>COUNTIFS(tbl_data[12. Consultation Group of],$C$2,tbl_data[1:T2B],$A82,tbl_data[T2],$C$3)</f>
        <v>0</v>
      </c>
      <c r="AB82" s="198">
        <f>COUNTIFS(tbl_data[12. Consultation Group of],$C$2,tbl_data[2:T2B],$A82,tbl_data[T2],$C$3)</f>
        <v>0</v>
      </c>
      <c r="AC82" s="198">
        <f>COUNTIFS(tbl_data[12. Consultation Group of],$C$2,tbl_data[3:T2B],$A82,tbl_data[T2],$C$3)</f>
        <v>0</v>
      </c>
      <c r="AD82" s="198">
        <f>COUNTIFS(tbl_data[12. Consultation Group of],$C$2,tbl_data[1:T3B],$A82,tbl_data[T3],$C$3)</f>
        <v>0</v>
      </c>
      <c r="AE82" s="198">
        <f>COUNTIFS(tbl_data[12. Consultation Group of],$C$2,tbl_data[2:T3B],$A82,tbl_data[T3],$C$3)</f>
        <v>0</v>
      </c>
      <c r="AF82" s="198">
        <f>COUNTIFS(tbl_data[12. Consultation Group of],$C$2,tbl_data[3:T3B],$A82,tbl_data[T3],$C$3)</f>
        <v>0</v>
      </c>
      <c r="AG82" s="198">
        <f t="shared" si="18"/>
        <v>0</v>
      </c>
      <c r="AH82" s="199" t="str">
        <f t="shared" si="19"/>
        <v>Exclusion Of Ethnic Minorities Or Indigenous People (0)</v>
      </c>
      <c r="AI82" s="205">
        <f>COUNTIFS(tbl_data[12. Consultation Group of],$D$2,tbl_data[1:T1B],$A82,tbl_data[T1],$D$3)</f>
        <v>0</v>
      </c>
      <c r="AJ82" s="198">
        <f>COUNTIFS(tbl_data[12. Consultation Group of],$D$2,tbl_data[2:T1B],$A82,tbl_data[T1],$D$3)</f>
        <v>0</v>
      </c>
      <c r="AK82" s="198">
        <f>COUNTIFS(tbl_data[12. Consultation Group of],$D$2,tbl_data[3:T1B],$A82,tbl_data[T1],$D$3)</f>
        <v>0</v>
      </c>
      <c r="AL82" s="198">
        <f>COUNTIFS(tbl_data[12. Consultation Group of],$D$2,tbl_data[1:T2B],$A82,tbl_data[T2],$D$3)</f>
        <v>0</v>
      </c>
      <c r="AM82" s="198">
        <f>COUNTIFS(tbl_data[12. Consultation Group of],$D$2,tbl_data[2:T2B],$A82,tbl_data[T2],$D$3)</f>
        <v>0</v>
      </c>
      <c r="AN82" s="198">
        <f>COUNTIFS(tbl_data[12. Consultation Group of],$D$2,tbl_data[3:T2B],$A82,tbl_data[T2],$D$3)</f>
        <v>0</v>
      </c>
      <c r="AO82" s="198">
        <f>COUNTIFS(tbl_data[12. Consultation Group of],$D$2,tbl_data[1:T3B],$A82,tbl_data[T3],$D$3)</f>
        <v>0</v>
      </c>
      <c r="AP82" s="198">
        <f>COUNTIFS(tbl_data[12. Consultation Group of],$D$2,tbl_data[2:T3B],$A82,tbl_data[T3],$D$3)</f>
        <v>0</v>
      </c>
      <c r="AQ82" s="198">
        <f>COUNTIFS(tbl_data[12. Consultation Group of],$D$2,tbl_data[3:T3B],$A82,tbl_data[T3],$D$3)</f>
        <v>0</v>
      </c>
      <c r="AR82" s="198">
        <f t="shared" si="20"/>
        <v>0</v>
      </c>
      <c r="AS82" s="199" t="str">
        <f t="shared" si="21"/>
        <v>Exclusion Of Ethnic Minorities Or Indigenous People (0)</v>
      </c>
      <c r="AT82" s="205">
        <f>COUNTIFS(tbl_data[12. Consultation Group of],$E$2,tbl_data[1:T1B],$A82,tbl_data[T1],$E$3)</f>
        <v>0</v>
      </c>
      <c r="AU82" s="198">
        <f>COUNTIFS(tbl_data[12. Consultation Group of],$E$2,tbl_data[2:T1B],$A82,tbl_data[T1],$E$3)</f>
        <v>0</v>
      </c>
      <c r="AV82" s="198">
        <f>COUNTIFS(tbl_data[12. Consultation Group of],$E$2,tbl_data[3:T1B],$A82,tbl_data[T1],$E$3)</f>
        <v>0</v>
      </c>
      <c r="AW82" s="198">
        <f>COUNTIFS(tbl_data[12. Consultation Group of],$E$2,tbl_data[1:T2B],$A82,tbl_data[T2],$E$3)</f>
        <v>0</v>
      </c>
      <c r="AX82" s="198">
        <f>COUNTIFS(tbl_data[12. Consultation Group of],$E$2,tbl_data[2:T2B],$A82,tbl_data[T2],$E$3)</f>
        <v>0</v>
      </c>
      <c r="AY82" s="198">
        <f>COUNTIFS(tbl_data[12. Consultation Group of],$E$2,tbl_data[3:T2B],$A82,tbl_data[T2],$E$3)</f>
        <v>0</v>
      </c>
      <c r="AZ82" s="198">
        <f>COUNTIFS(tbl_data[12. Consultation Group of],$E$2,tbl_data[1:T3B],$A82,tbl_data[T3],$E$3)</f>
        <v>0</v>
      </c>
      <c r="BA82" s="198">
        <f>COUNTIFS(tbl_data[12. Consultation Group of],$E$2,tbl_data[2:T3B],$A82,tbl_data[T3],$E$3)</f>
        <v>0</v>
      </c>
      <c r="BB82" s="198">
        <f>COUNTIFS(tbl_data[12. Consultation Group of],$E$2,tbl_data[3:T3B],$A82,tbl_data[T3],$E$3)</f>
        <v>0</v>
      </c>
      <c r="BC82" s="198">
        <f t="shared" si="22"/>
        <v>0</v>
      </c>
      <c r="BD82" s="199" t="str">
        <f t="shared" si="23"/>
        <v>Exclusion Of Ethnic Minorities Or Indigenous People (0)</v>
      </c>
      <c r="BE82" s="205">
        <f>COUNTIFS(tbl_data[1:T1B],$A82,tbl_data[T1],$F$3)</f>
        <v>0</v>
      </c>
      <c r="BF82" s="198">
        <f>COUNTIFS(tbl_data[2:T1B],$A82,tbl_data[T1],$F$3)</f>
        <v>0</v>
      </c>
      <c r="BG82" s="198">
        <f>COUNTIFS(tbl_data[3:T1B],$A82,tbl_data[T1],$F$3)</f>
        <v>0</v>
      </c>
      <c r="BH82" s="198">
        <f>COUNTIFS(tbl_data[1:T2B],$A82,tbl_data[T2],$F$3)</f>
        <v>0</v>
      </c>
      <c r="BI82" s="198">
        <f>COUNTIFS(tbl_data[2:T2B],$A82,tbl_data[T2],$F$3)</f>
        <v>0</v>
      </c>
      <c r="BJ82" s="198">
        <f>COUNTIFS(tbl_data[3:T2B],$A82,tbl_data[T2],$F$3)</f>
        <v>0</v>
      </c>
      <c r="BK82" s="198">
        <f>COUNTIFS(tbl_data[1:T3B],$A82,tbl_data[T3],$F$3)</f>
        <v>0</v>
      </c>
      <c r="BL82" s="198">
        <f>COUNTIFS(tbl_data[2:T3B],$A82,tbl_data[T3],$F$3)</f>
        <v>0</v>
      </c>
      <c r="BM82" s="198">
        <f>COUNTIFS(tbl_data[3:T3B],$A82,tbl_data[T3],$F$3)</f>
        <v>0</v>
      </c>
      <c r="BN82" s="198">
        <f t="shared" si="24"/>
        <v>0</v>
      </c>
      <c r="BO82" s="199" t="str">
        <f t="shared" si="25"/>
        <v>Exclusion Of Ethnic Minorities Or Indigenous People (0)</v>
      </c>
      <c r="BQ82" t="str">
        <f t="shared" si="26"/>
        <v>Exclusion Of Ethnic Minorities Or Indigenous People</v>
      </c>
      <c r="BR82">
        <f t="shared" si="27"/>
        <v>0</v>
      </c>
    </row>
    <row r="83" spans="1:74" x14ac:dyDescent="0.25">
      <c r="A83" s="215" t="s">
        <v>301</v>
      </c>
      <c r="B83" s="205">
        <f>COUNTIFS(tbl_data[12. Consultation Group of],$A$2,tbl_data[1:T1B],$A83,tbl_data[T1],$A$3)</f>
        <v>0</v>
      </c>
      <c r="C83" s="198">
        <f>COUNTIFS(tbl_data[12. Consultation Group of],$A$2,tbl_data[2:T1B],$A83,tbl_data[T1],$A$3)</f>
        <v>0</v>
      </c>
      <c r="D83" s="198">
        <f>COUNTIFS(tbl_data[12. Consultation Group of],$A$2,tbl_data[3:T1B],$A83,tbl_data[T1],$A$3)</f>
        <v>0</v>
      </c>
      <c r="E83" s="198">
        <f>COUNTIFS(tbl_data[12. Consultation Group of],$A$2,tbl_data[1:T2B],$A83,tbl_data[T2],$A$3)</f>
        <v>0</v>
      </c>
      <c r="F83" s="198">
        <f>COUNTIFS(tbl_data[12. Consultation Group of],$A$2,tbl_data[2:T2B],$A83,tbl_data[T2],$A$3)</f>
        <v>0</v>
      </c>
      <c r="G83" s="198">
        <f>COUNTIFS(tbl_data[12. Consultation Group of],$A$2,tbl_data[3:T2B],$A83,tbl_data[T2],$A$3)</f>
        <v>0</v>
      </c>
      <c r="H83" s="198">
        <f>COUNTIFS(tbl_data[12. Consultation Group of],$A$2,tbl_data[1:T3B],$A83,tbl_data[T3],$A$3)</f>
        <v>0</v>
      </c>
      <c r="I83" s="198">
        <f>COUNTIFS(tbl_data[12. Consultation Group of],$A$2,tbl_data[2:T3B],$A83,tbl_data[T3],$A$3)</f>
        <v>0</v>
      </c>
      <c r="J83" s="198">
        <f>COUNTIFS(tbl_data[12. Consultation Group of],$A$2,tbl_data[3:T3B],$A83,tbl_data[T3],$A$3)</f>
        <v>0</v>
      </c>
      <c r="K83" s="198">
        <f t="shared" si="14"/>
        <v>0</v>
      </c>
      <c r="L83" s="199" t="str">
        <f t="shared" si="15"/>
        <v>Disparities In Wealth And Income (0)</v>
      </c>
      <c r="M83" s="205">
        <f>COUNTIFS(tbl_data[12. Consultation Group of],$B$2,tbl_data[1:T1B],$A83,tbl_data[T1],$B$3)</f>
        <v>0</v>
      </c>
      <c r="N83" s="198">
        <f>COUNTIFS(tbl_data[12. Consultation Group of],$B$2,tbl_data[2:T1B],$A83,tbl_data[T1],$B$3)</f>
        <v>0</v>
      </c>
      <c r="O83" s="198">
        <f>COUNTIFS(tbl_data[12. Consultation Group of],$B$2,tbl_data[3:T1B],$A83,tbl_data[T1],$B$3)</f>
        <v>0</v>
      </c>
      <c r="P83" s="198">
        <f>COUNTIFS(tbl_data[12. Consultation Group of],$B$2,tbl_data[1:T2B],$A83,tbl_data[T2],$B$3)</f>
        <v>0</v>
      </c>
      <c r="Q83" s="198">
        <f>COUNTIFS(tbl_data[12. Consultation Group of],$B$2,tbl_data[2:T2B],$A83,tbl_data[T2],$B$3)</f>
        <v>0</v>
      </c>
      <c r="R83" s="198">
        <f>COUNTIFS(tbl_data[12. Consultation Group of],$B$2,tbl_data[3:T2B],$A83,tbl_data[T2],$B$3)</f>
        <v>0</v>
      </c>
      <c r="S83" s="198">
        <f>COUNTIFS(tbl_data[12. Consultation Group of],$B$2,tbl_data[1:T3B],$A83,tbl_data[T3],$B$3)</f>
        <v>0</v>
      </c>
      <c r="T83" s="198">
        <f>COUNTIFS(tbl_data[12. Consultation Group of],$B$2,tbl_data[2:T3B],$A83,tbl_data[T3],$B$3)</f>
        <v>0</v>
      </c>
      <c r="U83" s="198">
        <f>COUNTIFS(tbl_data[12. Consultation Group of],$B$2,tbl_data[3:T3B],$A83,tbl_data[T3],$B$3)</f>
        <v>0</v>
      </c>
      <c r="V83" s="198">
        <f t="shared" si="16"/>
        <v>0</v>
      </c>
      <c r="W83" s="199" t="str">
        <f t="shared" si="17"/>
        <v>Disparities In Wealth And Income (0)</v>
      </c>
      <c r="X83" s="205">
        <f>COUNTIFS(tbl_data[12. Consultation Group of],$C$2,tbl_data[1:T1B],$A83,tbl_data[T1],$C$3)</f>
        <v>0</v>
      </c>
      <c r="Y83" s="198">
        <f>COUNTIFS(tbl_data[12. Consultation Group of],$C$2,tbl_data[2:T1B],$A83,tbl_data[T1],$C$3)</f>
        <v>0</v>
      </c>
      <c r="Z83" s="198">
        <f>COUNTIFS(tbl_data[12. Consultation Group of],$C$2,tbl_data[3:T1B],$A83,tbl_data[T1],$C$3)</f>
        <v>0</v>
      </c>
      <c r="AA83" s="198">
        <f>COUNTIFS(tbl_data[12. Consultation Group of],$C$2,tbl_data[1:T2B],$A83,tbl_data[T2],$C$3)</f>
        <v>0</v>
      </c>
      <c r="AB83" s="198">
        <f>COUNTIFS(tbl_data[12. Consultation Group of],$C$2,tbl_data[2:T2B],$A83,tbl_data[T2],$C$3)</f>
        <v>0</v>
      </c>
      <c r="AC83" s="198">
        <f>COUNTIFS(tbl_data[12. Consultation Group of],$C$2,tbl_data[3:T2B],$A83,tbl_data[T2],$C$3)</f>
        <v>0</v>
      </c>
      <c r="AD83" s="198">
        <f>COUNTIFS(tbl_data[12. Consultation Group of],$C$2,tbl_data[1:T3B],$A83,tbl_data[T3],$C$3)</f>
        <v>0</v>
      </c>
      <c r="AE83" s="198">
        <f>COUNTIFS(tbl_data[12. Consultation Group of],$C$2,tbl_data[2:T3B],$A83,tbl_data[T3],$C$3)</f>
        <v>0</v>
      </c>
      <c r="AF83" s="198">
        <f>COUNTIFS(tbl_data[12. Consultation Group of],$C$2,tbl_data[3:T3B],$A83,tbl_data[T3],$C$3)</f>
        <v>0</v>
      </c>
      <c r="AG83" s="198">
        <f t="shared" si="18"/>
        <v>0</v>
      </c>
      <c r="AH83" s="199" t="str">
        <f t="shared" si="19"/>
        <v>Disparities In Wealth And Income (0)</v>
      </c>
      <c r="AI83" s="205">
        <f>COUNTIFS(tbl_data[12. Consultation Group of],$D$2,tbl_data[1:T1B],$A83,tbl_data[T1],$D$3)</f>
        <v>0</v>
      </c>
      <c r="AJ83" s="198">
        <f>COUNTIFS(tbl_data[12. Consultation Group of],$D$2,tbl_data[2:T1B],$A83,tbl_data[T1],$D$3)</f>
        <v>0</v>
      </c>
      <c r="AK83" s="198">
        <f>COUNTIFS(tbl_data[12. Consultation Group of],$D$2,tbl_data[3:T1B],$A83,tbl_data[T1],$D$3)</f>
        <v>0</v>
      </c>
      <c r="AL83" s="198">
        <f>COUNTIFS(tbl_data[12. Consultation Group of],$D$2,tbl_data[1:T2B],$A83,tbl_data[T2],$D$3)</f>
        <v>0</v>
      </c>
      <c r="AM83" s="198">
        <f>COUNTIFS(tbl_data[12. Consultation Group of],$D$2,tbl_data[2:T2B],$A83,tbl_data[T2],$D$3)</f>
        <v>0</v>
      </c>
      <c r="AN83" s="198">
        <f>COUNTIFS(tbl_data[12. Consultation Group of],$D$2,tbl_data[3:T2B],$A83,tbl_data[T2],$D$3)</f>
        <v>0</v>
      </c>
      <c r="AO83" s="198">
        <f>COUNTIFS(tbl_data[12. Consultation Group of],$D$2,tbl_data[1:T3B],$A83,tbl_data[T3],$D$3)</f>
        <v>0</v>
      </c>
      <c r="AP83" s="198">
        <f>COUNTIFS(tbl_data[12. Consultation Group of],$D$2,tbl_data[2:T3B],$A83,tbl_data[T3],$D$3)</f>
        <v>0</v>
      </c>
      <c r="AQ83" s="198">
        <f>COUNTIFS(tbl_data[12. Consultation Group of],$D$2,tbl_data[3:T3B],$A83,tbl_data[T3],$D$3)</f>
        <v>0</v>
      </c>
      <c r="AR83" s="198">
        <f t="shared" si="20"/>
        <v>0</v>
      </c>
      <c r="AS83" s="199" t="str">
        <f t="shared" si="21"/>
        <v>Disparities In Wealth And Income (0)</v>
      </c>
      <c r="AT83" s="205">
        <f>COUNTIFS(tbl_data[12. Consultation Group of],$E$2,tbl_data[1:T1B],$A83,tbl_data[T1],$E$3)</f>
        <v>0</v>
      </c>
      <c r="AU83" s="198">
        <f>COUNTIFS(tbl_data[12. Consultation Group of],$E$2,tbl_data[2:T1B],$A83,tbl_data[T1],$E$3)</f>
        <v>0</v>
      </c>
      <c r="AV83" s="198">
        <f>COUNTIFS(tbl_data[12. Consultation Group of],$E$2,tbl_data[3:T1B],$A83,tbl_data[T1],$E$3)</f>
        <v>0</v>
      </c>
      <c r="AW83" s="198">
        <f>COUNTIFS(tbl_data[12. Consultation Group of],$E$2,tbl_data[1:T2B],$A83,tbl_data[T2],$E$3)</f>
        <v>0</v>
      </c>
      <c r="AX83" s="198">
        <f>COUNTIFS(tbl_data[12. Consultation Group of],$E$2,tbl_data[2:T2B],$A83,tbl_data[T2],$E$3)</f>
        <v>0</v>
      </c>
      <c r="AY83" s="198">
        <f>COUNTIFS(tbl_data[12. Consultation Group of],$E$2,tbl_data[3:T2B],$A83,tbl_data[T2],$E$3)</f>
        <v>0</v>
      </c>
      <c r="AZ83" s="198">
        <f>COUNTIFS(tbl_data[12. Consultation Group of],$E$2,tbl_data[1:T3B],$A83,tbl_data[T3],$E$3)</f>
        <v>0</v>
      </c>
      <c r="BA83" s="198">
        <f>COUNTIFS(tbl_data[12. Consultation Group of],$E$2,tbl_data[2:T3B],$A83,tbl_data[T3],$E$3)</f>
        <v>0</v>
      </c>
      <c r="BB83" s="198">
        <f>COUNTIFS(tbl_data[12. Consultation Group of],$E$2,tbl_data[3:T3B],$A83,tbl_data[T3],$E$3)</f>
        <v>0</v>
      </c>
      <c r="BC83" s="198">
        <f t="shared" si="22"/>
        <v>0</v>
      </c>
      <c r="BD83" s="199" t="str">
        <f t="shared" si="23"/>
        <v>Disparities In Wealth And Income (0)</v>
      </c>
      <c r="BE83" s="205">
        <f>COUNTIFS(tbl_data[1:T1B],$A83,tbl_data[T1],$F$3)</f>
        <v>0</v>
      </c>
      <c r="BF83" s="198">
        <f>COUNTIFS(tbl_data[2:T1B],$A83,tbl_data[T1],$F$3)</f>
        <v>0</v>
      </c>
      <c r="BG83" s="198">
        <f>COUNTIFS(tbl_data[3:T1B],$A83,tbl_data[T1],$F$3)</f>
        <v>0</v>
      </c>
      <c r="BH83" s="198">
        <f>COUNTIFS(tbl_data[1:T2B],$A83,tbl_data[T2],$F$3)</f>
        <v>0</v>
      </c>
      <c r="BI83" s="198">
        <f>COUNTIFS(tbl_data[2:T2B],$A83,tbl_data[T2],$F$3)</f>
        <v>0</v>
      </c>
      <c r="BJ83" s="198">
        <f>COUNTIFS(tbl_data[3:T2B],$A83,tbl_data[T2],$F$3)</f>
        <v>0</v>
      </c>
      <c r="BK83" s="198">
        <f>COUNTIFS(tbl_data[1:T3B],$A83,tbl_data[T3],$F$3)</f>
        <v>0</v>
      </c>
      <c r="BL83" s="198">
        <f>COUNTIFS(tbl_data[2:T3B],$A83,tbl_data[T3],$F$3)</f>
        <v>0</v>
      </c>
      <c r="BM83" s="198">
        <f>COUNTIFS(tbl_data[3:T3B],$A83,tbl_data[T3],$F$3)</f>
        <v>0</v>
      </c>
      <c r="BN83" s="198">
        <f t="shared" si="24"/>
        <v>0</v>
      </c>
      <c r="BO83" s="199" t="str">
        <f t="shared" si="25"/>
        <v>Disparities In Wealth And Income (0)</v>
      </c>
      <c r="BQ83" t="str">
        <f t="shared" si="26"/>
        <v>Disparities In Wealth And Income</v>
      </c>
      <c r="BR83">
        <f t="shared" si="27"/>
        <v>0</v>
      </c>
    </row>
    <row r="84" spans="1:74" x14ac:dyDescent="0.25">
      <c r="A84" s="215" t="s">
        <v>233</v>
      </c>
      <c r="B84" s="205">
        <f>COUNTIFS(tbl_data[12. Consultation Group of],$A$2,tbl_data[1:T1B],$A84,tbl_data[T1],$A$3)</f>
        <v>0</v>
      </c>
      <c r="C84" s="198">
        <f>COUNTIFS(tbl_data[12. Consultation Group of],$A$2,tbl_data[2:T1B],$A84,tbl_data[T1],$A$3)</f>
        <v>0</v>
      </c>
      <c r="D84" s="198">
        <f>COUNTIFS(tbl_data[12. Consultation Group of],$A$2,tbl_data[3:T1B],$A84,tbl_data[T1],$A$3)</f>
        <v>0</v>
      </c>
      <c r="E84" s="198">
        <f>COUNTIFS(tbl_data[12. Consultation Group of],$A$2,tbl_data[1:T2B],$A84,tbl_data[T2],$A$3)</f>
        <v>0</v>
      </c>
      <c r="F84" s="198">
        <f>COUNTIFS(tbl_data[12. Consultation Group of],$A$2,tbl_data[2:T2B],$A84,tbl_data[T2],$A$3)</f>
        <v>0</v>
      </c>
      <c r="G84" s="198">
        <f>COUNTIFS(tbl_data[12. Consultation Group of],$A$2,tbl_data[3:T2B],$A84,tbl_data[T2],$A$3)</f>
        <v>0</v>
      </c>
      <c r="H84" s="198">
        <f>COUNTIFS(tbl_data[12. Consultation Group of],$A$2,tbl_data[1:T3B],$A84,tbl_data[T3],$A$3)</f>
        <v>0</v>
      </c>
      <c r="I84" s="198">
        <f>COUNTIFS(tbl_data[12. Consultation Group of],$A$2,tbl_data[2:T3B],$A84,tbl_data[T3],$A$3)</f>
        <v>0</v>
      </c>
      <c r="J84" s="198">
        <f>COUNTIFS(tbl_data[12. Consultation Group of],$A$2,tbl_data[3:T3B],$A84,tbl_data[T3],$A$3)</f>
        <v>0</v>
      </c>
      <c r="K84" s="198">
        <f t="shared" si="14"/>
        <v>0</v>
      </c>
      <c r="L84" s="199" t="str">
        <f t="shared" si="15"/>
        <v>Deforestation (0)</v>
      </c>
      <c r="M84" s="205">
        <f>COUNTIFS(tbl_data[12. Consultation Group of],$B$2,tbl_data[1:T1B],$A84,tbl_data[T1],$B$3)</f>
        <v>0</v>
      </c>
      <c r="N84" s="198">
        <f>COUNTIFS(tbl_data[12. Consultation Group of],$B$2,tbl_data[2:T1B],$A84,tbl_data[T1],$B$3)</f>
        <v>0</v>
      </c>
      <c r="O84" s="198">
        <f>COUNTIFS(tbl_data[12. Consultation Group of],$B$2,tbl_data[3:T1B],$A84,tbl_data[T1],$B$3)</f>
        <v>0</v>
      </c>
      <c r="P84" s="198">
        <f>COUNTIFS(tbl_data[12. Consultation Group of],$B$2,tbl_data[1:T2B],$A84,tbl_data[T2],$B$3)</f>
        <v>0</v>
      </c>
      <c r="Q84" s="198">
        <f>COUNTIFS(tbl_data[12. Consultation Group of],$B$2,tbl_data[2:T2B],$A84,tbl_data[T2],$B$3)</f>
        <v>0</v>
      </c>
      <c r="R84" s="198">
        <f>COUNTIFS(tbl_data[12. Consultation Group of],$B$2,tbl_data[3:T2B],$A84,tbl_data[T2],$B$3)</f>
        <v>0</v>
      </c>
      <c r="S84" s="198">
        <f>COUNTIFS(tbl_data[12. Consultation Group of],$B$2,tbl_data[1:T3B],$A84,tbl_data[T3],$B$3)</f>
        <v>0</v>
      </c>
      <c r="T84" s="198">
        <f>COUNTIFS(tbl_data[12. Consultation Group of],$B$2,tbl_data[2:T3B],$A84,tbl_data[T3],$B$3)</f>
        <v>0</v>
      </c>
      <c r="U84" s="198">
        <f>COUNTIFS(tbl_data[12. Consultation Group of],$B$2,tbl_data[3:T3B],$A84,tbl_data[T3],$B$3)</f>
        <v>0</v>
      </c>
      <c r="V84" s="198">
        <f t="shared" si="16"/>
        <v>0</v>
      </c>
      <c r="W84" s="199" t="str">
        <f t="shared" si="17"/>
        <v>Deforestation (0)</v>
      </c>
      <c r="X84" s="205">
        <f>COUNTIFS(tbl_data[12. Consultation Group of],$C$2,tbl_data[1:T1B],$A84,tbl_data[T1],$C$3)</f>
        <v>0</v>
      </c>
      <c r="Y84" s="198">
        <f>COUNTIFS(tbl_data[12. Consultation Group of],$C$2,tbl_data[2:T1B],$A84,tbl_data[T1],$C$3)</f>
        <v>0</v>
      </c>
      <c r="Z84" s="198">
        <f>COUNTIFS(tbl_data[12. Consultation Group of],$C$2,tbl_data[3:T1B],$A84,tbl_data[T1],$C$3)</f>
        <v>0</v>
      </c>
      <c r="AA84" s="198">
        <f>COUNTIFS(tbl_data[12. Consultation Group of],$C$2,tbl_data[1:T2B],$A84,tbl_data[T2],$C$3)</f>
        <v>0</v>
      </c>
      <c r="AB84" s="198">
        <f>COUNTIFS(tbl_data[12. Consultation Group of],$C$2,tbl_data[2:T2B],$A84,tbl_data[T2],$C$3)</f>
        <v>0</v>
      </c>
      <c r="AC84" s="198">
        <f>COUNTIFS(tbl_data[12. Consultation Group of],$C$2,tbl_data[3:T2B],$A84,tbl_data[T2],$C$3)</f>
        <v>0</v>
      </c>
      <c r="AD84" s="198">
        <f>COUNTIFS(tbl_data[12. Consultation Group of],$C$2,tbl_data[1:T3B],$A84,tbl_data[T3],$C$3)</f>
        <v>0</v>
      </c>
      <c r="AE84" s="198">
        <f>COUNTIFS(tbl_data[12. Consultation Group of],$C$2,tbl_data[2:T3B],$A84,tbl_data[T3],$C$3)</f>
        <v>0</v>
      </c>
      <c r="AF84" s="198">
        <f>COUNTIFS(tbl_data[12. Consultation Group of],$C$2,tbl_data[3:T3B],$A84,tbl_data[T3],$C$3)</f>
        <v>0</v>
      </c>
      <c r="AG84" s="198">
        <f t="shared" si="18"/>
        <v>0</v>
      </c>
      <c r="AH84" s="199" t="str">
        <f t="shared" si="19"/>
        <v>Deforestation (0)</v>
      </c>
      <c r="AI84" s="205">
        <f>COUNTIFS(tbl_data[12. Consultation Group of],$D$2,tbl_data[1:T1B],$A84,tbl_data[T1],$D$3)</f>
        <v>0</v>
      </c>
      <c r="AJ84" s="198">
        <f>COUNTIFS(tbl_data[12. Consultation Group of],$D$2,tbl_data[2:T1B],$A84,tbl_data[T1],$D$3)</f>
        <v>0</v>
      </c>
      <c r="AK84" s="198">
        <f>COUNTIFS(tbl_data[12. Consultation Group of],$D$2,tbl_data[3:T1B],$A84,tbl_data[T1],$D$3)</f>
        <v>0</v>
      </c>
      <c r="AL84" s="198">
        <f>COUNTIFS(tbl_data[12. Consultation Group of],$D$2,tbl_data[1:T2B],$A84,tbl_data[T2],$D$3)</f>
        <v>0</v>
      </c>
      <c r="AM84" s="198">
        <f>COUNTIFS(tbl_data[12. Consultation Group of],$D$2,tbl_data[2:T2B],$A84,tbl_data[T2],$D$3)</f>
        <v>0</v>
      </c>
      <c r="AN84" s="198">
        <f>COUNTIFS(tbl_data[12. Consultation Group of],$D$2,tbl_data[3:T2B],$A84,tbl_data[T2],$D$3)</f>
        <v>0</v>
      </c>
      <c r="AO84" s="198">
        <f>COUNTIFS(tbl_data[12. Consultation Group of],$D$2,tbl_data[1:T3B],$A84,tbl_data[T3],$D$3)</f>
        <v>0</v>
      </c>
      <c r="AP84" s="198">
        <f>COUNTIFS(tbl_data[12. Consultation Group of],$D$2,tbl_data[2:T3B],$A84,tbl_data[T3],$D$3)</f>
        <v>0</v>
      </c>
      <c r="AQ84" s="198">
        <f>COUNTIFS(tbl_data[12. Consultation Group of],$D$2,tbl_data[3:T3B],$A84,tbl_data[T3],$D$3)</f>
        <v>0</v>
      </c>
      <c r="AR84" s="198">
        <f t="shared" si="20"/>
        <v>0</v>
      </c>
      <c r="AS84" s="199" t="str">
        <f t="shared" si="21"/>
        <v>Deforestation (0)</v>
      </c>
      <c r="AT84" s="205">
        <f>COUNTIFS(tbl_data[12. Consultation Group of],$E$2,tbl_data[1:T1B],$A84,tbl_data[T1],$E$3)</f>
        <v>0</v>
      </c>
      <c r="AU84" s="198">
        <f>COUNTIFS(tbl_data[12. Consultation Group of],$E$2,tbl_data[2:T1B],$A84,tbl_data[T1],$E$3)</f>
        <v>0</v>
      </c>
      <c r="AV84" s="198">
        <f>COUNTIFS(tbl_data[12. Consultation Group of],$E$2,tbl_data[3:T1B],$A84,tbl_data[T1],$E$3)</f>
        <v>0</v>
      </c>
      <c r="AW84" s="198">
        <f>COUNTIFS(tbl_data[12. Consultation Group of],$E$2,tbl_data[1:T2B],$A84,tbl_data[T2],$E$3)</f>
        <v>0</v>
      </c>
      <c r="AX84" s="198">
        <f>COUNTIFS(tbl_data[12. Consultation Group of],$E$2,tbl_data[2:T2B],$A84,tbl_data[T2],$E$3)</f>
        <v>0</v>
      </c>
      <c r="AY84" s="198">
        <f>COUNTIFS(tbl_data[12. Consultation Group of],$E$2,tbl_data[3:T2B],$A84,tbl_data[T2],$E$3)</f>
        <v>0</v>
      </c>
      <c r="AZ84" s="198">
        <f>COUNTIFS(tbl_data[12. Consultation Group of],$E$2,tbl_data[1:T3B],$A84,tbl_data[T3],$E$3)</f>
        <v>0</v>
      </c>
      <c r="BA84" s="198">
        <f>COUNTIFS(tbl_data[12. Consultation Group of],$E$2,tbl_data[2:T3B],$A84,tbl_data[T3],$E$3)</f>
        <v>0</v>
      </c>
      <c r="BB84" s="198">
        <f>COUNTIFS(tbl_data[12. Consultation Group of],$E$2,tbl_data[3:T3B],$A84,tbl_data[T3],$E$3)</f>
        <v>0</v>
      </c>
      <c r="BC84" s="198">
        <f t="shared" si="22"/>
        <v>0</v>
      </c>
      <c r="BD84" s="199" t="str">
        <f t="shared" si="23"/>
        <v>Deforestation (0)</v>
      </c>
      <c r="BE84" s="205">
        <f>COUNTIFS(tbl_data[1:T1B],$A84,tbl_data[T1],$F$3)</f>
        <v>0</v>
      </c>
      <c r="BF84" s="198">
        <f>COUNTIFS(tbl_data[2:T1B],$A84,tbl_data[T1],$F$3)</f>
        <v>0</v>
      </c>
      <c r="BG84" s="198">
        <f>COUNTIFS(tbl_data[3:T1B],$A84,tbl_data[T1],$F$3)</f>
        <v>0</v>
      </c>
      <c r="BH84" s="198">
        <f>COUNTIFS(tbl_data[1:T2B],$A84,tbl_data[T2],$F$3)</f>
        <v>0</v>
      </c>
      <c r="BI84" s="198">
        <f>COUNTIFS(tbl_data[2:T2B],$A84,tbl_data[T2],$F$3)</f>
        <v>0</v>
      </c>
      <c r="BJ84" s="198">
        <f>COUNTIFS(tbl_data[3:T2B],$A84,tbl_data[T2],$F$3)</f>
        <v>0</v>
      </c>
      <c r="BK84" s="198">
        <f>COUNTIFS(tbl_data[1:T3B],$A84,tbl_data[T3],$F$3)</f>
        <v>0</v>
      </c>
      <c r="BL84" s="198">
        <f>COUNTIFS(tbl_data[2:T3B],$A84,tbl_data[T3],$F$3)</f>
        <v>0</v>
      </c>
      <c r="BM84" s="198">
        <f>COUNTIFS(tbl_data[3:T3B],$A84,tbl_data[T3],$F$3)</f>
        <v>0</v>
      </c>
      <c r="BN84" s="198">
        <f t="shared" si="24"/>
        <v>0</v>
      </c>
      <c r="BO84" s="199" t="str">
        <f t="shared" si="25"/>
        <v>Deforestation (0)</v>
      </c>
      <c r="BQ84" t="str">
        <f t="shared" si="26"/>
        <v>Deforestation</v>
      </c>
      <c r="BR84">
        <f t="shared" si="27"/>
        <v>0</v>
      </c>
    </row>
    <row r="85" spans="1:74" x14ac:dyDescent="0.25">
      <c r="A85" s="215" t="s">
        <v>265</v>
      </c>
      <c r="B85" s="205">
        <f>COUNTIFS(tbl_data[12. Consultation Group of],$A$2,tbl_data[1:T1B],$A85,tbl_data[T1],$A$3)</f>
        <v>0</v>
      </c>
      <c r="C85" s="198">
        <f>COUNTIFS(tbl_data[12. Consultation Group of],$A$2,tbl_data[2:T1B],$A85,tbl_data[T1],$A$3)</f>
        <v>0</v>
      </c>
      <c r="D85" s="198">
        <f>COUNTIFS(tbl_data[12. Consultation Group of],$A$2,tbl_data[3:T1B],$A85,tbl_data[T1],$A$3)</f>
        <v>0</v>
      </c>
      <c r="E85" s="198">
        <f>COUNTIFS(tbl_data[12. Consultation Group of],$A$2,tbl_data[1:T2B],$A85,tbl_data[T2],$A$3)</f>
        <v>0</v>
      </c>
      <c r="F85" s="198">
        <f>COUNTIFS(tbl_data[12. Consultation Group of],$A$2,tbl_data[2:T2B],$A85,tbl_data[T2],$A$3)</f>
        <v>0</v>
      </c>
      <c r="G85" s="198">
        <f>COUNTIFS(tbl_data[12. Consultation Group of],$A$2,tbl_data[3:T2B],$A85,tbl_data[T2],$A$3)</f>
        <v>0</v>
      </c>
      <c r="H85" s="198">
        <f>COUNTIFS(tbl_data[12. Consultation Group of],$A$2,tbl_data[1:T3B],$A85,tbl_data[T3],$A$3)</f>
        <v>0</v>
      </c>
      <c r="I85" s="198">
        <f>COUNTIFS(tbl_data[12. Consultation Group of],$A$2,tbl_data[2:T3B],$A85,tbl_data[T3],$A$3)</f>
        <v>0</v>
      </c>
      <c r="J85" s="198">
        <f>COUNTIFS(tbl_data[12. Consultation Group of],$A$2,tbl_data[3:T3B],$A85,tbl_data[T3],$A$3)</f>
        <v>0</v>
      </c>
      <c r="K85" s="198">
        <f t="shared" si="14"/>
        <v>0</v>
      </c>
      <c r="L85" s="199" t="str">
        <f t="shared" si="15"/>
        <v>Lack Of Community Commitment (0)</v>
      </c>
      <c r="M85" s="205">
        <f>COUNTIFS(tbl_data[12. Consultation Group of],$B$2,tbl_data[1:T1B],$A85,tbl_data[T1],$B$3)</f>
        <v>0</v>
      </c>
      <c r="N85" s="198">
        <f>COUNTIFS(tbl_data[12. Consultation Group of],$B$2,tbl_data[2:T1B],$A85,tbl_data[T1],$B$3)</f>
        <v>0</v>
      </c>
      <c r="O85" s="198">
        <f>COUNTIFS(tbl_data[12. Consultation Group of],$B$2,tbl_data[3:T1B],$A85,tbl_data[T1],$B$3)</f>
        <v>0</v>
      </c>
      <c r="P85" s="198">
        <f>COUNTIFS(tbl_data[12. Consultation Group of],$B$2,tbl_data[1:T2B],$A85,tbl_data[T2],$B$3)</f>
        <v>0</v>
      </c>
      <c r="Q85" s="198">
        <f>COUNTIFS(tbl_data[12. Consultation Group of],$B$2,tbl_data[2:T2B],$A85,tbl_data[T2],$B$3)</f>
        <v>0</v>
      </c>
      <c r="R85" s="198">
        <f>COUNTIFS(tbl_data[12. Consultation Group of],$B$2,tbl_data[3:T2B],$A85,tbl_data[T2],$B$3)</f>
        <v>0</v>
      </c>
      <c r="S85" s="198">
        <f>COUNTIFS(tbl_data[12. Consultation Group of],$B$2,tbl_data[1:T3B],$A85,tbl_data[T3],$B$3)</f>
        <v>0</v>
      </c>
      <c r="T85" s="198">
        <f>COUNTIFS(tbl_data[12. Consultation Group of],$B$2,tbl_data[2:T3B],$A85,tbl_data[T3],$B$3)</f>
        <v>1</v>
      </c>
      <c r="U85" s="198">
        <f>COUNTIFS(tbl_data[12. Consultation Group of],$B$2,tbl_data[3:T3B],$A85,tbl_data[T3],$B$3)</f>
        <v>0</v>
      </c>
      <c r="V85" s="198">
        <f t="shared" si="16"/>
        <v>1</v>
      </c>
      <c r="W85" s="199" t="str">
        <f t="shared" si="17"/>
        <v>Lack Of Community Commitment (1)</v>
      </c>
      <c r="X85" s="205">
        <f>COUNTIFS(tbl_data[12. Consultation Group of],$C$2,tbl_data[1:T1B],$A85,tbl_data[T1],$C$3)</f>
        <v>0</v>
      </c>
      <c r="Y85" s="198">
        <f>COUNTIFS(tbl_data[12. Consultation Group of],$C$2,tbl_data[2:T1B],$A85,tbl_data[T1],$C$3)</f>
        <v>0</v>
      </c>
      <c r="Z85" s="198">
        <f>COUNTIFS(tbl_data[12. Consultation Group of],$C$2,tbl_data[3:T1B],$A85,tbl_data[T1],$C$3)</f>
        <v>0</v>
      </c>
      <c r="AA85" s="198">
        <f>COUNTIFS(tbl_data[12. Consultation Group of],$C$2,tbl_data[1:T2B],$A85,tbl_data[T2],$C$3)</f>
        <v>0</v>
      </c>
      <c r="AB85" s="198">
        <f>COUNTIFS(tbl_data[12. Consultation Group of],$C$2,tbl_data[2:T2B],$A85,tbl_data[T2],$C$3)</f>
        <v>0</v>
      </c>
      <c r="AC85" s="198">
        <f>COUNTIFS(tbl_data[12. Consultation Group of],$C$2,tbl_data[3:T2B],$A85,tbl_data[T2],$C$3)</f>
        <v>0</v>
      </c>
      <c r="AD85" s="198">
        <f>COUNTIFS(tbl_data[12. Consultation Group of],$C$2,tbl_data[1:T3B],$A85,tbl_data[T3],$C$3)</f>
        <v>0</v>
      </c>
      <c r="AE85" s="198">
        <f>COUNTIFS(tbl_data[12. Consultation Group of],$C$2,tbl_data[2:T3B],$A85,tbl_data[T3],$C$3)</f>
        <v>0</v>
      </c>
      <c r="AF85" s="198">
        <f>COUNTIFS(tbl_data[12. Consultation Group of],$C$2,tbl_data[3:T3B],$A85,tbl_data[T3],$C$3)</f>
        <v>0</v>
      </c>
      <c r="AG85" s="198">
        <f t="shared" si="18"/>
        <v>0</v>
      </c>
      <c r="AH85" s="199" t="str">
        <f t="shared" si="19"/>
        <v>Lack Of Community Commitment (0)</v>
      </c>
      <c r="AI85" s="205">
        <f>COUNTIFS(tbl_data[12. Consultation Group of],$D$2,tbl_data[1:T1B],$A85,tbl_data[T1],$D$3)</f>
        <v>0</v>
      </c>
      <c r="AJ85" s="198">
        <f>COUNTIFS(tbl_data[12. Consultation Group of],$D$2,tbl_data[2:T1B],$A85,tbl_data[T1],$D$3)</f>
        <v>0</v>
      </c>
      <c r="AK85" s="198">
        <f>COUNTIFS(tbl_data[12. Consultation Group of],$D$2,tbl_data[3:T1B],$A85,tbl_data[T1],$D$3)</f>
        <v>0</v>
      </c>
      <c r="AL85" s="198">
        <f>COUNTIFS(tbl_data[12. Consultation Group of],$D$2,tbl_data[1:T2B],$A85,tbl_data[T2],$D$3)</f>
        <v>0</v>
      </c>
      <c r="AM85" s="198">
        <f>COUNTIFS(tbl_data[12. Consultation Group of],$D$2,tbl_data[2:T2B],$A85,tbl_data[T2],$D$3)</f>
        <v>0</v>
      </c>
      <c r="AN85" s="198">
        <f>COUNTIFS(tbl_data[12. Consultation Group of],$D$2,tbl_data[3:T2B],$A85,tbl_data[T2],$D$3)</f>
        <v>0</v>
      </c>
      <c r="AO85" s="198">
        <f>COUNTIFS(tbl_data[12. Consultation Group of],$D$2,tbl_data[1:T3B],$A85,tbl_data[T3],$D$3)</f>
        <v>0</v>
      </c>
      <c r="AP85" s="198">
        <f>COUNTIFS(tbl_data[12. Consultation Group of],$D$2,tbl_data[2:T3B],$A85,tbl_data[T3],$D$3)</f>
        <v>0</v>
      </c>
      <c r="AQ85" s="198">
        <f>COUNTIFS(tbl_data[12. Consultation Group of],$D$2,tbl_data[3:T3B],$A85,tbl_data[T3],$D$3)</f>
        <v>0</v>
      </c>
      <c r="AR85" s="198">
        <f t="shared" si="20"/>
        <v>0</v>
      </c>
      <c r="AS85" s="199" t="str">
        <f t="shared" si="21"/>
        <v>Lack Of Community Commitment (0)</v>
      </c>
      <c r="AT85" s="205">
        <f>COUNTIFS(tbl_data[12. Consultation Group of],$E$2,tbl_data[1:T1B],$A85,tbl_data[T1],$E$3)</f>
        <v>0</v>
      </c>
      <c r="AU85" s="198">
        <f>COUNTIFS(tbl_data[12. Consultation Group of],$E$2,tbl_data[2:T1B],$A85,tbl_data[T1],$E$3)</f>
        <v>0</v>
      </c>
      <c r="AV85" s="198">
        <f>COUNTIFS(tbl_data[12. Consultation Group of],$E$2,tbl_data[3:T1B],$A85,tbl_data[T1],$E$3)</f>
        <v>0</v>
      </c>
      <c r="AW85" s="198">
        <f>COUNTIFS(tbl_data[12. Consultation Group of],$E$2,tbl_data[1:T2B],$A85,tbl_data[T2],$E$3)</f>
        <v>0</v>
      </c>
      <c r="AX85" s="198">
        <f>COUNTIFS(tbl_data[12. Consultation Group of],$E$2,tbl_data[2:T2B],$A85,tbl_data[T2],$E$3)</f>
        <v>0</v>
      </c>
      <c r="AY85" s="198">
        <f>COUNTIFS(tbl_data[12. Consultation Group of],$E$2,tbl_data[3:T2B],$A85,tbl_data[T2],$E$3)</f>
        <v>0</v>
      </c>
      <c r="AZ85" s="198">
        <f>COUNTIFS(tbl_data[12. Consultation Group of],$E$2,tbl_data[1:T3B],$A85,tbl_data[T3],$E$3)</f>
        <v>0</v>
      </c>
      <c r="BA85" s="198">
        <f>COUNTIFS(tbl_data[12. Consultation Group of],$E$2,tbl_data[2:T3B],$A85,tbl_data[T3],$E$3)</f>
        <v>0</v>
      </c>
      <c r="BB85" s="198">
        <f>COUNTIFS(tbl_data[12. Consultation Group of],$E$2,tbl_data[3:T3B],$A85,tbl_data[T3],$E$3)</f>
        <v>0</v>
      </c>
      <c r="BC85" s="198">
        <f t="shared" si="22"/>
        <v>0</v>
      </c>
      <c r="BD85" s="199" t="str">
        <f t="shared" si="23"/>
        <v>Lack Of Community Commitment (0)</v>
      </c>
      <c r="BE85" s="205">
        <f>COUNTIFS(tbl_data[1:T1B],$A85,tbl_data[T1],$F$3)</f>
        <v>0</v>
      </c>
      <c r="BF85" s="198">
        <f>COUNTIFS(tbl_data[2:T1B],$A85,tbl_data[T1],$F$3)</f>
        <v>0</v>
      </c>
      <c r="BG85" s="198">
        <f>COUNTIFS(tbl_data[3:T1B],$A85,tbl_data[T1],$F$3)</f>
        <v>0</v>
      </c>
      <c r="BH85" s="198">
        <f>COUNTIFS(tbl_data[1:T2B],$A85,tbl_data[T2],$F$3)</f>
        <v>0</v>
      </c>
      <c r="BI85" s="198">
        <f>COUNTIFS(tbl_data[2:T2B],$A85,tbl_data[T2],$F$3)</f>
        <v>0</v>
      </c>
      <c r="BJ85" s="198">
        <f>COUNTIFS(tbl_data[3:T2B],$A85,tbl_data[T2],$F$3)</f>
        <v>0</v>
      </c>
      <c r="BK85" s="198">
        <f>COUNTIFS(tbl_data[1:T3B],$A85,tbl_data[T3],$F$3)</f>
        <v>0</v>
      </c>
      <c r="BL85" s="198">
        <f>COUNTIFS(tbl_data[2:T3B],$A85,tbl_data[T3],$F$3)</f>
        <v>0</v>
      </c>
      <c r="BM85" s="198">
        <f>COUNTIFS(tbl_data[3:T3B],$A85,tbl_data[T3],$F$3)</f>
        <v>0</v>
      </c>
      <c r="BN85" s="198">
        <f t="shared" si="24"/>
        <v>0</v>
      </c>
      <c r="BO85" s="199" t="str">
        <f t="shared" si="25"/>
        <v>Lack Of Community Commitment (0)</v>
      </c>
      <c r="BQ85" t="str">
        <f t="shared" si="26"/>
        <v>Lack Of Community Commitment</v>
      </c>
      <c r="BR85">
        <f t="shared" si="27"/>
        <v>1</v>
      </c>
      <c r="BS85" t="s">
        <v>942</v>
      </c>
      <c r="BT85" t="s">
        <v>925</v>
      </c>
      <c r="BU85" s="276" t="s">
        <v>925</v>
      </c>
      <c r="BV85" s="153" t="s">
        <v>932</v>
      </c>
    </row>
    <row r="86" spans="1:74" x14ac:dyDescent="0.25">
      <c r="A86" s="215" t="s">
        <v>326</v>
      </c>
      <c r="B86" s="205">
        <f>COUNTIFS(tbl_data[12. Consultation Group of],$A$2,tbl_data[1:T1B],$A86,tbl_data[T1],$A$3)</f>
        <v>0</v>
      </c>
      <c r="C86" s="198">
        <f>COUNTIFS(tbl_data[12. Consultation Group of],$A$2,tbl_data[2:T1B],$A86,tbl_data[T1],$A$3)</f>
        <v>0</v>
      </c>
      <c r="D86" s="198">
        <f>COUNTIFS(tbl_data[12. Consultation Group of],$A$2,tbl_data[3:T1B],$A86,tbl_data[T1],$A$3)</f>
        <v>0</v>
      </c>
      <c r="E86" s="198">
        <f>COUNTIFS(tbl_data[12. Consultation Group of],$A$2,tbl_data[1:T2B],$A86,tbl_data[T2],$A$3)</f>
        <v>0</v>
      </c>
      <c r="F86" s="198">
        <f>COUNTIFS(tbl_data[12. Consultation Group of],$A$2,tbl_data[2:T2B],$A86,tbl_data[T2],$A$3)</f>
        <v>0</v>
      </c>
      <c r="G86" s="198">
        <f>COUNTIFS(tbl_data[12. Consultation Group of],$A$2,tbl_data[3:T2B],$A86,tbl_data[T2],$A$3)</f>
        <v>0</v>
      </c>
      <c r="H86" s="198">
        <f>COUNTIFS(tbl_data[12. Consultation Group of],$A$2,tbl_data[1:T3B],$A86,tbl_data[T3],$A$3)</f>
        <v>0</v>
      </c>
      <c r="I86" s="198">
        <f>COUNTIFS(tbl_data[12. Consultation Group of],$A$2,tbl_data[2:T3B],$A86,tbl_data[T3],$A$3)</f>
        <v>0</v>
      </c>
      <c r="J86" s="198">
        <f>COUNTIFS(tbl_data[12. Consultation Group of],$A$2,tbl_data[3:T3B],$A86,tbl_data[T3],$A$3)</f>
        <v>0</v>
      </c>
      <c r="K86" s="198">
        <f t="shared" si="14"/>
        <v>0</v>
      </c>
      <c r="L86" s="199" t="str">
        <f t="shared" si="15"/>
        <v>Lack Of Accessibility (0)</v>
      </c>
      <c r="M86" s="205">
        <f>COUNTIFS(tbl_data[12. Consultation Group of],$B$2,tbl_data[1:T1B],$A86,tbl_data[T1],$B$3)</f>
        <v>1</v>
      </c>
      <c r="N86" s="198">
        <f>COUNTIFS(tbl_data[12. Consultation Group of],$B$2,tbl_data[2:T1B],$A86,tbl_data[T1],$B$3)</f>
        <v>0</v>
      </c>
      <c r="O86" s="198">
        <f>COUNTIFS(tbl_data[12. Consultation Group of],$B$2,tbl_data[3:T1B],$A86,tbl_data[T1],$B$3)</f>
        <v>1</v>
      </c>
      <c r="P86" s="198">
        <f>COUNTIFS(tbl_data[12. Consultation Group of],$B$2,tbl_data[1:T2B],$A86,tbl_data[T2],$B$3)</f>
        <v>0</v>
      </c>
      <c r="Q86" s="198">
        <f>COUNTIFS(tbl_data[12. Consultation Group of],$B$2,tbl_data[2:T2B],$A86,tbl_data[T2],$B$3)</f>
        <v>0</v>
      </c>
      <c r="R86" s="198">
        <f>COUNTIFS(tbl_data[12. Consultation Group of],$B$2,tbl_data[3:T2B],$A86,tbl_data[T2],$B$3)</f>
        <v>0</v>
      </c>
      <c r="S86" s="198">
        <f>COUNTIFS(tbl_data[12. Consultation Group of],$B$2,tbl_data[1:T3B],$A86,tbl_data[T3],$B$3)</f>
        <v>0</v>
      </c>
      <c r="T86" s="198">
        <f>COUNTIFS(tbl_data[12. Consultation Group of],$B$2,tbl_data[2:T3B],$A86,tbl_data[T3],$B$3)</f>
        <v>0</v>
      </c>
      <c r="U86" s="198">
        <f>COUNTIFS(tbl_data[12. Consultation Group of],$B$2,tbl_data[3:T3B],$A86,tbl_data[T3],$B$3)</f>
        <v>0</v>
      </c>
      <c r="V86" s="198">
        <f t="shared" si="16"/>
        <v>2</v>
      </c>
      <c r="W86" s="199" t="str">
        <f t="shared" si="17"/>
        <v>Lack Of Accessibility (2)</v>
      </c>
      <c r="X86" s="205">
        <f>COUNTIFS(tbl_data[12. Consultation Group of],$C$2,tbl_data[1:T1B],$A86,tbl_data[T1],$C$3)</f>
        <v>0</v>
      </c>
      <c r="Y86" s="198">
        <f>COUNTIFS(tbl_data[12. Consultation Group of],$C$2,tbl_data[2:T1B],$A86,tbl_data[T1],$C$3)</f>
        <v>0</v>
      </c>
      <c r="Z86" s="198">
        <f>COUNTIFS(tbl_data[12. Consultation Group of],$C$2,tbl_data[3:T1B],$A86,tbl_data[T1],$C$3)</f>
        <v>0</v>
      </c>
      <c r="AA86" s="198">
        <f>COUNTIFS(tbl_data[12. Consultation Group of],$C$2,tbl_data[1:T2B],$A86,tbl_data[T2],$C$3)</f>
        <v>0</v>
      </c>
      <c r="AB86" s="198">
        <f>COUNTIFS(tbl_data[12. Consultation Group of],$C$2,tbl_data[2:T2B],$A86,tbl_data[T2],$C$3)</f>
        <v>0</v>
      </c>
      <c r="AC86" s="198">
        <f>COUNTIFS(tbl_data[12. Consultation Group of],$C$2,tbl_data[3:T2B],$A86,tbl_data[T2],$C$3)</f>
        <v>0</v>
      </c>
      <c r="AD86" s="198">
        <f>COUNTIFS(tbl_data[12. Consultation Group of],$C$2,tbl_data[1:T3B],$A86,tbl_data[T3],$C$3)</f>
        <v>0</v>
      </c>
      <c r="AE86" s="198">
        <f>COUNTIFS(tbl_data[12. Consultation Group of],$C$2,tbl_data[2:T3B],$A86,tbl_data[T3],$C$3)</f>
        <v>0</v>
      </c>
      <c r="AF86" s="198">
        <f>COUNTIFS(tbl_data[12. Consultation Group of],$C$2,tbl_data[3:T3B],$A86,tbl_data[T3],$C$3)</f>
        <v>0</v>
      </c>
      <c r="AG86" s="198">
        <f t="shared" si="18"/>
        <v>0</v>
      </c>
      <c r="AH86" s="199" t="str">
        <f t="shared" si="19"/>
        <v>Lack Of Accessibility (0)</v>
      </c>
      <c r="AI86" s="205">
        <f>COUNTIFS(tbl_data[12. Consultation Group of],$D$2,tbl_data[1:T1B],$A86,tbl_data[T1],$D$3)</f>
        <v>1</v>
      </c>
      <c r="AJ86" s="198">
        <f>COUNTIFS(tbl_data[12. Consultation Group of],$D$2,tbl_data[2:T1B],$A86,tbl_data[T1],$D$3)</f>
        <v>0</v>
      </c>
      <c r="AK86" s="198">
        <f>COUNTIFS(tbl_data[12. Consultation Group of],$D$2,tbl_data[3:T1B],$A86,tbl_data[T1],$D$3)</f>
        <v>0</v>
      </c>
      <c r="AL86" s="198">
        <f>COUNTIFS(tbl_data[12. Consultation Group of],$D$2,tbl_data[1:T2B],$A86,tbl_data[T2],$D$3)</f>
        <v>0</v>
      </c>
      <c r="AM86" s="198">
        <f>COUNTIFS(tbl_data[12. Consultation Group of],$D$2,tbl_data[2:T2B],$A86,tbl_data[T2],$D$3)</f>
        <v>0</v>
      </c>
      <c r="AN86" s="198">
        <f>COUNTIFS(tbl_data[12. Consultation Group of],$D$2,tbl_data[3:T2B],$A86,tbl_data[T2],$D$3)</f>
        <v>0</v>
      </c>
      <c r="AO86" s="198">
        <f>COUNTIFS(tbl_data[12. Consultation Group of],$D$2,tbl_data[1:T3B],$A86,tbl_data[T3],$D$3)</f>
        <v>0</v>
      </c>
      <c r="AP86" s="198">
        <f>COUNTIFS(tbl_data[12. Consultation Group of],$D$2,tbl_data[2:T3B],$A86,tbl_data[T3],$D$3)</f>
        <v>0</v>
      </c>
      <c r="AQ86" s="198">
        <f>COUNTIFS(tbl_data[12. Consultation Group of],$D$2,tbl_data[3:T3B],$A86,tbl_data[T3],$D$3)</f>
        <v>0</v>
      </c>
      <c r="AR86" s="198">
        <f t="shared" si="20"/>
        <v>1</v>
      </c>
      <c r="AS86" s="199" t="str">
        <f t="shared" si="21"/>
        <v>Lack Of Accessibility (1)</v>
      </c>
      <c r="AT86" s="205">
        <f>COUNTIFS(tbl_data[12. Consultation Group of],$E$2,tbl_data[1:T1B],$A86,tbl_data[T1],$E$3)</f>
        <v>0</v>
      </c>
      <c r="AU86" s="198">
        <f>COUNTIFS(tbl_data[12. Consultation Group of],$E$2,tbl_data[2:T1B],$A86,tbl_data[T1],$E$3)</f>
        <v>0</v>
      </c>
      <c r="AV86" s="198">
        <f>COUNTIFS(tbl_data[12. Consultation Group of],$E$2,tbl_data[3:T1B],$A86,tbl_data[T1],$E$3)</f>
        <v>0</v>
      </c>
      <c r="AW86" s="198">
        <f>COUNTIFS(tbl_data[12. Consultation Group of],$E$2,tbl_data[1:T2B],$A86,tbl_data[T2],$E$3)</f>
        <v>0</v>
      </c>
      <c r="AX86" s="198">
        <f>COUNTIFS(tbl_data[12. Consultation Group of],$E$2,tbl_data[2:T2B],$A86,tbl_data[T2],$E$3)</f>
        <v>0</v>
      </c>
      <c r="AY86" s="198">
        <f>COUNTIFS(tbl_data[12. Consultation Group of],$E$2,tbl_data[3:T2B],$A86,tbl_data[T2],$E$3)</f>
        <v>0</v>
      </c>
      <c r="AZ86" s="198">
        <f>COUNTIFS(tbl_data[12. Consultation Group of],$E$2,tbl_data[1:T3B],$A86,tbl_data[T3],$E$3)</f>
        <v>0</v>
      </c>
      <c r="BA86" s="198">
        <f>COUNTIFS(tbl_data[12. Consultation Group of],$E$2,tbl_data[2:T3B],$A86,tbl_data[T3],$E$3)</f>
        <v>0</v>
      </c>
      <c r="BB86" s="198">
        <f>COUNTIFS(tbl_data[12. Consultation Group of],$E$2,tbl_data[3:T3B],$A86,tbl_data[T3],$E$3)</f>
        <v>0</v>
      </c>
      <c r="BC86" s="198">
        <f t="shared" si="22"/>
        <v>0</v>
      </c>
      <c r="BD86" s="199" t="str">
        <f t="shared" si="23"/>
        <v>Lack Of Accessibility (0)</v>
      </c>
      <c r="BE86" s="205">
        <f>COUNTIFS(tbl_data[1:T1B],$A86,tbl_data[T1],$F$3)</f>
        <v>1</v>
      </c>
      <c r="BF86" s="198">
        <f>COUNTIFS(tbl_data[2:T1B],$A86,tbl_data[T1],$F$3)</f>
        <v>0</v>
      </c>
      <c r="BG86" s="198">
        <f>COUNTIFS(tbl_data[3:T1B],$A86,tbl_data[T1],$F$3)</f>
        <v>0</v>
      </c>
      <c r="BH86" s="198">
        <f>COUNTIFS(tbl_data[1:T2B],$A86,tbl_data[T2],$F$3)</f>
        <v>0</v>
      </c>
      <c r="BI86" s="198">
        <f>COUNTIFS(tbl_data[2:T2B],$A86,tbl_data[T2],$F$3)</f>
        <v>0</v>
      </c>
      <c r="BJ86" s="198">
        <f>COUNTIFS(tbl_data[3:T2B],$A86,tbl_data[T2],$F$3)</f>
        <v>0</v>
      </c>
      <c r="BK86" s="198">
        <f>COUNTIFS(tbl_data[1:T3B],$A86,tbl_data[T3],$F$3)</f>
        <v>0</v>
      </c>
      <c r="BL86" s="198">
        <f>COUNTIFS(tbl_data[2:T3B],$A86,tbl_data[T3],$F$3)</f>
        <v>0</v>
      </c>
      <c r="BM86" s="198">
        <f>COUNTIFS(tbl_data[3:T3B],$A86,tbl_data[T3],$F$3)</f>
        <v>0</v>
      </c>
      <c r="BN86" s="198">
        <f t="shared" si="24"/>
        <v>1</v>
      </c>
      <c r="BO86" s="199" t="str">
        <f t="shared" si="25"/>
        <v>Lack Of Accessibility (1)</v>
      </c>
      <c r="BQ86" t="str">
        <f t="shared" si="26"/>
        <v>Lack Of Accessibility</v>
      </c>
      <c r="BR86">
        <f t="shared" si="27"/>
        <v>4</v>
      </c>
      <c r="BS86" t="s">
        <v>943</v>
      </c>
      <c r="BT86" t="s">
        <v>926</v>
      </c>
      <c r="BU86" s="277" t="s">
        <v>934</v>
      </c>
      <c r="BV86" s="153" t="s">
        <v>935</v>
      </c>
    </row>
    <row r="87" spans="1:74" x14ac:dyDescent="0.25">
      <c r="A87" s="215" t="s">
        <v>209</v>
      </c>
      <c r="B87" s="205">
        <f>COUNTIFS(tbl_data[12. Consultation Group of],$A$2,tbl_data[1:T1B],$A87,tbl_data[T1],$A$3)</f>
        <v>0</v>
      </c>
      <c r="C87" s="198">
        <f>COUNTIFS(tbl_data[12. Consultation Group of],$A$2,tbl_data[2:T1B],$A87,tbl_data[T1],$A$3)</f>
        <v>0</v>
      </c>
      <c r="D87" s="198">
        <f>COUNTIFS(tbl_data[12. Consultation Group of],$A$2,tbl_data[3:T1B],$A87,tbl_data[T1],$A$3)</f>
        <v>0</v>
      </c>
      <c r="E87" s="198">
        <f>COUNTIFS(tbl_data[12. Consultation Group of],$A$2,tbl_data[1:T2B],$A87,tbl_data[T2],$A$3)</f>
        <v>0</v>
      </c>
      <c r="F87" s="198">
        <f>COUNTIFS(tbl_data[12. Consultation Group of],$A$2,tbl_data[2:T2B],$A87,tbl_data[T2],$A$3)</f>
        <v>0</v>
      </c>
      <c r="G87" s="198">
        <f>COUNTIFS(tbl_data[12. Consultation Group of],$A$2,tbl_data[3:T2B],$A87,tbl_data[T2],$A$3)</f>
        <v>0</v>
      </c>
      <c r="H87" s="198">
        <f>COUNTIFS(tbl_data[12. Consultation Group of],$A$2,tbl_data[1:T3B],$A87,tbl_data[T3],$A$3)</f>
        <v>0</v>
      </c>
      <c r="I87" s="198">
        <f>COUNTIFS(tbl_data[12. Consultation Group of],$A$2,tbl_data[2:T3B],$A87,tbl_data[T3],$A$3)</f>
        <v>0</v>
      </c>
      <c r="J87" s="198">
        <f>COUNTIFS(tbl_data[12. Consultation Group of],$A$2,tbl_data[3:T3B],$A87,tbl_data[T3],$A$3)</f>
        <v>0</v>
      </c>
      <c r="K87" s="198">
        <f t="shared" si="14"/>
        <v>0</v>
      </c>
      <c r="L87" s="199" t="str">
        <f t="shared" si="15"/>
        <v>Lack Of Resources (0)</v>
      </c>
      <c r="M87" s="205">
        <f>COUNTIFS(tbl_data[12. Consultation Group of],$B$2,tbl_data[1:T1B],$A87,tbl_data[T1],$B$3)</f>
        <v>0</v>
      </c>
      <c r="N87" s="198">
        <f>COUNTIFS(tbl_data[12. Consultation Group of],$B$2,tbl_data[2:T1B],$A87,tbl_data[T1],$B$3)</f>
        <v>0</v>
      </c>
      <c r="O87" s="198">
        <f>COUNTIFS(tbl_data[12. Consultation Group of],$B$2,tbl_data[3:T1B],$A87,tbl_data[T1],$B$3)</f>
        <v>0</v>
      </c>
      <c r="P87" s="198">
        <f>COUNTIFS(tbl_data[12. Consultation Group of],$B$2,tbl_data[1:T2B],$A87,tbl_data[T2],$B$3)</f>
        <v>0</v>
      </c>
      <c r="Q87" s="198">
        <f>COUNTIFS(tbl_data[12. Consultation Group of],$B$2,tbl_data[2:T2B],$A87,tbl_data[T2],$B$3)</f>
        <v>0</v>
      </c>
      <c r="R87" s="198">
        <f>COUNTIFS(tbl_data[12. Consultation Group of],$B$2,tbl_data[3:T2B],$A87,tbl_data[T2],$B$3)</f>
        <v>0</v>
      </c>
      <c r="S87" s="198">
        <f>COUNTIFS(tbl_data[12. Consultation Group of],$B$2,tbl_data[1:T3B],$A87,tbl_data[T3],$B$3)</f>
        <v>0</v>
      </c>
      <c r="T87" s="198">
        <f>COUNTIFS(tbl_data[12. Consultation Group of],$B$2,tbl_data[2:T3B],$A87,tbl_data[T3],$B$3)</f>
        <v>0</v>
      </c>
      <c r="U87" s="198">
        <f>COUNTIFS(tbl_data[12. Consultation Group of],$B$2,tbl_data[3:T3B],$A87,tbl_data[T3],$B$3)</f>
        <v>0</v>
      </c>
      <c r="V87" s="198">
        <f t="shared" si="16"/>
        <v>0</v>
      </c>
      <c r="W87" s="199" t="str">
        <f t="shared" si="17"/>
        <v>Lack Of Resources (0)</v>
      </c>
      <c r="X87" s="205">
        <f>COUNTIFS(tbl_data[12. Consultation Group of],$C$2,tbl_data[1:T1B],$A87,tbl_data[T1],$C$3)</f>
        <v>1</v>
      </c>
      <c r="Y87" s="198">
        <f>COUNTIFS(tbl_data[12. Consultation Group of],$C$2,tbl_data[2:T1B],$A87,tbl_data[T1],$C$3)</f>
        <v>0</v>
      </c>
      <c r="Z87" s="198">
        <f>COUNTIFS(tbl_data[12. Consultation Group of],$C$2,tbl_data[3:T1B],$A87,tbl_data[T1],$C$3)</f>
        <v>0</v>
      </c>
      <c r="AA87" s="198">
        <f>COUNTIFS(tbl_data[12. Consultation Group of],$C$2,tbl_data[1:T2B],$A87,tbl_data[T2],$C$3)</f>
        <v>0</v>
      </c>
      <c r="AB87" s="198">
        <f>COUNTIFS(tbl_data[12. Consultation Group of],$C$2,tbl_data[2:T2B],$A87,tbl_data[T2],$C$3)</f>
        <v>0</v>
      </c>
      <c r="AC87" s="198">
        <f>COUNTIFS(tbl_data[12. Consultation Group of],$C$2,tbl_data[3:T2B],$A87,tbl_data[T2],$C$3)</f>
        <v>0</v>
      </c>
      <c r="AD87" s="198">
        <f>COUNTIFS(tbl_data[12. Consultation Group of],$C$2,tbl_data[1:T3B],$A87,tbl_data[T3],$C$3)</f>
        <v>0</v>
      </c>
      <c r="AE87" s="198">
        <f>COUNTIFS(tbl_data[12. Consultation Group of],$C$2,tbl_data[2:T3B],$A87,tbl_data[T3],$C$3)</f>
        <v>0</v>
      </c>
      <c r="AF87" s="198">
        <f>COUNTIFS(tbl_data[12. Consultation Group of],$C$2,tbl_data[3:T3B],$A87,tbl_data[T3],$C$3)</f>
        <v>0</v>
      </c>
      <c r="AG87" s="198">
        <f t="shared" si="18"/>
        <v>1</v>
      </c>
      <c r="AH87" s="199" t="str">
        <f t="shared" si="19"/>
        <v>Lack Of Resources (1)</v>
      </c>
      <c r="AI87" s="205">
        <f>COUNTIFS(tbl_data[12. Consultation Group of],$D$2,tbl_data[1:T1B],$A87,tbl_data[T1],$D$3)</f>
        <v>2</v>
      </c>
      <c r="AJ87" s="198">
        <f>COUNTIFS(tbl_data[12. Consultation Group of],$D$2,tbl_data[2:T1B],$A87,tbl_data[T1],$D$3)</f>
        <v>0</v>
      </c>
      <c r="AK87" s="198">
        <f>COUNTIFS(tbl_data[12. Consultation Group of],$D$2,tbl_data[3:T1B],$A87,tbl_data[T1],$D$3)</f>
        <v>0</v>
      </c>
      <c r="AL87" s="198">
        <f>COUNTIFS(tbl_data[12. Consultation Group of],$D$2,tbl_data[1:T2B],$A87,tbl_data[T2],$D$3)</f>
        <v>0</v>
      </c>
      <c r="AM87" s="198">
        <f>COUNTIFS(tbl_data[12. Consultation Group of],$D$2,tbl_data[2:T2B],$A87,tbl_data[T2],$D$3)</f>
        <v>0</v>
      </c>
      <c r="AN87" s="198">
        <f>COUNTIFS(tbl_data[12. Consultation Group of],$D$2,tbl_data[3:T2B],$A87,tbl_data[T2],$D$3)</f>
        <v>0</v>
      </c>
      <c r="AO87" s="198">
        <f>COUNTIFS(tbl_data[12. Consultation Group of],$D$2,tbl_data[1:T3B],$A87,tbl_data[T3],$D$3)</f>
        <v>0</v>
      </c>
      <c r="AP87" s="198">
        <f>COUNTIFS(tbl_data[12. Consultation Group of],$D$2,tbl_data[2:T3B],$A87,tbl_data[T3],$D$3)</f>
        <v>0</v>
      </c>
      <c r="AQ87" s="198">
        <f>COUNTIFS(tbl_data[12. Consultation Group of],$D$2,tbl_data[3:T3B],$A87,tbl_data[T3],$D$3)</f>
        <v>0</v>
      </c>
      <c r="AR87" s="198">
        <f t="shared" si="20"/>
        <v>2</v>
      </c>
      <c r="AS87" s="199" t="str">
        <f t="shared" si="21"/>
        <v>Lack Of Resources (2)</v>
      </c>
      <c r="AT87" s="205">
        <f>COUNTIFS(tbl_data[12. Consultation Group of],$E$2,tbl_data[1:T1B],$A87,tbl_data[T1],$E$3)</f>
        <v>2</v>
      </c>
      <c r="AU87" s="198">
        <f>COUNTIFS(tbl_data[12. Consultation Group of],$E$2,tbl_data[2:T1B],$A87,tbl_data[T1],$E$3)</f>
        <v>0</v>
      </c>
      <c r="AV87" s="198">
        <f>COUNTIFS(tbl_data[12. Consultation Group of],$E$2,tbl_data[3:T1B],$A87,tbl_data[T1],$E$3)</f>
        <v>0</v>
      </c>
      <c r="AW87" s="198">
        <f>COUNTIFS(tbl_data[12. Consultation Group of],$E$2,tbl_data[1:T2B],$A87,tbl_data[T2],$E$3)</f>
        <v>0</v>
      </c>
      <c r="AX87" s="198">
        <f>COUNTIFS(tbl_data[12. Consultation Group of],$E$2,tbl_data[2:T2B],$A87,tbl_data[T2],$E$3)</f>
        <v>0</v>
      </c>
      <c r="AY87" s="198">
        <f>COUNTIFS(tbl_data[12. Consultation Group of],$E$2,tbl_data[3:T2B],$A87,tbl_data[T2],$E$3)</f>
        <v>0</v>
      </c>
      <c r="AZ87" s="198">
        <f>COUNTIFS(tbl_data[12. Consultation Group of],$E$2,tbl_data[1:T3B],$A87,tbl_data[T3],$E$3)</f>
        <v>0</v>
      </c>
      <c r="BA87" s="198">
        <f>COUNTIFS(tbl_data[12. Consultation Group of],$E$2,tbl_data[2:T3B],$A87,tbl_data[T3],$E$3)</f>
        <v>1</v>
      </c>
      <c r="BB87" s="198">
        <f>COUNTIFS(tbl_data[12. Consultation Group of],$E$2,tbl_data[3:T3B],$A87,tbl_data[T3],$E$3)</f>
        <v>0</v>
      </c>
      <c r="BC87" s="198">
        <f t="shared" si="22"/>
        <v>3</v>
      </c>
      <c r="BD87" s="199" t="str">
        <f t="shared" si="23"/>
        <v>Lack Of Resources (3)</v>
      </c>
      <c r="BE87" s="205">
        <f>COUNTIFS(tbl_data[1:T1B],$A87,tbl_data[T1],$F$3)</f>
        <v>4</v>
      </c>
      <c r="BF87" s="198">
        <f>COUNTIFS(tbl_data[2:T1B],$A87,tbl_data[T1],$F$3)</f>
        <v>0</v>
      </c>
      <c r="BG87" s="198">
        <f>COUNTIFS(tbl_data[3:T1B],$A87,tbl_data[T1],$F$3)</f>
        <v>0</v>
      </c>
      <c r="BH87" s="198">
        <f>COUNTIFS(tbl_data[1:T2B],$A87,tbl_data[T2],$F$3)</f>
        <v>0</v>
      </c>
      <c r="BI87" s="198">
        <f>COUNTIFS(tbl_data[2:T2B],$A87,tbl_data[T2],$F$3)</f>
        <v>0</v>
      </c>
      <c r="BJ87" s="198">
        <f>COUNTIFS(tbl_data[3:T2B],$A87,tbl_data[T2],$F$3)</f>
        <v>0</v>
      </c>
      <c r="BK87" s="198">
        <f>COUNTIFS(tbl_data[1:T3B],$A87,tbl_data[T3],$F$3)</f>
        <v>0</v>
      </c>
      <c r="BL87" s="198">
        <f>COUNTIFS(tbl_data[2:T3B],$A87,tbl_data[T3],$F$3)</f>
        <v>0</v>
      </c>
      <c r="BM87" s="198">
        <f>COUNTIFS(tbl_data[3:T3B],$A87,tbl_data[T3],$F$3)</f>
        <v>0</v>
      </c>
      <c r="BN87" s="198">
        <f t="shared" si="24"/>
        <v>4</v>
      </c>
      <c r="BO87" s="199" t="str">
        <f t="shared" si="25"/>
        <v>Lack Of Resources (4)</v>
      </c>
      <c r="BQ87" t="str">
        <f t="shared" si="26"/>
        <v>Lack Of Resources</v>
      </c>
      <c r="BR87">
        <f t="shared" si="27"/>
        <v>10</v>
      </c>
      <c r="BS87" t="s">
        <v>943</v>
      </c>
      <c r="BT87" t="s">
        <v>926</v>
      </c>
      <c r="BU87" s="277" t="s">
        <v>936</v>
      </c>
      <c r="BV87" s="153" t="s">
        <v>935</v>
      </c>
    </row>
    <row r="88" spans="1:74" x14ac:dyDescent="0.25">
      <c r="A88" s="215" t="s">
        <v>452</v>
      </c>
      <c r="B88" s="205">
        <f>COUNTIFS(tbl_data[12. Consultation Group of],$A$2,tbl_data[1:T1B],$A88,tbl_data[T1],$A$3)</f>
        <v>0</v>
      </c>
      <c r="C88" s="198">
        <f>COUNTIFS(tbl_data[12. Consultation Group of],$A$2,tbl_data[2:T1B],$A88,tbl_data[T1],$A$3)</f>
        <v>0</v>
      </c>
      <c r="D88" s="198">
        <f>COUNTIFS(tbl_data[12. Consultation Group of],$A$2,tbl_data[3:T1B],$A88,tbl_data[T1],$A$3)</f>
        <v>0</v>
      </c>
      <c r="E88" s="198">
        <f>COUNTIFS(tbl_data[12. Consultation Group of],$A$2,tbl_data[1:T2B],$A88,tbl_data[T2],$A$3)</f>
        <v>0</v>
      </c>
      <c r="F88" s="198">
        <f>COUNTIFS(tbl_data[12. Consultation Group of],$A$2,tbl_data[2:T2B],$A88,tbl_data[T2],$A$3)</f>
        <v>0</v>
      </c>
      <c r="G88" s="198">
        <f>COUNTIFS(tbl_data[12. Consultation Group of],$A$2,tbl_data[3:T2B],$A88,tbl_data[T2],$A$3)</f>
        <v>0</v>
      </c>
      <c r="H88" s="198">
        <f>COUNTIFS(tbl_data[12. Consultation Group of],$A$2,tbl_data[1:T3B],$A88,tbl_data[T3],$A$3)</f>
        <v>0</v>
      </c>
      <c r="I88" s="198">
        <f>COUNTIFS(tbl_data[12. Consultation Group of],$A$2,tbl_data[2:T3B],$A88,tbl_data[T3],$A$3)</f>
        <v>0</v>
      </c>
      <c r="J88" s="198">
        <f>COUNTIFS(tbl_data[12. Consultation Group of],$A$2,tbl_data[3:T3B],$A88,tbl_data[T3],$A$3)</f>
        <v>0</v>
      </c>
      <c r="K88" s="198">
        <f t="shared" si="14"/>
        <v>0</v>
      </c>
      <c r="L88" s="199" t="str">
        <f t="shared" si="15"/>
        <v>Lack Of Transport (0)</v>
      </c>
      <c r="M88" s="205">
        <f>COUNTIFS(tbl_data[12. Consultation Group of],$B$2,tbl_data[1:T1B],$A88,tbl_data[T1],$B$3)</f>
        <v>0</v>
      </c>
      <c r="N88" s="198">
        <f>COUNTIFS(tbl_data[12. Consultation Group of],$B$2,tbl_data[2:T1B],$A88,tbl_data[T1],$B$3)</f>
        <v>0</v>
      </c>
      <c r="O88" s="198">
        <f>COUNTIFS(tbl_data[12. Consultation Group of],$B$2,tbl_data[3:T1B],$A88,tbl_data[T1],$B$3)</f>
        <v>0</v>
      </c>
      <c r="P88" s="198">
        <f>COUNTIFS(tbl_data[12. Consultation Group of],$B$2,tbl_data[1:T2B],$A88,tbl_data[T2],$B$3)</f>
        <v>0</v>
      </c>
      <c r="Q88" s="198">
        <f>COUNTIFS(tbl_data[12. Consultation Group of],$B$2,tbl_data[2:T2B],$A88,tbl_data[T2],$B$3)</f>
        <v>0</v>
      </c>
      <c r="R88" s="198">
        <f>COUNTIFS(tbl_data[12. Consultation Group of],$B$2,tbl_data[3:T2B],$A88,tbl_data[T2],$B$3)</f>
        <v>0</v>
      </c>
      <c r="S88" s="198">
        <f>COUNTIFS(tbl_data[12. Consultation Group of],$B$2,tbl_data[1:T3B],$A88,tbl_data[T3],$B$3)</f>
        <v>0</v>
      </c>
      <c r="T88" s="198">
        <f>COUNTIFS(tbl_data[12. Consultation Group of],$B$2,tbl_data[2:T3B],$A88,tbl_data[T3],$B$3)</f>
        <v>0</v>
      </c>
      <c r="U88" s="198">
        <f>COUNTIFS(tbl_data[12. Consultation Group of],$B$2,tbl_data[3:T3B],$A88,tbl_data[T3],$B$3)</f>
        <v>0</v>
      </c>
      <c r="V88" s="198">
        <f t="shared" si="16"/>
        <v>0</v>
      </c>
      <c r="W88" s="199" t="str">
        <f t="shared" si="17"/>
        <v>Lack Of Transport (0)</v>
      </c>
      <c r="X88" s="205">
        <f>COUNTIFS(tbl_data[12. Consultation Group of],$C$2,tbl_data[1:T1B],$A88,tbl_data[T1],$C$3)</f>
        <v>0</v>
      </c>
      <c r="Y88" s="198">
        <f>COUNTIFS(tbl_data[12. Consultation Group of],$C$2,tbl_data[2:T1B],$A88,tbl_data[T1],$C$3)</f>
        <v>0</v>
      </c>
      <c r="Z88" s="198">
        <f>COUNTIFS(tbl_data[12. Consultation Group of],$C$2,tbl_data[3:T1B],$A88,tbl_data[T1],$C$3)</f>
        <v>0</v>
      </c>
      <c r="AA88" s="198">
        <f>COUNTIFS(tbl_data[12. Consultation Group of],$C$2,tbl_data[1:T2B],$A88,tbl_data[T2],$C$3)</f>
        <v>0</v>
      </c>
      <c r="AB88" s="198">
        <f>COUNTIFS(tbl_data[12. Consultation Group of],$C$2,tbl_data[2:T2B],$A88,tbl_data[T2],$C$3)</f>
        <v>0</v>
      </c>
      <c r="AC88" s="198">
        <f>COUNTIFS(tbl_data[12. Consultation Group of],$C$2,tbl_data[3:T2B],$A88,tbl_data[T2],$C$3)</f>
        <v>0</v>
      </c>
      <c r="AD88" s="198">
        <f>COUNTIFS(tbl_data[12. Consultation Group of],$C$2,tbl_data[1:T3B],$A88,tbl_data[T3],$C$3)</f>
        <v>0</v>
      </c>
      <c r="AE88" s="198">
        <f>COUNTIFS(tbl_data[12. Consultation Group of],$C$2,tbl_data[2:T3B],$A88,tbl_data[T3],$C$3)</f>
        <v>0</v>
      </c>
      <c r="AF88" s="198">
        <f>COUNTIFS(tbl_data[12. Consultation Group of],$C$2,tbl_data[3:T3B],$A88,tbl_data[T3],$C$3)</f>
        <v>0</v>
      </c>
      <c r="AG88" s="198">
        <f t="shared" si="18"/>
        <v>0</v>
      </c>
      <c r="AH88" s="199" t="str">
        <f t="shared" si="19"/>
        <v>Lack Of Transport (0)</v>
      </c>
      <c r="AI88" s="205">
        <f>COUNTIFS(tbl_data[12. Consultation Group of],$D$2,tbl_data[1:T1B],$A88,tbl_data[T1],$D$3)</f>
        <v>0</v>
      </c>
      <c r="AJ88" s="198">
        <f>COUNTIFS(tbl_data[12. Consultation Group of],$D$2,tbl_data[2:T1B],$A88,tbl_data[T1],$D$3)</f>
        <v>0</v>
      </c>
      <c r="AK88" s="198">
        <f>COUNTIFS(tbl_data[12. Consultation Group of],$D$2,tbl_data[3:T1B],$A88,tbl_data[T1],$D$3)</f>
        <v>0</v>
      </c>
      <c r="AL88" s="198">
        <f>COUNTIFS(tbl_data[12. Consultation Group of],$D$2,tbl_data[1:T2B],$A88,tbl_data[T2],$D$3)</f>
        <v>0</v>
      </c>
      <c r="AM88" s="198">
        <f>COUNTIFS(tbl_data[12. Consultation Group of],$D$2,tbl_data[2:T2B],$A88,tbl_data[T2],$D$3)</f>
        <v>0</v>
      </c>
      <c r="AN88" s="198">
        <f>COUNTIFS(tbl_data[12. Consultation Group of],$D$2,tbl_data[3:T2B],$A88,tbl_data[T2],$D$3)</f>
        <v>0</v>
      </c>
      <c r="AO88" s="198">
        <f>COUNTIFS(tbl_data[12. Consultation Group of],$D$2,tbl_data[1:T3B],$A88,tbl_data[T3],$D$3)</f>
        <v>0</v>
      </c>
      <c r="AP88" s="198">
        <f>COUNTIFS(tbl_data[12. Consultation Group of],$D$2,tbl_data[2:T3B],$A88,tbl_data[T3],$D$3)</f>
        <v>0</v>
      </c>
      <c r="AQ88" s="198">
        <f>COUNTIFS(tbl_data[12. Consultation Group of],$D$2,tbl_data[3:T3B],$A88,tbl_data[T3],$D$3)</f>
        <v>0</v>
      </c>
      <c r="AR88" s="198">
        <f t="shared" si="20"/>
        <v>0</v>
      </c>
      <c r="AS88" s="199" t="str">
        <f t="shared" si="21"/>
        <v>Lack Of Transport (0)</v>
      </c>
      <c r="AT88" s="205">
        <f>COUNTIFS(tbl_data[12. Consultation Group of],$E$2,tbl_data[1:T1B],$A88,tbl_data[T1],$E$3)</f>
        <v>0</v>
      </c>
      <c r="AU88" s="198">
        <f>COUNTIFS(tbl_data[12. Consultation Group of],$E$2,tbl_data[2:T1B],$A88,tbl_data[T1],$E$3)</f>
        <v>0</v>
      </c>
      <c r="AV88" s="198">
        <f>COUNTIFS(tbl_data[12. Consultation Group of],$E$2,tbl_data[3:T1B],$A88,tbl_data[T1],$E$3)</f>
        <v>0</v>
      </c>
      <c r="AW88" s="198">
        <f>COUNTIFS(tbl_data[12. Consultation Group of],$E$2,tbl_data[1:T2B],$A88,tbl_data[T2],$E$3)</f>
        <v>0</v>
      </c>
      <c r="AX88" s="198">
        <f>COUNTIFS(tbl_data[12. Consultation Group of],$E$2,tbl_data[2:T2B],$A88,tbl_data[T2],$E$3)</f>
        <v>0</v>
      </c>
      <c r="AY88" s="198">
        <f>COUNTIFS(tbl_data[12. Consultation Group of],$E$2,tbl_data[3:T2B],$A88,tbl_data[T2],$E$3)</f>
        <v>0</v>
      </c>
      <c r="AZ88" s="198">
        <f>COUNTIFS(tbl_data[12. Consultation Group of],$E$2,tbl_data[1:T3B],$A88,tbl_data[T3],$E$3)</f>
        <v>0</v>
      </c>
      <c r="BA88" s="198">
        <f>COUNTIFS(tbl_data[12. Consultation Group of],$E$2,tbl_data[2:T3B],$A88,tbl_data[T3],$E$3)</f>
        <v>0</v>
      </c>
      <c r="BB88" s="198">
        <f>COUNTIFS(tbl_data[12. Consultation Group of],$E$2,tbl_data[3:T3B],$A88,tbl_data[T3],$E$3)</f>
        <v>0</v>
      </c>
      <c r="BC88" s="198">
        <f t="shared" si="22"/>
        <v>0</v>
      </c>
      <c r="BD88" s="199" t="str">
        <f t="shared" si="23"/>
        <v>Lack Of Transport (0)</v>
      </c>
      <c r="BE88" s="205">
        <f>COUNTIFS(tbl_data[1:T1B],$A88,tbl_data[T1],$F$3)</f>
        <v>0</v>
      </c>
      <c r="BF88" s="198">
        <f>COUNTIFS(tbl_data[2:T1B],$A88,tbl_data[T1],$F$3)</f>
        <v>0</v>
      </c>
      <c r="BG88" s="198">
        <f>COUNTIFS(tbl_data[3:T1B],$A88,tbl_data[T1],$F$3)</f>
        <v>0</v>
      </c>
      <c r="BH88" s="198">
        <f>COUNTIFS(tbl_data[1:T2B],$A88,tbl_data[T2],$F$3)</f>
        <v>0</v>
      </c>
      <c r="BI88" s="198">
        <f>COUNTIFS(tbl_data[2:T2B],$A88,tbl_data[T2],$F$3)</f>
        <v>0</v>
      </c>
      <c r="BJ88" s="198">
        <f>COUNTIFS(tbl_data[3:T2B],$A88,tbl_data[T2],$F$3)</f>
        <v>0</v>
      </c>
      <c r="BK88" s="198">
        <f>COUNTIFS(tbl_data[1:T3B],$A88,tbl_data[T3],$F$3)</f>
        <v>0</v>
      </c>
      <c r="BL88" s="198">
        <f>COUNTIFS(tbl_data[2:T3B],$A88,tbl_data[T3],$F$3)</f>
        <v>0</v>
      </c>
      <c r="BM88" s="198">
        <f>COUNTIFS(tbl_data[3:T3B],$A88,tbl_data[T3],$F$3)</f>
        <v>0</v>
      </c>
      <c r="BN88" s="198">
        <f t="shared" si="24"/>
        <v>0</v>
      </c>
      <c r="BO88" s="199" t="str">
        <f t="shared" si="25"/>
        <v>Lack Of Transport (0)</v>
      </c>
      <c r="BQ88" t="str">
        <f t="shared" si="26"/>
        <v>Lack Of Transport</v>
      </c>
      <c r="BR88">
        <f t="shared" si="27"/>
        <v>0</v>
      </c>
    </row>
    <row r="89" spans="1:74" x14ac:dyDescent="0.25">
      <c r="A89" s="215" t="s">
        <v>507</v>
      </c>
      <c r="B89" s="205">
        <f>COUNTIFS(tbl_data[12. Consultation Group of],$A$2,tbl_data[1:T1B],$A89,tbl_data[T1],$A$3)</f>
        <v>0</v>
      </c>
      <c r="C89" s="198">
        <f>COUNTIFS(tbl_data[12. Consultation Group of],$A$2,tbl_data[2:T1B],$A89,tbl_data[T1],$A$3)</f>
        <v>0</v>
      </c>
      <c r="D89" s="198">
        <f>COUNTIFS(tbl_data[12. Consultation Group of],$A$2,tbl_data[3:T1B],$A89,tbl_data[T1],$A$3)</f>
        <v>0</v>
      </c>
      <c r="E89" s="198">
        <f>COUNTIFS(tbl_data[12. Consultation Group of],$A$2,tbl_data[1:T2B],$A89,tbl_data[T2],$A$3)</f>
        <v>0</v>
      </c>
      <c r="F89" s="198">
        <f>COUNTIFS(tbl_data[12. Consultation Group of],$A$2,tbl_data[2:T2B],$A89,tbl_data[T2],$A$3)</f>
        <v>0</v>
      </c>
      <c r="G89" s="198">
        <f>COUNTIFS(tbl_data[12. Consultation Group of],$A$2,tbl_data[3:T2B],$A89,tbl_data[T2],$A$3)</f>
        <v>0</v>
      </c>
      <c r="H89" s="198">
        <f>COUNTIFS(tbl_data[12. Consultation Group of],$A$2,tbl_data[1:T3B],$A89,tbl_data[T3],$A$3)</f>
        <v>0</v>
      </c>
      <c r="I89" s="198">
        <f>COUNTIFS(tbl_data[12. Consultation Group of],$A$2,tbl_data[2:T3B],$A89,tbl_data[T3],$A$3)</f>
        <v>0</v>
      </c>
      <c r="J89" s="198">
        <f>COUNTIFS(tbl_data[12. Consultation Group of],$A$2,tbl_data[3:T3B],$A89,tbl_data[T3],$A$3)</f>
        <v>0</v>
      </c>
      <c r="K89" s="198">
        <f t="shared" si="14"/>
        <v>0</v>
      </c>
      <c r="L89" s="199" t="str">
        <f t="shared" si="15"/>
        <v>Loss Of Hope And Credibility In Authorities (0)</v>
      </c>
      <c r="M89" s="205">
        <f>COUNTIFS(tbl_data[12. Consultation Group of],$B$2,tbl_data[1:T1B],$A89,tbl_data[T1],$B$3)</f>
        <v>0</v>
      </c>
      <c r="N89" s="198">
        <f>COUNTIFS(tbl_data[12. Consultation Group of],$B$2,tbl_data[2:T1B],$A89,tbl_data[T1],$B$3)</f>
        <v>0</v>
      </c>
      <c r="O89" s="198">
        <f>COUNTIFS(tbl_data[12. Consultation Group of],$B$2,tbl_data[3:T1B],$A89,tbl_data[T1],$B$3)</f>
        <v>0</v>
      </c>
      <c r="P89" s="198">
        <f>COUNTIFS(tbl_data[12. Consultation Group of],$B$2,tbl_data[1:T2B],$A89,tbl_data[T2],$B$3)</f>
        <v>0</v>
      </c>
      <c r="Q89" s="198">
        <f>COUNTIFS(tbl_data[12. Consultation Group of],$B$2,tbl_data[2:T2B],$A89,tbl_data[T2],$B$3)</f>
        <v>0</v>
      </c>
      <c r="R89" s="198">
        <f>COUNTIFS(tbl_data[12. Consultation Group of],$B$2,tbl_data[3:T2B],$A89,tbl_data[T2],$B$3)</f>
        <v>0</v>
      </c>
      <c r="S89" s="198">
        <f>COUNTIFS(tbl_data[12. Consultation Group of],$B$2,tbl_data[1:T3B],$A89,tbl_data[T3],$B$3)</f>
        <v>0</v>
      </c>
      <c r="T89" s="198">
        <f>COUNTIFS(tbl_data[12. Consultation Group of],$B$2,tbl_data[2:T3B],$A89,tbl_data[T3],$B$3)</f>
        <v>0</v>
      </c>
      <c r="U89" s="198">
        <f>COUNTIFS(tbl_data[12. Consultation Group of],$B$2,tbl_data[3:T3B],$A89,tbl_data[T3],$B$3)</f>
        <v>0</v>
      </c>
      <c r="V89" s="198">
        <f t="shared" si="16"/>
        <v>0</v>
      </c>
      <c r="W89" s="199" t="str">
        <f t="shared" si="17"/>
        <v>Loss Of Hope And Credibility In Authorities (0)</v>
      </c>
      <c r="X89" s="205">
        <f>COUNTIFS(tbl_data[12. Consultation Group of],$C$2,tbl_data[1:T1B],$A89,tbl_data[T1],$C$3)</f>
        <v>0</v>
      </c>
      <c r="Y89" s="198">
        <f>COUNTIFS(tbl_data[12. Consultation Group of],$C$2,tbl_data[2:T1B],$A89,tbl_data[T1],$C$3)</f>
        <v>0</v>
      </c>
      <c r="Z89" s="198">
        <f>COUNTIFS(tbl_data[12. Consultation Group of],$C$2,tbl_data[3:T1B],$A89,tbl_data[T1],$C$3)</f>
        <v>0</v>
      </c>
      <c r="AA89" s="198">
        <f>COUNTIFS(tbl_data[12. Consultation Group of],$C$2,tbl_data[1:T2B],$A89,tbl_data[T2],$C$3)</f>
        <v>0</v>
      </c>
      <c r="AB89" s="198">
        <f>COUNTIFS(tbl_data[12. Consultation Group of],$C$2,tbl_data[2:T2B],$A89,tbl_data[T2],$C$3)</f>
        <v>0</v>
      </c>
      <c r="AC89" s="198">
        <f>COUNTIFS(tbl_data[12. Consultation Group of],$C$2,tbl_data[3:T2B],$A89,tbl_data[T2],$C$3)</f>
        <v>0</v>
      </c>
      <c r="AD89" s="198">
        <f>COUNTIFS(tbl_data[12. Consultation Group of],$C$2,tbl_data[1:T3B],$A89,tbl_data[T3],$C$3)</f>
        <v>0</v>
      </c>
      <c r="AE89" s="198">
        <f>COUNTIFS(tbl_data[12. Consultation Group of],$C$2,tbl_data[2:T3B],$A89,tbl_data[T3],$C$3)</f>
        <v>0</v>
      </c>
      <c r="AF89" s="198">
        <f>COUNTIFS(tbl_data[12. Consultation Group of],$C$2,tbl_data[3:T3B],$A89,tbl_data[T3],$C$3)</f>
        <v>0</v>
      </c>
      <c r="AG89" s="198">
        <f t="shared" si="18"/>
        <v>0</v>
      </c>
      <c r="AH89" s="199" t="str">
        <f t="shared" si="19"/>
        <v>Loss Of Hope And Credibility In Authorities (0)</v>
      </c>
      <c r="AI89" s="205">
        <f>COUNTIFS(tbl_data[12. Consultation Group of],$D$2,tbl_data[1:T1B],$A89,tbl_data[T1],$D$3)</f>
        <v>0</v>
      </c>
      <c r="AJ89" s="198">
        <f>COUNTIFS(tbl_data[12. Consultation Group of],$D$2,tbl_data[2:T1B],$A89,tbl_data[T1],$D$3)</f>
        <v>0</v>
      </c>
      <c r="AK89" s="198">
        <f>COUNTIFS(tbl_data[12. Consultation Group of],$D$2,tbl_data[3:T1B],$A89,tbl_data[T1],$D$3)</f>
        <v>0</v>
      </c>
      <c r="AL89" s="198">
        <f>COUNTIFS(tbl_data[12. Consultation Group of],$D$2,tbl_data[1:T2B],$A89,tbl_data[T2],$D$3)</f>
        <v>0</v>
      </c>
      <c r="AM89" s="198">
        <f>COUNTIFS(tbl_data[12. Consultation Group of],$D$2,tbl_data[2:T2B],$A89,tbl_data[T2],$D$3)</f>
        <v>0</v>
      </c>
      <c r="AN89" s="198">
        <f>COUNTIFS(tbl_data[12. Consultation Group of],$D$2,tbl_data[3:T2B],$A89,tbl_data[T2],$D$3)</f>
        <v>0</v>
      </c>
      <c r="AO89" s="198">
        <f>COUNTIFS(tbl_data[12. Consultation Group of],$D$2,tbl_data[1:T3B],$A89,tbl_data[T3],$D$3)</f>
        <v>0</v>
      </c>
      <c r="AP89" s="198">
        <f>COUNTIFS(tbl_data[12. Consultation Group of],$D$2,tbl_data[2:T3B],$A89,tbl_data[T3],$D$3)</f>
        <v>0</v>
      </c>
      <c r="AQ89" s="198">
        <f>COUNTIFS(tbl_data[12. Consultation Group of],$D$2,tbl_data[3:T3B],$A89,tbl_data[T3],$D$3)</f>
        <v>0</v>
      </c>
      <c r="AR89" s="198">
        <f t="shared" si="20"/>
        <v>0</v>
      </c>
      <c r="AS89" s="199" t="str">
        <f t="shared" si="21"/>
        <v>Loss Of Hope And Credibility In Authorities (0)</v>
      </c>
      <c r="AT89" s="205">
        <f>COUNTIFS(tbl_data[12. Consultation Group of],$E$2,tbl_data[1:T1B],$A89,tbl_data[T1],$E$3)</f>
        <v>0</v>
      </c>
      <c r="AU89" s="198">
        <f>COUNTIFS(tbl_data[12. Consultation Group of],$E$2,tbl_data[2:T1B],$A89,tbl_data[T1],$E$3)</f>
        <v>0</v>
      </c>
      <c r="AV89" s="198">
        <f>COUNTIFS(tbl_data[12. Consultation Group of],$E$2,tbl_data[3:T1B],$A89,tbl_data[T1],$E$3)</f>
        <v>0</v>
      </c>
      <c r="AW89" s="198">
        <f>COUNTIFS(tbl_data[12. Consultation Group of],$E$2,tbl_data[1:T2B],$A89,tbl_data[T2],$E$3)</f>
        <v>0</v>
      </c>
      <c r="AX89" s="198">
        <f>COUNTIFS(tbl_data[12. Consultation Group of],$E$2,tbl_data[2:T2B],$A89,tbl_data[T2],$E$3)</f>
        <v>0</v>
      </c>
      <c r="AY89" s="198">
        <f>COUNTIFS(tbl_data[12. Consultation Group of],$E$2,tbl_data[3:T2B],$A89,tbl_data[T2],$E$3)</f>
        <v>0</v>
      </c>
      <c r="AZ89" s="198">
        <f>COUNTIFS(tbl_data[12. Consultation Group of],$E$2,tbl_data[1:T3B],$A89,tbl_data[T3],$E$3)</f>
        <v>0</v>
      </c>
      <c r="BA89" s="198">
        <f>COUNTIFS(tbl_data[12. Consultation Group of],$E$2,tbl_data[2:T3B],$A89,tbl_data[T3],$E$3)</f>
        <v>0</v>
      </c>
      <c r="BB89" s="198">
        <f>COUNTIFS(tbl_data[12. Consultation Group of],$E$2,tbl_data[3:T3B],$A89,tbl_data[T3],$E$3)</f>
        <v>0</v>
      </c>
      <c r="BC89" s="198">
        <f t="shared" si="22"/>
        <v>0</v>
      </c>
      <c r="BD89" s="199" t="str">
        <f t="shared" si="23"/>
        <v>Loss Of Hope And Credibility In Authorities (0)</v>
      </c>
      <c r="BE89" s="205">
        <f>COUNTIFS(tbl_data[1:T1B],$A89,tbl_data[T1],$F$3)</f>
        <v>0</v>
      </c>
      <c r="BF89" s="198">
        <f>COUNTIFS(tbl_data[2:T1B],$A89,tbl_data[T1],$F$3)</f>
        <v>0</v>
      </c>
      <c r="BG89" s="198">
        <f>COUNTIFS(tbl_data[3:T1B],$A89,tbl_data[T1],$F$3)</f>
        <v>0</v>
      </c>
      <c r="BH89" s="198">
        <f>COUNTIFS(tbl_data[1:T2B],$A89,tbl_data[T2],$F$3)</f>
        <v>0</v>
      </c>
      <c r="BI89" s="198">
        <f>COUNTIFS(tbl_data[2:T2B],$A89,tbl_data[T2],$F$3)</f>
        <v>0</v>
      </c>
      <c r="BJ89" s="198">
        <f>COUNTIFS(tbl_data[3:T2B],$A89,tbl_data[T2],$F$3)</f>
        <v>0</v>
      </c>
      <c r="BK89" s="198">
        <f>COUNTIFS(tbl_data[1:T3B],$A89,tbl_data[T3],$F$3)</f>
        <v>0</v>
      </c>
      <c r="BL89" s="198">
        <f>COUNTIFS(tbl_data[2:T3B],$A89,tbl_data[T3],$F$3)</f>
        <v>0</v>
      </c>
      <c r="BM89" s="198">
        <f>COUNTIFS(tbl_data[3:T3B],$A89,tbl_data[T3],$F$3)</f>
        <v>0</v>
      </c>
      <c r="BN89" s="198">
        <f t="shared" si="24"/>
        <v>0</v>
      </c>
      <c r="BO89" s="199" t="str">
        <f t="shared" si="25"/>
        <v>Loss Of Hope And Credibility In Authorities (0)</v>
      </c>
      <c r="BQ89" t="str">
        <f t="shared" si="26"/>
        <v>Loss Of Hope And Credibility In Authorities</v>
      </c>
      <c r="BR89">
        <f t="shared" si="27"/>
        <v>0</v>
      </c>
    </row>
    <row r="90" spans="1:74" x14ac:dyDescent="0.25">
      <c r="A90" s="215" t="s">
        <v>332</v>
      </c>
      <c r="B90" s="205">
        <f>COUNTIFS(tbl_data[12. Consultation Group of],$A$2,tbl_data[1:T1B],$A90,tbl_data[T1],$A$3)</f>
        <v>0</v>
      </c>
      <c r="C90" s="198">
        <f>COUNTIFS(tbl_data[12. Consultation Group of],$A$2,tbl_data[2:T1B],$A90,tbl_data[T1],$A$3)</f>
        <v>0</v>
      </c>
      <c r="D90" s="198">
        <f>COUNTIFS(tbl_data[12. Consultation Group of],$A$2,tbl_data[3:T1B],$A90,tbl_data[T1],$A$3)</f>
        <v>0</v>
      </c>
      <c r="E90" s="198">
        <f>COUNTIFS(tbl_data[12. Consultation Group of],$A$2,tbl_data[1:T2B],$A90,tbl_data[T2],$A$3)</f>
        <v>0</v>
      </c>
      <c r="F90" s="198">
        <f>COUNTIFS(tbl_data[12. Consultation Group of],$A$2,tbl_data[2:T2B],$A90,tbl_data[T2],$A$3)</f>
        <v>0</v>
      </c>
      <c r="G90" s="198">
        <f>COUNTIFS(tbl_data[12. Consultation Group of],$A$2,tbl_data[3:T2B],$A90,tbl_data[T2],$A$3)</f>
        <v>0</v>
      </c>
      <c r="H90" s="198">
        <f>COUNTIFS(tbl_data[12. Consultation Group of],$A$2,tbl_data[1:T3B],$A90,tbl_data[T3],$A$3)</f>
        <v>0</v>
      </c>
      <c r="I90" s="198">
        <f>COUNTIFS(tbl_data[12. Consultation Group of],$A$2,tbl_data[2:T3B],$A90,tbl_data[T3],$A$3)</f>
        <v>0</v>
      </c>
      <c r="J90" s="198">
        <f>COUNTIFS(tbl_data[12. Consultation Group of],$A$2,tbl_data[3:T3B],$A90,tbl_data[T3],$A$3)</f>
        <v>0</v>
      </c>
      <c r="K90" s="198">
        <f t="shared" si="14"/>
        <v>0</v>
      </c>
      <c r="L90" s="199" t="str">
        <f t="shared" si="15"/>
        <v>Government Instability (0)</v>
      </c>
      <c r="M90" s="205">
        <f>COUNTIFS(tbl_data[12. Consultation Group of],$B$2,tbl_data[1:T1B],$A90,tbl_data[T1],$B$3)</f>
        <v>0</v>
      </c>
      <c r="N90" s="198">
        <f>COUNTIFS(tbl_data[12. Consultation Group of],$B$2,tbl_data[2:T1B],$A90,tbl_data[T1],$B$3)</f>
        <v>0</v>
      </c>
      <c r="O90" s="198">
        <f>COUNTIFS(tbl_data[12. Consultation Group of],$B$2,tbl_data[3:T1B],$A90,tbl_data[T1],$B$3)</f>
        <v>0</v>
      </c>
      <c r="P90" s="198">
        <f>COUNTIFS(tbl_data[12. Consultation Group of],$B$2,tbl_data[1:T2B],$A90,tbl_data[T2],$B$3)</f>
        <v>0</v>
      </c>
      <c r="Q90" s="198">
        <f>COUNTIFS(tbl_data[12. Consultation Group of],$B$2,tbl_data[2:T2B],$A90,tbl_data[T2],$B$3)</f>
        <v>0</v>
      </c>
      <c r="R90" s="198">
        <f>COUNTIFS(tbl_data[12. Consultation Group of],$B$2,tbl_data[3:T2B],$A90,tbl_data[T2],$B$3)</f>
        <v>0</v>
      </c>
      <c r="S90" s="198">
        <f>COUNTIFS(tbl_data[12. Consultation Group of],$B$2,tbl_data[1:T3B],$A90,tbl_data[T3],$B$3)</f>
        <v>0</v>
      </c>
      <c r="T90" s="198">
        <f>COUNTIFS(tbl_data[12. Consultation Group of],$B$2,tbl_data[2:T3B],$A90,tbl_data[T3],$B$3)</f>
        <v>0</v>
      </c>
      <c r="U90" s="198">
        <f>COUNTIFS(tbl_data[12. Consultation Group of],$B$2,tbl_data[3:T3B],$A90,tbl_data[T3],$B$3)</f>
        <v>0</v>
      </c>
      <c r="V90" s="198">
        <f t="shared" si="16"/>
        <v>0</v>
      </c>
      <c r="W90" s="199" t="str">
        <f t="shared" si="17"/>
        <v>Government Instability (0)</v>
      </c>
      <c r="X90" s="205">
        <f>COUNTIFS(tbl_data[12. Consultation Group of],$C$2,tbl_data[1:T1B],$A90,tbl_data[T1],$C$3)</f>
        <v>0</v>
      </c>
      <c r="Y90" s="198">
        <f>COUNTIFS(tbl_data[12. Consultation Group of],$C$2,tbl_data[2:T1B],$A90,tbl_data[T1],$C$3)</f>
        <v>0</v>
      </c>
      <c r="Z90" s="198">
        <f>COUNTIFS(tbl_data[12. Consultation Group of],$C$2,tbl_data[3:T1B],$A90,tbl_data[T1],$C$3)</f>
        <v>0</v>
      </c>
      <c r="AA90" s="198">
        <f>COUNTIFS(tbl_data[12. Consultation Group of],$C$2,tbl_data[1:T2B],$A90,tbl_data[T2],$C$3)</f>
        <v>0</v>
      </c>
      <c r="AB90" s="198">
        <f>COUNTIFS(tbl_data[12. Consultation Group of],$C$2,tbl_data[2:T2B],$A90,tbl_data[T2],$C$3)</f>
        <v>0</v>
      </c>
      <c r="AC90" s="198">
        <f>COUNTIFS(tbl_data[12. Consultation Group of],$C$2,tbl_data[3:T2B],$A90,tbl_data[T2],$C$3)</f>
        <v>0</v>
      </c>
      <c r="AD90" s="198">
        <f>COUNTIFS(tbl_data[12. Consultation Group of],$C$2,tbl_data[1:T3B],$A90,tbl_data[T3],$C$3)</f>
        <v>0</v>
      </c>
      <c r="AE90" s="198">
        <f>COUNTIFS(tbl_data[12. Consultation Group of],$C$2,tbl_data[2:T3B],$A90,tbl_data[T3],$C$3)</f>
        <v>0</v>
      </c>
      <c r="AF90" s="198">
        <f>COUNTIFS(tbl_data[12. Consultation Group of],$C$2,tbl_data[3:T3B],$A90,tbl_data[T3],$C$3)</f>
        <v>0</v>
      </c>
      <c r="AG90" s="198">
        <f t="shared" si="18"/>
        <v>0</v>
      </c>
      <c r="AH90" s="199" t="str">
        <f t="shared" si="19"/>
        <v>Government Instability (0)</v>
      </c>
      <c r="AI90" s="205">
        <f>COUNTIFS(tbl_data[12. Consultation Group of],$D$2,tbl_data[1:T1B],$A90,tbl_data[T1],$D$3)</f>
        <v>0</v>
      </c>
      <c r="AJ90" s="198">
        <f>COUNTIFS(tbl_data[12. Consultation Group of],$D$2,tbl_data[2:T1B],$A90,tbl_data[T1],$D$3)</f>
        <v>0</v>
      </c>
      <c r="AK90" s="198">
        <f>COUNTIFS(tbl_data[12. Consultation Group of],$D$2,tbl_data[3:T1B],$A90,tbl_data[T1],$D$3)</f>
        <v>0</v>
      </c>
      <c r="AL90" s="198">
        <f>COUNTIFS(tbl_data[12. Consultation Group of],$D$2,tbl_data[1:T2B],$A90,tbl_data[T2],$D$3)</f>
        <v>0</v>
      </c>
      <c r="AM90" s="198">
        <f>COUNTIFS(tbl_data[12. Consultation Group of],$D$2,tbl_data[2:T2B],$A90,tbl_data[T2],$D$3)</f>
        <v>0</v>
      </c>
      <c r="AN90" s="198">
        <f>COUNTIFS(tbl_data[12. Consultation Group of],$D$2,tbl_data[3:T2B],$A90,tbl_data[T2],$D$3)</f>
        <v>0</v>
      </c>
      <c r="AO90" s="198">
        <f>COUNTIFS(tbl_data[12. Consultation Group of],$D$2,tbl_data[1:T3B],$A90,tbl_data[T3],$D$3)</f>
        <v>0</v>
      </c>
      <c r="AP90" s="198">
        <f>COUNTIFS(tbl_data[12. Consultation Group of],$D$2,tbl_data[2:T3B],$A90,tbl_data[T3],$D$3)</f>
        <v>0</v>
      </c>
      <c r="AQ90" s="198">
        <f>COUNTIFS(tbl_data[12. Consultation Group of],$D$2,tbl_data[3:T3B],$A90,tbl_data[T3],$D$3)</f>
        <v>0</v>
      </c>
      <c r="AR90" s="198">
        <f t="shared" si="20"/>
        <v>0</v>
      </c>
      <c r="AS90" s="199" t="str">
        <f t="shared" si="21"/>
        <v>Government Instability (0)</v>
      </c>
      <c r="AT90" s="205">
        <f>COUNTIFS(tbl_data[12. Consultation Group of],$E$2,tbl_data[1:T1B],$A90,tbl_data[T1],$E$3)</f>
        <v>0</v>
      </c>
      <c r="AU90" s="198">
        <f>COUNTIFS(tbl_data[12. Consultation Group of],$E$2,tbl_data[2:T1B],$A90,tbl_data[T1],$E$3)</f>
        <v>0</v>
      </c>
      <c r="AV90" s="198">
        <f>COUNTIFS(tbl_data[12. Consultation Group of],$E$2,tbl_data[3:T1B],$A90,tbl_data[T1],$E$3)</f>
        <v>0</v>
      </c>
      <c r="AW90" s="198">
        <f>COUNTIFS(tbl_data[12. Consultation Group of],$E$2,tbl_data[1:T2B],$A90,tbl_data[T2],$E$3)</f>
        <v>0</v>
      </c>
      <c r="AX90" s="198">
        <f>COUNTIFS(tbl_data[12. Consultation Group of],$E$2,tbl_data[2:T2B],$A90,tbl_data[T2],$E$3)</f>
        <v>0</v>
      </c>
      <c r="AY90" s="198">
        <f>COUNTIFS(tbl_data[12. Consultation Group of],$E$2,tbl_data[3:T2B],$A90,tbl_data[T2],$E$3)</f>
        <v>0</v>
      </c>
      <c r="AZ90" s="198">
        <f>COUNTIFS(tbl_data[12. Consultation Group of],$E$2,tbl_data[1:T3B],$A90,tbl_data[T3],$E$3)</f>
        <v>0</v>
      </c>
      <c r="BA90" s="198">
        <f>COUNTIFS(tbl_data[12. Consultation Group of],$E$2,tbl_data[2:T3B],$A90,tbl_data[T3],$E$3)</f>
        <v>0</v>
      </c>
      <c r="BB90" s="198">
        <f>COUNTIFS(tbl_data[12. Consultation Group of],$E$2,tbl_data[3:T3B],$A90,tbl_data[T3],$E$3)</f>
        <v>0</v>
      </c>
      <c r="BC90" s="198">
        <f t="shared" si="22"/>
        <v>0</v>
      </c>
      <c r="BD90" s="199" t="str">
        <f t="shared" si="23"/>
        <v>Government Instability (0)</v>
      </c>
      <c r="BE90" s="205">
        <f>COUNTIFS(tbl_data[1:T1B],$A90,tbl_data[T1],$F$3)</f>
        <v>0</v>
      </c>
      <c r="BF90" s="198">
        <f>COUNTIFS(tbl_data[2:T1B],$A90,tbl_data[T1],$F$3)</f>
        <v>0</v>
      </c>
      <c r="BG90" s="198">
        <f>COUNTIFS(tbl_data[3:T1B],$A90,tbl_data[T1],$F$3)</f>
        <v>0</v>
      </c>
      <c r="BH90" s="198">
        <f>COUNTIFS(tbl_data[1:T2B],$A90,tbl_data[T2],$F$3)</f>
        <v>0</v>
      </c>
      <c r="BI90" s="198">
        <f>COUNTIFS(tbl_data[2:T2B],$A90,tbl_data[T2],$F$3)</f>
        <v>0</v>
      </c>
      <c r="BJ90" s="198">
        <f>COUNTIFS(tbl_data[3:T2B],$A90,tbl_data[T2],$F$3)</f>
        <v>0</v>
      </c>
      <c r="BK90" s="198">
        <f>COUNTIFS(tbl_data[1:T3B],$A90,tbl_data[T3],$F$3)</f>
        <v>0</v>
      </c>
      <c r="BL90" s="198">
        <f>COUNTIFS(tbl_data[2:T3B],$A90,tbl_data[T3],$F$3)</f>
        <v>0</v>
      </c>
      <c r="BM90" s="198">
        <f>COUNTIFS(tbl_data[3:T3B],$A90,tbl_data[T3],$F$3)</f>
        <v>0</v>
      </c>
      <c r="BN90" s="198">
        <f t="shared" si="24"/>
        <v>0</v>
      </c>
      <c r="BO90" s="199" t="str">
        <f t="shared" si="25"/>
        <v>Government Instability (0)</v>
      </c>
      <c r="BQ90" t="str">
        <f t="shared" si="26"/>
        <v>Government Instability</v>
      </c>
      <c r="BR90">
        <f t="shared" si="27"/>
        <v>0</v>
      </c>
    </row>
    <row r="91" spans="1:74" x14ac:dyDescent="0.25">
      <c r="A91" s="215" t="s">
        <v>576</v>
      </c>
      <c r="B91" s="205">
        <f>COUNTIFS(tbl_data[12. Consultation Group of],$A$2,tbl_data[1:T1B],$A91,tbl_data[T1],$A$3)</f>
        <v>0</v>
      </c>
      <c r="C91" s="198">
        <f>COUNTIFS(tbl_data[12. Consultation Group of],$A$2,tbl_data[2:T1B],$A91,tbl_data[T1],$A$3)</f>
        <v>0</v>
      </c>
      <c r="D91" s="198">
        <f>COUNTIFS(tbl_data[12. Consultation Group of],$A$2,tbl_data[3:T1B],$A91,tbl_data[T1],$A$3)</f>
        <v>0</v>
      </c>
      <c r="E91" s="198">
        <f>COUNTIFS(tbl_data[12. Consultation Group of],$A$2,tbl_data[1:T2B],$A91,tbl_data[T2],$A$3)</f>
        <v>0</v>
      </c>
      <c r="F91" s="198">
        <f>COUNTIFS(tbl_data[12. Consultation Group of],$A$2,tbl_data[2:T2B],$A91,tbl_data[T2],$A$3)</f>
        <v>0</v>
      </c>
      <c r="G91" s="198">
        <f>COUNTIFS(tbl_data[12. Consultation Group of],$A$2,tbl_data[3:T2B],$A91,tbl_data[T2],$A$3)</f>
        <v>0</v>
      </c>
      <c r="H91" s="198">
        <f>COUNTIFS(tbl_data[12. Consultation Group of],$A$2,tbl_data[1:T3B],$A91,tbl_data[T3],$A$3)</f>
        <v>0</v>
      </c>
      <c r="I91" s="198">
        <f>COUNTIFS(tbl_data[12. Consultation Group of],$A$2,tbl_data[2:T3B],$A91,tbl_data[T3],$A$3)</f>
        <v>0</v>
      </c>
      <c r="J91" s="198">
        <f>COUNTIFS(tbl_data[12. Consultation Group of],$A$2,tbl_data[3:T3B],$A91,tbl_data[T3],$A$3)</f>
        <v>0</v>
      </c>
      <c r="K91" s="198">
        <f t="shared" si="14"/>
        <v>0</v>
      </c>
      <c r="L91" s="199" t="str">
        <f t="shared" si="15"/>
        <v>Debt (0)</v>
      </c>
      <c r="M91" s="205">
        <f>COUNTIFS(tbl_data[12. Consultation Group of],$B$2,tbl_data[1:T1B],$A91,tbl_data[T1],$B$3)</f>
        <v>0</v>
      </c>
      <c r="N91" s="198">
        <f>COUNTIFS(tbl_data[12. Consultation Group of],$B$2,tbl_data[2:T1B],$A91,tbl_data[T1],$B$3)</f>
        <v>0</v>
      </c>
      <c r="O91" s="198">
        <f>COUNTIFS(tbl_data[12. Consultation Group of],$B$2,tbl_data[3:T1B],$A91,tbl_data[T1],$B$3)</f>
        <v>0</v>
      </c>
      <c r="P91" s="198">
        <f>COUNTIFS(tbl_data[12. Consultation Group of],$B$2,tbl_data[1:T2B],$A91,tbl_data[T2],$B$3)</f>
        <v>0</v>
      </c>
      <c r="Q91" s="198">
        <f>COUNTIFS(tbl_data[12. Consultation Group of],$B$2,tbl_data[2:T2B],$A91,tbl_data[T2],$B$3)</f>
        <v>0</v>
      </c>
      <c r="R91" s="198">
        <f>COUNTIFS(tbl_data[12. Consultation Group of],$B$2,tbl_data[3:T2B],$A91,tbl_data[T2],$B$3)</f>
        <v>0</v>
      </c>
      <c r="S91" s="198">
        <f>COUNTIFS(tbl_data[12. Consultation Group of],$B$2,tbl_data[1:T3B],$A91,tbl_data[T3],$B$3)</f>
        <v>0</v>
      </c>
      <c r="T91" s="198">
        <f>COUNTIFS(tbl_data[12. Consultation Group of],$B$2,tbl_data[2:T3B],$A91,tbl_data[T3],$B$3)</f>
        <v>0</v>
      </c>
      <c r="U91" s="198">
        <f>COUNTIFS(tbl_data[12. Consultation Group of],$B$2,tbl_data[3:T3B],$A91,tbl_data[T3],$B$3)</f>
        <v>0</v>
      </c>
      <c r="V91" s="198">
        <f t="shared" si="16"/>
        <v>0</v>
      </c>
      <c r="W91" s="199" t="str">
        <f t="shared" si="17"/>
        <v>Debt (0)</v>
      </c>
      <c r="X91" s="205">
        <f>COUNTIFS(tbl_data[12. Consultation Group of],$C$2,tbl_data[1:T1B],$A91,tbl_data[T1],$C$3)</f>
        <v>0</v>
      </c>
      <c r="Y91" s="198">
        <f>COUNTIFS(tbl_data[12. Consultation Group of],$C$2,tbl_data[2:T1B],$A91,tbl_data[T1],$C$3)</f>
        <v>0</v>
      </c>
      <c r="Z91" s="198">
        <f>COUNTIFS(tbl_data[12. Consultation Group of],$C$2,tbl_data[3:T1B],$A91,tbl_data[T1],$C$3)</f>
        <v>0</v>
      </c>
      <c r="AA91" s="198">
        <f>COUNTIFS(tbl_data[12. Consultation Group of],$C$2,tbl_data[1:T2B],$A91,tbl_data[T2],$C$3)</f>
        <v>0</v>
      </c>
      <c r="AB91" s="198">
        <f>COUNTIFS(tbl_data[12. Consultation Group of],$C$2,tbl_data[2:T2B],$A91,tbl_data[T2],$C$3)</f>
        <v>0</v>
      </c>
      <c r="AC91" s="198">
        <f>COUNTIFS(tbl_data[12. Consultation Group of],$C$2,tbl_data[3:T2B],$A91,tbl_data[T2],$C$3)</f>
        <v>0</v>
      </c>
      <c r="AD91" s="198">
        <f>COUNTIFS(tbl_data[12. Consultation Group of],$C$2,tbl_data[1:T3B],$A91,tbl_data[T3],$C$3)</f>
        <v>0</v>
      </c>
      <c r="AE91" s="198">
        <f>COUNTIFS(tbl_data[12. Consultation Group of],$C$2,tbl_data[2:T3B],$A91,tbl_data[T3],$C$3)</f>
        <v>0</v>
      </c>
      <c r="AF91" s="198">
        <f>COUNTIFS(tbl_data[12. Consultation Group of],$C$2,tbl_data[3:T3B],$A91,tbl_data[T3],$C$3)</f>
        <v>0</v>
      </c>
      <c r="AG91" s="198">
        <f t="shared" si="18"/>
        <v>0</v>
      </c>
      <c r="AH91" s="199" t="str">
        <f t="shared" si="19"/>
        <v>Debt (0)</v>
      </c>
      <c r="AI91" s="205">
        <f>COUNTIFS(tbl_data[12. Consultation Group of],$D$2,tbl_data[1:T1B],$A91,tbl_data[T1],$D$3)</f>
        <v>0</v>
      </c>
      <c r="AJ91" s="198">
        <f>COUNTIFS(tbl_data[12. Consultation Group of],$D$2,tbl_data[2:T1B],$A91,tbl_data[T1],$D$3)</f>
        <v>0</v>
      </c>
      <c r="AK91" s="198">
        <f>COUNTIFS(tbl_data[12. Consultation Group of],$D$2,tbl_data[3:T1B],$A91,tbl_data[T1],$D$3)</f>
        <v>0</v>
      </c>
      <c r="AL91" s="198">
        <f>COUNTIFS(tbl_data[12. Consultation Group of],$D$2,tbl_data[1:T2B],$A91,tbl_data[T2],$D$3)</f>
        <v>0</v>
      </c>
      <c r="AM91" s="198">
        <f>COUNTIFS(tbl_data[12. Consultation Group of],$D$2,tbl_data[2:T2B],$A91,tbl_data[T2],$D$3)</f>
        <v>0</v>
      </c>
      <c r="AN91" s="198">
        <f>COUNTIFS(tbl_data[12. Consultation Group of],$D$2,tbl_data[3:T2B],$A91,tbl_data[T2],$D$3)</f>
        <v>0</v>
      </c>
      <c r="AO91" s="198">
        <f>COUNTIFS(tbl_data[12. Consultation Group of],$D$2,tbl_data[1:T3B],$A91,tbl_data[T3],$D$3)</f>
        <v>0</v>
      </c>
      <c r="AP91" s="198">
        <f>COUNTIFS(tbl_data[12. Consultation Group of],$D$2,tbl_data[2:T3B],$A91,tbl_data[T3],$D$3)</f>
        <v>0</v>
      </c>
      <c r="AQ91" s="198">
        <f>COUNTIFS(tbl_data[12. Consultation Group of],$D$2,tbl_data[3:T3B],$A91,tbl_data[T3],$D$3)</f>
        <v>0</v>
      </c>
      <c r="AR91" s="198">
        <f t="shared" si="20"/>
        <v>0</v>
      </c>
      <c r="AS91" s="199" t="str">
        <f t="shared" si="21"/>
        <v>Debt (0)</v>
      </c>
      <c r="AT91" s="205">
        <f>COUNTIFS(tbl_data[12. Consultation Group of],$E$2,tbl_data[1:T1B],$A91,tbl_data[T1],$E$3)</f>
        <v>0</v>
      </c>
      <c r="AU91" s="198">
        <f>COUNTIFS(tbl_data[12. Consultation Group of],$E$2,tbl_data[2:T1B],$A91,tbl_data[T1],$E$3)</f>
        <v>0</v>
      </c>
      <c r="AV91" s="198">
        <f>COUNTIFS(tbl_data[12. Consultation Group of],$E$2,tbl_data[3:T1B],$A91,tbl_data[T1],$E$3)</f>
        <v>0</v>
      </c>
      <c r="AW91" s="198">
        <f>COUNTIFS(tbl_data[12. Consultation Group of],$E$2,tbl_data[1:T2B],$A91,tbl_data[T2],$E$3)</f>
        <v>0</v>
      </c>
      <c r="AX91" s="198">
        <f>COUNTIFS(tbl_data[12. Consultation Group of],$E$2,tbl_data[2:T2B],$A91,tbl_data[T2],$E$3)</f>
        <v>0</v>
      </c>
      <c r="AY91" s="198">
        <f>COUNTIFS(tbl_data[12. Consultation Group of],$E$2,tbl_data[3:T2B],$A91,tbl_data[T2],$E$3)</f>
        <v>0</v>
      </c>
      <c r="AZ91" s="198">
        <f>COUNTIFS(tbl_data[12. Consultation Group of],$E$2,tbl_data[1:T3B],$A91,tbl_data[T3],$E$3)</f>
        <v>0</v>
      </c>
      <c r="BA91" s="198">
        <f>COUNTIFS(tbl_data[12. Consultation Group of],$E$2,tbl_data[2:T3B],$A91,tbl_data[T3],$E$3)</f>
        <v>0</v>
      </c>
      <c r="BB91" s="198">
        <f>COUNTIFS(tbl_data[12. Consultation Group of],$E$2,tbl_data[3:T3B],$A91,tbl_data[T3],$E$3)</f>
        <v>0</v>
      </c>
      <c r="BC91" s="198">
        <f t="shared" si="22"/>
        <v>0</v>
      </c>
      <c r="BD91" s="199" t="str">
        <f t="shared" si="23"/>
        <v>Debt (0)</v>
      </c>
      <c r="BE91" s="205">
        <f>COUNTIFS(tbl_data[1:T1B],$A91,tbl_data[T1],$F$3)</f>
        <v>0</v>
      </c>
      <c r="BF91" s="198">
        <f>COUNTIFS(tbl_data[2:T1B],$A91,tbl_data[T1],$F$3)</f>
        <v>0</v>
      </c>
      <c r="BG91" s="198">
        <f>COUNTIFS(tbl_data[3:T1B],$A91,tbl_data[T1],$F$3)</f>
        <v>0</v>
      </c>
      <c r="BH91" s="198">
        <f>COUNTIFS(tbl_data[1:T2B],$A91,tbl_data[T2],$F$3)</f>
        <v>0</v>
      </c>
      <c r="BI91" s="198">
        <f>COUNTIFS(tbl_data[2:T2B],$A91,tbl_data[T2],$F$3)</f>
        <v>0</v>
      </c>
      <c r="BJ91" s="198">
        <f>COUNTIFS(tbl_data[3:T2B],$A91,tbl_data[T2],$F$3)</f>
        <v>0</v>
      </c>
      <c r="BK91" s="198">
        <f>COUNTIFS(tbl_data[1:T3B],$A91,tbl_data[T3],$F$3)</f>
        <v>0</v>
      </c>
      <c r="BL91" s="198">
        <f>COUNTIFS(tbl_data[2:T3B],$A91,tbl_data[T3],$F$3)</f>
        <v>0</v>
      </c>
      <c r="BM91" s="198">
        <f>COUNTIFS(tbl_data[3:T3B],$A91,tbl_data[T3],$F$3)</f>
        <v>0</v>
      </c>
      <c r="BN91" s="198">
        <f t="shared" si="24"/>
        <v>0</v>
      </c>
      <c r="BO91" s="199" t="str">
        <f t="shared" si="25"/>
        <v>Debt (0)</v>
      </c>
      <c r="BQ91" t="str">
        <f t="shared" si="26"/>
        <v>Debt</v>
      </c>
      <c r="BR91">
        <f t="shared" si="27"/>
        <v>0</v>
      </c>
    </row>
    <row r="92" spans="1:74" x14ac:dyDescent="0.25">
      <c r="A92" s="215" t="s">
        <v>312</v>
      </c>
      <c r="B92" s="205">
        <f>COUNTIFS(tbl_data[12. Consultation Group of],$A$2,tbl_data[1:T1B],$A92,tbl_data[T1],$A$3)</f>
        <v>0</v>
      </c>
      <c r="C92" s="198">
        <f>COUNTIFS(tbl_data[12. Consultation Group of],$A$2,tbl_data[2:T1B],$A92,tbl_data[T1],$A$3)</f>
        <v>0</v>
      </c>
      <c r="D92" s="198">
        <f>COUNTIFS(tbl_data[12. Consultation Group of],$A$2,tbl_data[3:T1B],$A92,tbl_data[T1],$A$3)</f>
        <v>0</v>
      </c>
      <c r="E92" s="198">
        <f>COUNTIFS(tbl_data[12. Consultation Group of],$A$2,tbl_data[1:T2B],$A92,tbl_data[T2],$A$3)</f>
        <v>0</v>
      </c>
      <c r="F92" s="198">
        <f>COUNTIFS(tbl_data[12. Consultation Group of],$A$2,tbl_data[2:T2B],$A92,tbl_data[T2],$A$3)</f>
        <v>0</v>
      </c>
      <c r="G92" s="198">
        <f>COUNTIFS(tbl_data[12. Consultation Group of],$A$2,tbl_data[3:T2B],$A92,tbl_data[T2],$A$3)</f>
        <v>0</v>
      </c>
      <c r="H92" s="198">
        <f>COUNTIFS(tbl_data[12. Consultation Group of],$A$2,tbl_data[1:T3B],$A92,tbl_data[T3],$A$3)</f>
        <v>0</v>
      </c>
      <c r="I92" s="198">
        <f>COUNTIFS(tbl_data[12. Consultation Group of],$A$2,tbl_data[2:T3B],$A92,tbl_data[T3],$A$3)</f>
        <v>0</v>
      </c>
      <c r="J92" s="198">
        <f>COUNTIFS(tbl_data[12. Consultation Group of],$A$2,tbl_data[3:T3B],$A92,tbl_data[T3],$A$3)</f>
        <v>0</v>
      </c>
      <c r="K92" s="198">
        <f t="shared" si="14"/>
        <v>0</v>
      </c>
      <c r="L92" s="199" t="str">
        <f t="shared" si="15"/>
        <v>Lack Of Rehabilitation Plan From The Government (0)</v>
      </c>
      <c r="M92" s="205">
        <f>COUNTIFS(tbl_data[12. Consultation Group of],$B$2,tbl_data[1:T1B],$A92,tbl_data[T1],$B$3)</f>
        <v>0</v>
      </c>
      <c r="N92" s="198">
        <f>COUNTIFS(tbl_data[12. Consultation Group of],$B$2,tbl_data[2:T1B],$A92,tbl_data[T1],$B$3)</f>
        <v>0</v>
      </c>
      <c r="O92" s="198">
        <f>COUNTIFS(tbl_data[12. Consultation Group of],$B$2,tbl_data[3:T1B],$A92,tbl_data[T1],$B$3)</f>
        <v>0</v>
      </c>
      <c r="P92" s="198">
        <f>COUNTIFS(tbl_data[12. Consultation Group of],$B$2,tbl_data[1:T2B],$A92,tbl_data[T2],$B$3)</f>
        <v>0</v>
      </c>
      <c r="Q92" s="198">
        <f>COUNTIFS(tbl_data[12. Consultation Group of],$B$2,tbl_data[2:T2B],$A92,tbl_data[T2],$B$3)</f>
        <v>0</v>
      </c>
      <c r="R92" s="198">
        <f>COUNTIFS(tbl_data[12. Consultation Group of],$B$2,tbl_data[3:T2B],$A92,tbl_data[T2],$B$3)</f>
        <v>0</v>
      </c>
      <c r="S92" s="198">
        <f>COUNTIFS(tbl_data[12. Consultation Group of],$B$2,tbl_data[1:T3B],$A92,tbl_data[T3],$B$3)</f>
        <v>0</v>
      </c>
      <c r="T92" s="198">
        <f>COUNTIFS(tbl_data[12. Consultation Group of],$B$2,tbl_data[2:T3B],$A92,tbl_data[T3],$B$3)</f>
        <v>0</v>
      </c>
      <c r="U92" s="198">
        <f>COUNTIFS(tbl_data[12. Consultation Group of],$B$2,tbl_data[3:T3B],$A92,tbl_data[T3],$B$3)</f>
        <v>0</v>
      </c>
      <c r="V92" s="198">
        <f t="shared" si="16"/>
        <v>0</v>
      </c>
      <c r="W92" s="199" t="str">
        <f t="shared" si="17"/>
        <v>Lack Of Rehabilitation Plan From The Government (0)</v>
      </c>
      <c r="X92" s="205">
        <f>COUNTIFS(tbl_data[12. Consultation Group of],$C$2,tbl_data[1:T1B],$A92,tbl_data[T1],$C$3)</f>
        <v>0</v>
      </c>
      <c r="Y92" s="198">
        <f>COUNTIFS(tbl_data[12. Consultation Group of],$C$2,tbl_data[2:T1B],$A92,tbl_data[T1],$C$3)</f>
        <v>0</v>
      </c>
      <c r="Z92" s="198">
        <f>COUNTIFS(tbl_data[12. Consultation Group of],$C$2,tbl_data[3:T1B],$A92,tbl_data[T1],$C$3)</f>
        <v>0</v>
      </c>
      <c r="AA92" s="198">
        <f>COUNTIFS(tbl_data[12. Consultation Group of],$C$2,tbl_data[1:T2B],$A92,tbl_data[T2],$C$3)</f>
        <v>0</v>
      </c>
      <c r="AB92" s="198">
        <f>COUNTIFS(tbl_data[12. Consultation Group of],$C$2,tbl_data[2:T2B],$A92,tbl_data[T2],$C$3)</f>
        <v>0</v>
      </c>
      <c r="AC92" s="198">
        <f>COUNTIFS(tbl_data[12. Consultation Group of],$C$2,tbl_data[3:T2B],$A92,tbl_data[T2],$C$3)</f>
        <v>0</v>
      </c>
      <c r="AD92" s="198">
        <f>COUNTIFS(tbl_data[12. Consultation Group of],$C$2,tbl_data[1:T3B],$A92,tbl_data[T3],$C$3)</f>
        <v>0</v>
      </c>
      <c r="AE92" s="198">
        <f>COUNTIFS(tbl_data[12. Consultation Group of],$C$2,tbl_data[2:T3B],$A92,tbl_data[T3],$C$3)</f>
        <v>0</v>
      </c>
      <c r="AF92" s="198">
        <f>COUNTIFS(tbl_data[12. Consultation Group of],$C$2,tbl_data[3:T3B],$A92,tbl_data[T3],$C$3)</f>
        <v>0</v>
      </c>
      <c r="AG92" s="198">
        <f t="shared" si="18"/>
        <v>0</v>
      </c>
      <c r="AH92" s="199" t="str">
        <f t="shared" si="19"/>
        <v>Lack Of Rehabilitation Plan From The Government (0)</v>
      </c>
      <c r="AI92" s="205">
        <f>COUNTIFS(tbl_data[12. Consultation Group of],$D$2,tbl_data[1:T1B],$A92,tbl_data[T1],$D$3)</f>
        <v>0</v>
      </c>
      <c r="AJ92" s="198">
        <f>COUNTIFS(tbl_data[12. Consultation Group of],$D$2,tbl_data[2:T1B],$A92,tbl_data[T1],$D$3)</f>
        <v>0</v>
      </c>
      <c r="AK92" s="198">
        <f>COUNTIFS(tbl_data[12. Consultation Group of],$D$2,tbl_data[3:T1B],$A92,tbl_data[T1],$D$3)</f>
        <v>0</v>
      </c>
      <c r="AL92" s="198">
        <f>COUNTIFS(tbl_data[12. Consultation Group of],$D$2,tbl_data[1:T2B],$A92,tbl_data[T2],$D$3)</f>
        <v>0</v>
      </c>
      <c r="AM92" s="198">
        <f>COUNTIFS(tbl_data[12. Consultation Group of],$D$2,tbl_data[2:T2B],$A92,tbl_data[T2],$D$3)</f>
        <v>0</v>
      </c>
      <c r="AN92" s="198">
        <f>COUNTIFS(tbl_data[12. Consultation Group of],$D$2,tbl_data[3:T2B],$A92,tbl_data[T2],$D$3)</f>
        <v>0</v>
      </c>
      <c r="AO92" s="198">
        <f>COUNTIFS(tbl_data[12. Consultation Group of],$D$2,tbl_data[1:T3B],$A92,tbl_data[T3],$D$3)</f>
        <v>0</v>
      </c>
      <c r="AP92" s="198">
        <f>COUNTIFS(tbl_data[12. Consultation Group of],$D$2,tbl_data[2:T3B],$A92,tbl_data[T3],$D$3)</f>
        <v>0</v>
      </c>
      <c r="AQ92" s="198">
        <f>COUNTIFS(tbl_data[12. Consultation Group of],$D$2,tbl_data[3:T3B],$A92,tbl_data[T3],$D$3)</f>
        <v>0</v>
      </c>
      <c r="AR92" s="198">
        <f t="shared" si="20"/>
        <v>0</v>
      </c>
      <c r="AS92" s="199" t="str">
        <f t="shared" si="21"/>
        <v>Lack Of Rehabilitation Plan From The Government (0)</v>
      </c>
      <c r="AT92" s="205">
        <f>COUNTIFS(tbl_data[12. Consultation Group of],$E$2,tbl_data[1:T1B],$A92,tbl_data[T1],$E$3)</f>
        <v>0</v>
      </c>
      <c r="AU92" s="198">
        <f>COUNTIFS(tbl_data[12. Consultation Group of],$E$2,tbl_data[2:T1B],$A92,tbl_data[T1],$E$3)</f>
        <v>0</v>
      </c>
      <c r="AV92" s="198">
        <f>COUNTIFS(tbl_data[12. Consultation Group of],$E$2,tbl_data[3:T1B],$A92,tbl_data[T1],$E$3)</f>
        <v>0</v>
      </c>
      <c r="AW92" s="198">
        <f>COUNTIFS(tbl_data[12. Consultation Group of],$E$2,tbl_data[1:T2B],$A92,tbl_data[T2],$E$3)</f>
        <v>0</v>
      </c>
      <c r="AX92" s="198">
        <f>COUNTIFS(tbl_data[12. Consultation Group of],$E$2,tbl_data[2:T2B],$A92,tbl_data[T2],$E$3)</f>
        <v>0</v>
      </c>
      <c r="AY92" s="198">
        <f>COUNTIFS(tbl_data[12. Consultation Group of],$E$2,tbl_data[3:T2B],$A92,tbl_data[T2],$E$3)</f>
        <v>0</v>
      </c>
      <c r="AZ92" s="198">
        <f>COUNTIFS(tbl_data[12. Consultation Group of],$E$2,tbl_data[1:T3B],$A92,tbl_data[T3],$E$3)</f>
        <v>0</v>
      </c>
      <c r="BA92" s="198">
        <f>COUNTIFS(tbl_data[12. Consultation Group of],$E$2,tbl_data[2:T3B],$A92,tbl_data[T3],$E$3)</f>
        <v>0</v>
      </c>
      <c r="BB92" s="198">
        <f>COUNTIFS(tbl_data[12. Consultation Group of],$E$2,tbl_data[3:T3B],$A92,tbl_data[T3],$E$3)</f>
        <v>0</v>
      </c>
      <c r="BC92" s="198">
        <f t="shared" si="22"/>
        <v>0</v>
      </c>
      <c r="BD92" s="199" t="str">
        <f t="shared" si="23"/>
        <v>Lack Of Rehabilitation Plan From The Government (0)</v>
      </c>
      <c r="BE92" s="205">
        <f>COUNTIFS(tbl_data[1:T1B],$A92,tbl_data[T1],$F$3)</f>
        <v>0</v>
      </c>
      <c r="BF92" s="198">
        <f>COUNTIFS(tbl_data[2:T1B],$A92,tbl_data[T1],$F$3)</f>
        <v>0</v>
      </c>
      <c r="BG92" s="198">
        <f>COUNTIFS(tbl_data[3:T1B],$A92,tbl_data[T1],$F$3)</f>
        <v>0</v>
      </c>
      <c r="BH92" s="198">
        <f>COUNTIFS(tbl_data[1:T2B],$A92,tbl_data[T2],$F$3)</f>
        <v>0</v>
      </c>
      <c r="BI92" s="198">
        <f>COUNTIFS(tbl_data[2:T2B],$A92,tbl_data[T2],$F$3)</f>
        <v>0</v>
      </c>
      <c r="BJ92" s="198">
        <f>COUNTIFS(tbl_data[3:T2B],$A92,tbl_data[T2],$F$3)</f>
        <v>0</v>
      </c>
      <c r="BK92" s="198">
        <f>COUNTIFS(tbl_data[1:T3B],$A92,tbl_data[T3],$F$3)</f>
        <v>0</v>
      </c>
      <c r="BL92" s="198">
        <f>COUNTIFS(tbl_data[2:T3B],$A92,tbl_data[T3],$F$3)</f>
        <v>0</v>
      </c>
      <c r="BM92" s="198">
        <f>COUNTIFS(tbl_data[3:T3B],$A92,tbl_data[T3],$F$3)</f>
        <v>0</v>
      </c>
      <c r="BN92" s="198">
        <f t="shared" si="24"/>
        <v>0</v>
      </c>
      <c r="BO92" s="199" t="str">
        <f t="shared" si="25"/>
        <v>Lack Of Rehabilitation Plan From The Government (0)</v>
      </c>
      <c r="BQ92" t="str">
        <f t="shared" si="26"/>
        <v>Lack Of Rehabilitation Plan From The Government</v>
      </c>
      <c r="BR92">
        <f t="shared" si="27"/>
        <v>0</v>
      </c>
    </row>
    <row r="93" spans="1:74" x14ac:dyDescent="0.25">
      <c r="A93" s="215" t="s">
        <v>334</v>
      </c>
      <c r="B93" s="205">
        <f>COUNTIFS(tbl_data[12. Consultation Group of],$A$2,tbl_data[1:T1B],$A93,tbl_data[T1],$A$3)</f>
        <v>0</v>
      </c>
      <c r="C93" s="198">
        <f>COUNTIFS(tbl_data[12. Consultation Group of],$A$2,tbl_data[2:T1B],$A93,tbl_data[T1],$A$3)</f>
        <v>0</v>
      </c>
      <c r="D93" s="198">
        <f>COUNTIFS(tbl_data[12. Consultation Group of],$A$2,tbl_data[3:T1B],$A93,tbl_data[T1],$A$3)</f>
        <v>0</v>
      </c>
      <c r="E93" s="198">
        <f>COUNTIFS(tbl_data[12. Consultation Group of],$A$2,tbl_data[1:T2B],$A93,tbl_data[T2],$A$3)</f>
        <v>0</v>
      </c>
      <c r="F93" s="198">
        <f>COUNTIFS(tbl_data[12. Consultation Group of],$A$2,tbl_data[2:T2B],$A93,tbl_data[T2],$A$3)</f>
        <v>0</v>
      </c>
      <c r="G93" s="198">
        <f>COUNTIFS(tbl_data[12. Consultation Group of],$A$2,tbl_data[3:T2B],$A93,tbl_data[T2],$A$3)</f>
        <v>0</v>
      </c>
      <c r="H93" s="198">
        <f>COUNTIFS(tbl_data[12. Consultation Group of],$A$2,tbl_data[1:T3B],$A93,tbl_data[T3],$A$3)</f>
        <v>0</v>
      </c>
      <c r="I93" s="198">
        <f>COUNTIFS(tbl_data[12. Consultation Group of],$A$2,tbl_data[2:T3B],$A93,tbl_data[T3],$A$3)</f>
        <v>0</v>
      </c>
      <c r="J93" s="198">
        <f>COUNTIFS(tbl_data[12. Consultation Group of],$A$2,tbl_data[3:T3B],$A93,tbl_data[T3],$A$3)</f>
        <v>0</v>
      </c>
      <c r="K93" s="198">
        <f t="shared" si="14"/>
        <v>0</v>
      </c>
      <c r="L93" s="199" t="str">
        <f t="shared" si="15"/>
        <v>Dependency (0)</v>
      </c>
      <c r="M93" s="205">
        <f>COUNTIFS(tbl_data[12. Consultation Group of],$B$2,tbl_data[1:T1B],$A93,tbl_data[T1],$B$3)</f>
        <v>0</v>
      </c>
      <c r="N93" s="198">
        <f>COUNTIFS(tbl_data[12. Consultation Group of],$B$2,tbl_data[2:T1B],$A93,tbl_data[T1],$B$3)</f>
        <v>0</v>
      </c>
      <c r="O93" s="198">
        <f>COUNTIFS(tbl_data[12. Consultation Group of],$B$2,tbl_data[3:T1B],$A93,tbl_data[T1],$B$3)</f>
        <v>0</v>
      </c>
      <c r="P93" s="198">
        <f>COUNTIFS(tbl_data[12. Consultation Group of],$B$2,tbl_data[1:T2B],$A93,tbl_data[T2],$B$3)</f>
        <v>0</v>
      </c>
      <c r="Q93" s="198">
        <f>COUNTIFS(tbl_data[12. Consultation Group of],$B$2,tbl_data[2:T2B],$A93,tbl_data[T2],$B$3)</f>
        <v>0</v>
      </c>
      <c r="R93" s="198">
        <f>COUNTIFS(tbl_data[12. Consultation Group of],$B$2,tbl_data[3:T2B],$A93,tbl_data[T2],$B$3)</f>
        <v>0</v>
      </c>
      <c r="S93" s="198">
        <f>COUNTIFS(tbl_data[12. Consultation Group of],$B$2,tbl_data[1:T3B],$A93,tbl_data[T3],$B$3)</f>
        <v>0</v>
      </c>
      <c r="T93" s="198">
        <f>COUNTIFS(tbl_data[12. Consultation Group of],$B$2,tbl_data[2:T3B],$A93,tbl_data[T3],$B$3)</f>
        <v>0</v>
      </c>
      <c r="U93" s="198">
        <f>COUNTIFS(tbl_data[12. Consultation Group of],$B$2,tbl_data[3:T3B],$A93,tbl_data[T3],$B$3)</f>
        <v>0</v>
      </c>
      <c r="V93" s="198">
        <f t="shared" si="16"/>
        <v>0</v>
      </c>
      <c r="W93" s="199" t="str">
        <f t="shared" si="17"/>
        <v>Dependency (0)</v>
      </c>
      <c r="X93" s="205">
        <f>COUNTIFS(tbl_data[12. Consultation Group of],$C$2,tbl_data[1:T1B],$A93,tbl_data[T1],$C$3)</f>
        <v>0</v>
      </c>
      <c r="Y93" s="198">
        <f>COUNTIFS(tbl_data[12. Consultation Group of],$C$2,tbl_data[2:T1B],$A93,tbl_data[T1],$C$3)</f>
        <v>0</v>
      </c>
      <c r="Z93" s="198">
        <f>COUNTIFS(tbl_data[12. Consultation Group of],$C$2,tbl_data[3:T1B],$A93,tbl_data[T1],$C$3)</f>
        <v>0</v>
      </c>
      <c r="AA93" s="198">
        <f>COUNTIFS(tbl_data[12. Consultation Group of],$C$2,tbl_data[1:T2B],$A93,tbl_data[T2],$C$3)</f>
        <v>0</v>
      </c>
      <c r="AB93" s="198">
        <f>COUNTIFS(tbl_data[12. Consultation Group of],$C$2,tbl_data[2:T2B],$A93,tbl_data[T2],$C$3)</f>
        <v>0</v>
      </c>
      <c r="AC93" s="198">
        <f>COUNTIFS(tbl_data[12. Consultation Group of],$C$2,tbl_data[3:T2B],$A93,tbl_data[T2],$C$3)</f>
        <v>0</v>
      </c>
      <c r="AD93" s="198">
        <f>COUNTIFS(tbl_data[12. Consultation Group of],$C$2,tbl_data[1:T3B],$A93,tbl_data[T3],$C$3)</f>
        <v>0</v>
      </c>
      <c r="AE93" s="198">
        <f>COUNTIFS(tbl_data[12. Consultation Group of],$C$2,tbl_data[2:T3B],$A93,tbl_data[T3],$C$3)</f>
        <v>0</v>
      </c>
      <c r="AF93" s="198">
        <f>COUNTIFS(tbl_data[12. Consultation Group of],$C$2,tbl_data[3:T3B],$A93,tbl_data[T3],$C$3)</f>
        <v>0</v>
      </c>
      <c r="AG93" s="198">
        <f t="shared" si="18"/>
        <v>0</v>
      </c>
      <c r="AH93" s="199" t="str">
        <f t="shared" si="19"/>
        <v>Dependency (0)</v>
      </c>
      <c r="AI93" s="205">
        <f>COUNTIFS(tbl_data[12. Consultation Group of],$D$2,tbl_data[1:T1B],$A93,tbl_data[T1],$D$3)</f>
        <v>0</v>
      </c>
      <c r="AJ93" s="198">
        <f>COUNTIFS(tbl_data[12. Consultation Group of],$D$2,tbl_data[2:T1B],$A93,tbl_data[T1],$D$3)</f>
        <v>0</v>
      </c>
      <c r="AK93" s="198">
        <f>COUNTIFS(tbl_data[12. Consultation Group of],$D$2,tbl_data[3:T1B],$A93,tbl_data[T1],$D$3)</f>
        <v>0</v>
      </c>
      <c r="AL93" s="198">
        <f>COUNTIFS(tbl_data[12. Consultation Group of],$D$2,tbl_data[1:T2B],$A93,tbl_data[T2],$D$3)</f>
        <v>0</v>
      </c>
      <c r="AM93" s="198">
        <f>COUNTIFS(tbl_data[12. Consultation Group of],$D$2,tbl_data[2:T2B],$A93,tbl_data[T2],$D$3)</f>
        <v>0</v>
      </c>
      <c r="AN93" s="198">
        <f>COUNTIFS(tbl_data[12. Consultation Group of],$D$2,tbl_data[3:T2B],$A93,tbl_data[T2],$D$3)</f>
        <v>0</v>
      </c>
      <c r="AO93" s="198">
        <f>COUNTIFS(tbl_data[12. Consultation Group of],$D$2,tbl_data[1:T3B],$A93,tbl_data[T3],$D$3)</f>
        <v>0</v>
      </c>
      <c r="AP93" s="198">
        <f>COUNTIFS(tbl_data[12. Consultation Group of],$D$2,tbl_data[2:T3B],$A93,tbl_data[T3],$D$3)</f>
        <v>0</v>
      </c>
      <c r="AQ93" s="198">
        <f>COUNTIFS(tbl_data[12. Consultation Group of],$D$2,tbl_data[3:T3B],$A93,tbl_data[T3],$D$3)</f>
        <v>0</v>
      </c>
      <c r="AR93" s="198">
        <f t="shared" si="20"/>
        <v>0</v>
      </c>
      <c r="AS93" s="199" t="str">
        <f t="shared" si="21"/>
        <v>Dependency (0)</v>
      </c>
      <c r="AT93" s="205">
        <f>COUNTIFS(tbl_data[12. Consultation Group of],$E$2,tbl_data[1:T1B],$A93,tbl_data[T1],$E$3)</f>
        <v>0</v>
      </c>
      <c r="AU93" s="198">
        <f>COUNTIFS(tbl_data[12. Consultation Group of],$E$2,tbl_data[2:T1B],$A93,tbl_data[T1],$E$3)</f>
        <v>0</v>
      </c>
      <c r="AV93" s="198">
        <f>COUNTIFS(tbl_data[12. Consultation Group of],$E$2,tbl_data[3:T1B],$A93,tbl_data[T1],$E$3)</f>
        <v>0</v>
      </c>
      <c r="AW93" s="198">
        <f>COUNTIFS(tbl_data[12. Consultation Group of],$E$2,tbl_data[1:T2B],$A93,tbl_data[T2],$E$3)</f>
        <v>0</v>
      </c>
      <c r="AX93" s="198">
        <f>COUNTIFS(tbl_data[12. Consultation Group of],$E$2,tbl_data[2:T2B],$A93,tbl_data[T2],$E$3)</f>
        <v>0</v>
      </c>
      <c r="AY93" s="198">
        <f>COUNTIFS(tbl_data[12. Consultation Group of],$E$2,tbl_data[3:T2B],$A93,tbl_data[T2],$E$3)</f>
        <v>0</v>
      </c>
      <c r="AZ93" s="198">
        <f>COUNTIFS(tbl_data[12. Consultation Group of],$E$2,tbl_data[1:T3B],$A93,tbl_data[T3],$E$3)</f>
        <v>0</v>
      </c>
      <c r="BA93" s="198">
        <f>COUNTIFS(tbl_data[12. Consultation Group of],$E$2,tbl_data[2:T3B],$A93,tbl_data[T3],$E$3)</f>
        <v>0</v>
      </c>
      <c r="BB93" s="198">
        <f>COUNTIFS(tbl_data[12. Consultation Group of],$E$2,tbl_data[3:T3B],$A93,tbl_data[T3],$E$3)</f>
        <v>0</v>
      </c>
      <c r="BC93" s="198">
        <f t="shared" si="22"/>
        <v>0</v>
      </c>
      <c r="BD93" s="199" t="str">
        <f t="shared" si="23"/>
        <v>Dependency (0)</v>
      </c>
      <c r="BE93" s="205">
        <f>COUNTIFS(tbl_data[1:T1B],$A93,tbl_data[T1],$F$3)</f>
        <v>0</v>
      </c>
      <c r="BF93" s="198">
        <f>COUNTIFS(tbl_data[2:T1B],$A93,tbl_data[T1],$F$3)</f>
        <v>0</v>
      </c>
      <c r="BG93" s="198">
        <f>COUNTIFS(tbl_data[3:T1B],$A93,tbl_data[T1],$F$3)</f>
        <v>0</v>
      </c>
      <c r="BH93" s="198">
        <f>COUNTIFS(tbl_data[1:T2B],$A93,tbl_data[T2],$F$3)</f>
        <v>0</v>
      </c>
      <c r="BI93" s="198">
        <f>COUNTIFS(tbl_data[2:T2B],$A93,tbl_data[T2],$F$3)</f>
        <v>0</v>
      </c>
      <c r="BJ93" s="198">
        <f>COUNTIFS(tbl_data[3:T2B],$A93,tbl_data[T2],$F$3)</f>
        <v>0</v>
      </c>
      <c r="BK93" s="198">
        <f>COUNTIFS(tbl_data[1:T3B],$A93,tbl_data[T3],$F$3)</f>
        <v>0</v>
      </c>
      <c r="BL93" s="198">
        <f>COUNTIFS(tbl_data[2:T3B],$A93,tbl_data[T3],$F$3)</f>
        <v>0</v>
      </c>
      <c r="BM93" s="198">
        <f>COUNTIFS(tbl_data[3:T3B],$A93,tbl_data[T3],$F$3)</f>
        <v>0</v>
      </c>
      <c r="BN93" s="198">
        <f t="shared" si="24"/>
        <v>0</v>
      </c>
      <c r="BO93" s="199" t="str">
        <f t="shared" si="25"/>
        <v>Dependency (0)</v>
      </c>
      <c r="BQ93" t="str">
        <f t="shared" si="26"/>
        <v>Dependency</v>
      </c>
      <c r="BR93">
        <f t="shared" si="27"/>
        <v>0</v>
      </c>
    </row>
    <row r="94" spans="1:74" x14ac:dyDescent="0.25">
      <c r="A94" s="215" t="s">
        <v>262</v>
      </c>
      <c r="B94" s="205">
        <f>COUNTIFS(tbl_data[12. Consultation Group of],$A$2,tbl_data[1:T1B],$A94,tbl_data[T1],$A$3)</f>
        <v>0</v>
      </c>
      <c r="C94" s="198">
        <f>COUNTIFS(tbl_data[12. Consultation Group of],$A$2,tbl_data[2:T1B],$A94,tbl_data[T1],$A$3)</f>
        <v>0</v>
      </c>
      <c r="D94" s="198">
        <f>COUNTIFS(tbl_data[12. Consultation Group of],$A$2,tbl_data[3:T1B],$A94,tbl_data[T1],$A$3)</f>
        <v>0</v>
      </c>
      <c r="E94" s="198">
        <f>COUNTIFS(tbl_data[12. Consultation Group of],$A$2,tbl_data[1:T2B],$A94,tbl_data[T2],$A$3)</f>
        <v>0</v>
      </c>
      <c r="F94" s="198">
        <f>COUNTIFS(tbl_data[12. Consultation Group of],$A$2,tbl_data[2:T2B],$A94,tbl_data[T2],$A$3)</f>
        <v>0</v>
      </c>
      <c r="G94" s="198">
        <f>COUNTIFS(tbl_data[12. Consultation Group of],$A$2,tbl_data[3:T2B],$A94,tbl_data[T2],$A$3)</f>
        <v>0</v>
      </c>
      <c r="H94" s="198">
        <f>COUNTIFS(tbl_data[12. Consultation Group of],$A$2,tbl_data[1:T3B],$A94,tbl_data[T3],$A$3)</f>
        <v>0</v>
      </c>
      <c r="I94" s="198">
        <f>COUNTIFS(tbl_data[12. Consultation Group of],$A$2,tbl_data[2:T3B],$A94,tbl_data[T3],$A$3)</f>
        <v>0</v>
      </c>
      <c r="J94" s="198">
        <f>COUNTIFS(tbl_data[12. Consultation Group of],$A$2,tbl_data[3:T3B],$A94,tbl_data[T3],$A$3)</f>
        <v>0</v>
      </c>
      <c r="K94" s="198">
        <f t="shared" si="14"/>
        <v>0</v>
      </c>
      <c r="L94" s="199" t="str">
        <f t="shared" si="15"/>
        <v>Communication Issues (0)</v>
      </c>
      <c r="M94" s="205">
        <f>COUNTIFS(tbl_data[12. Consultation Group of],$B$2,tbl_data[1:T1B],$A94,tbl_data[T1],$B$3)</f>
        <v>0</v>
      </c>
      <c r="N94" s="198">
        <f>COUNTIFS(tbl_data[12. Consultation Group of],$B$2,tbl_data[2:T1B],$A94,tbl_data[T1],$B$3)</f>
        <v>0</v>
      </c>
      <c r="O94" s="198">
        <f>COUNTIFS(tbl_data[12. Consultation Group of],$B$2,tbl_data[3:T1B],$A94,tbl_data[T1],$B$3)</f>
        <v>0</v>
      </c>
      <c r="P94" s="198">
        <f>COUNTIFS(tbl_data[12. Consultation Group of],$B$2,tbl_data[1:T2B],$A94,tbl_data[T2],$B$3)</f>
        <v>0</v>
      </c>
      <c r="Q94" s="198">
        <f>COUNTIFS(tbl_data[12. Consultation Group of],$B$2,tbl_data[2:T2B],$A94,tbl_data[T2],$B$3)</f>
        <v>0</v>
      </c>
      <c r="R94" s="198">
        <f>COUNTIFS(tbl_data[12. Consultation Group of],$B$2,tbl_data[3:T2B],$A94,tbl_data[T2],$B$3)</f>
        <v>0</v>
      </c>
      <c r="S94" s="198">
        <f>COUNTIFS(tbl_data[12. Consultation Group of],$B$2,tbl_data[1:T3B],$A94,tbl_data[T3],$B$3)</f>
        <v>0</v>
      </c>
      <c r="T94" s="198">
        <f>COUNTIFS(tbl_data[12. Consultation Group of],$B$2,tbl_data[2:T3B],$A94,tbl_data[T3],$B$3)</f>
        <v>0</v>
      </c>
      <c r="U94" s="198">
        <f>COUNTIFS(tbl_data[12. Consultation Group of],$B$2,tbl_data[3:T3B],$A94,tbl_data[T3],$B$3)</f>
        <v>0</v>
      </c>
      <c r="V94" s="198">
        <f t="shared" si="16"/>
        <v>0</v>
      </c>
      <c r="W94" s="199" t="str">
        <f t="shared" si="17"/>
        <v>Communication Issues (0)</v>
      </c>
      <c r="X94" s="205">
        <f>COUNTIFS(tbl_data[12. Consultation Group of],$C$2,tbl_data[1:T1B],$A94,tbl_data[T1],$C$3)</f>
        <v>0</v>
      </c>
      <c r="Y94" s="198">
        <f>COUNTIFS(tbl_data[12. Consultation Group of],$C$2,tbl_data[2:T1B],$A94,tbl_data[T1],$C$3)</f>
        <v>0</v>
      </c>
      <c r="Z94" s="198">
        <f>COUNTIFS(tbl_data[12. Consultation Group of],$C$2,tbl_data[3:T1B],$A94,tbl_data[T1],$C$3)</f>
        <v>0</v>
      </c>
      <c r="AA94" s="198">
        <f>COUNTIFS(tbl_data[12. Consultation Group of],$C$2,tbl_data[1:T2B],$A94,tbl_data[T2],$C$3)</f>
        <v>0</v>
      </c>
      <c r="AB94" s="198">
        <f>COUNTIFS(tbl_data[12. Consultation Group of],$C$2,tbl_data[2:T2B],$A94,tbl_data[T2],$C$3)</f>
        <v>0</v>
      </c>
      <c r="AC94" s="198">
        <f>COUNTIFS(tbl_data[12. Consultation Group of],$C$2,tbl_data[3:T2B],$A94,tbl_data[T2],$C$3)</f>
        <v>0</v>
      </c>
      <c r="AD94" s="198">
        <f>COUNTIFS(tbl_data[12. Consultation Group of],$C$2,tbl_data[1:T3B],$A94,tbl_data[T3],$C$3)</f>
        <v>0</v>
      </c>
      <c r="AE94" s="198">
        <f>COUNTIFS(tbl_data[12. Consultation Group of],$C$2,tbl_data[2:T3B],$A94,tbl_data[T3],$C$3)</f>
        <v>0</v>
      </c>
      <c r="AF94" s="198">
        <f>COUNTIFS(tbl_data[12. Consultation Group of],$C$2,tbl_data[3:T3B],$A94,tbl_data[T3],$C$3)</f>
        <v>0</v>
      </c>
      <c r="AG94" s="198">
        <f t="shared" si="18"/>
        <v>0</v>
      </c>
      <c r="AH94" s="199" t="str">
        <f t="shared" si="19"/>
        <v>Communication Issues (0)</v>
      </c>
      <c r="AI94" s="205">
        <f>COUNTIFS(tbl_data[12. Consultation Group of],$D$2,tbl_data[1:T1B],$A94,tbl_data[T1],$D$3)</f>
        <v>0</v>
      </c>
      <c r="AJ94" s="198">
        <f>COUNTIFS(tbl_data[12. Consultation Group of],$D$2,tbl_data[2:T1B],$A94,tbl_data[T1],$D$3)</f>
        <v>0</v>
      </c>
      <c r="AK94" s="198">
        <f>COUNTIFS(tbl_data[12. Consultation Group of],$D$2,tbl_data[3:T1B],$A94,tbl_data[T1],$D$3)</f>
        <v>0</v>
      </c>
      <c r="AL94" s="198">
        <f>COUNTIFS(tbl_data[12. Consultation Group of],$D$2,tbl_data[1:T2B],$A94,tbl_data[T2],$D$3)</f>
        <v>0</v>
      </c>
      <c r="AM94" s="198">
        <f>COUNTIFS(tbl_data[12. Consultation Group of],$D$2,tbl_data[2:T2B],$A94,tbl_data[T2],$D$3)</f>
        <v>0</v>
      </c>
      <c r="AN94" s="198">
        <f>COUNTIFS(tbl_data[12. Consultation Group of],$D$2,tbl_data[3:T2B],$A94,tbl_data[T2],$D$3)</f>
        <v>0</v>
      </c>
      <c r="AO94" s="198">
        <f>COUNTIFS(tbl_data[12. Consultation Group of],$D$2,tbl_data[1:T3B],$A94,tbl_data[T3],$D$3)</f>
        <v>0</v>
      </c>
      <c r="AP94" s="198">
        <f>COUNTIFS(tbl_data[12. Consultation Group of],$D$2,tbl_data[2:T3B],$A94,tbl_data[T3],$D$3)</f>
        <v>0</v>
      </c>
      <c r="AQ94" s="198">
        <f>COUNTIFS(tbl_data[12. Consultation Group of],$D$2,tbl_data[3:T3B],$A94,tbl_data[T3],$D$3)</f>
        <v>0</v>
      </c>
      <c r="AR94" s="198">
        <f t="shared" si="20"/>
        <v>0</v>
      </c>
      <c r="AS94" s="199" t="str">
        <f t="shared" si="21"/>
        <v>Communication Issues (0)</v>
      </c>
      <c r="AT94" s="205">
        <f>COUNTIFS(tbl_data[12. Consultation Group of],$E$2,tbl_data[1:T1B],$A94,tbl_data[T1],$E$3)</f>
        <v>0</v>
      </c>
      <c r="AU94" s="198">
        <f>COUNTIFS(tbl_data[12. Consultation Group of],$E$2,tbl_data[2:T1B],$A94,tbl_data[T1],$E$3)</f>
        <v>0</v>
      </c>
      <c r="AV94" s="198">
        <f>COUNTIFS(tbl_data[12. Consultation Group of],$E$2,tbl_data[3:T1B],$A94,tbl_data[T1],$E$3)</f>
        <v>0</v>
      </c>
      <c r="AW94" s="198">
        <f>COUNTIFS(tbl_data[12. Consultation Group of],$E$2,tbl_data[1:T2B],$A94,tbl_data[T2],$E$3)</f>
        <v>0</v>
      </c>
      <c r="AX94" s="198">
        <f>COUNTIFS(tbl_data[12. Consultation Group of],$E$2,tbl_data[2:T2B],$A94,tbl_data[T2],$E$3)</f>
        <v>0</v>
      </c>
      <c r="AY94" s="198">
        <f>COUNTIFS(tbl_data[12. Consultation Group of],$E$2,tbl_data[3:T2B],$A94,tbl_data[T2],$E$3)</f>
        <v>0</v>
      </c>
      <c r="AZ94" s="198">
        <f>COUNTIFS(tbl_data[12. Consultation Group of],$E$2,tbl_data[1:T3B],$A94,tbl_data[T3],$E$3)</f>
        <v>0</v>
      </c>
      <c r="BA94" s="198">
        <f>COUNTIFS(tbl_data[12. Consultation Group of],$E$2,tbl_data[2:T3B],$A94,tbl_data[T3],$E$3)</f>
        <v>0</v>
      </c>
      <c r="BB94" s="198">
        <f>COUNTIFS(tbl_data[12. Consultation Group of],$E$2,tbl_data[3:T3B],$A94,tbl_data[T3],$E$3)</f>
        <v>0</v>
      </c>
      <c r="BC94" s="198">
        <f t="shared" si="22"/>
        <v>0</v>
      </c>
      <c r="BD94" s="199" t="str">
        <f t="shared" si="23"/>
        <v>Communication Issues (0)</v>
      </c>
      <c r="BE94" s="205">
        <f>COUNTIFS(tbl_data[1:T1B],$A94,tbl_data[T1],$F$3)</f>
        <v>0</v>
      </c>
      <c r="BF94" s="198">
        <f>COUNTIFS(tbl_data[2:T1B],$A94,tbl_data[T1],$F$3)</f>
        <v>0</v>
      </c>
      <c r="BG94" s="198">
        <f>COUNTIFS(tbl_data[3:T1B],$A94,tbl_data[T1],$F$3)</f>
        <v>0</v>
      </c>
      <c r="BH94" s="198">
        <f>COUNTIFS(tbl_data[1:T2B],$A94,tbl_data[T2],$F$3)</f>
        <v>0</v>
      </c>
      <c r="BI94" s="198">
        <f>COUNTIFS(tbl_data[2:T2B],$A94,tbl_data[T2],$F$3)</f>
        <v>0</v>
      </c>
      <c r="BJ94" s="198">
        <f>COUNTIFS(tbl_data[3:T2B],$A94,tbl_data[T2],$F$3)</f>
        <v>1</v>
      </c>
      <c r="BK94" s="198">
        <f>COUNTIFS(tbl_data[1:T3B],$A94,tbl_data[T3],$F$3)</f>
        <v>0</v>
      </c>
      <c r="BL94" s="198">
        <f>COUNTIFS(tbl_data[2:T3B],$A94,tbl_data[T3],$F$3)</f>
        <v>0</v>
      </c>
      <c r="BM94" s="198">
        <f>COUNTIFS(tbl_data[3:T3B],$A94,tbl_data[T3],$F$3)</f>
        <v>0</v>
      </c>
      <c r="BN94" s="198">
        <f t="shared" si="24"/>
        <v>1</v>
      </c>
      <c r="BO94" s="199" t="str">
        <f t="shared" si="25"/>
        <v>Communication Issues (1)</v>
      </c>
      <c r="BQ94" t="str">
        <f t="shared" si="26"/>
        <v>Communication Issues</v>
      </c>
      <c r="BR94">
        <f t="shared" si="27"/>
        <v>1</v>
      </c>
      <c r="BS94" t="s">
        <v>943</v>
      </c>
      <c r="BT94" t="s">
        <v>926</v>
      </c>
      <c r="BU94" s="277" t="s">
        <v>934</v>
      </c>
      <c r="BV94" s="153" t="s">
        <v>935</v>
      </c>
    </row>
    <row r="95" spans="1:74" x14ac:dyDescent="0.25">
      <c r="A95" s="215" t="s">
        <v>466</v>
      </c>
      <c r="B95" s="205">
        <f>COUNTIFS(tbl_data[12. Consultation Group of],$A$2,tbl_data[1:T1B],$A95,tbl_data[T1],$A$3)</f>
        <v>0</v>
      </c>
      <c r="C95" s="198">
        <f>COUNTIFS(tbl_data[12. Consultation Group of],$A$2,tbl_data[2:T1B],$A95,tbl_data[T1],$A$3)</f>
        <v>0</v>
      </c>
      <c r="D95" s="198">
        <f>COUNTIFS(tbl_data[12. Consultation Group of],$A$2,tbl_data[3:T1B],$A95,tbl_data[T1],$A$3)</f>
        <v>0</v>
      </c>
      <c r="E95" s="198">
        <f>COUNTIFS(tbl_data[12. Consultation Group of],$A$2,tbl_data[1:T2B],$A95,tbl_data[T2],$A$3)</f>
        <v>0</v>
      </c>
      <c r="F95" s="198">
        <f>COUNTIFS(tbl_data[12. Consultation Group of],$A$2,tbl_data[2:T2B],$A95,tbl_data[T2],$A$3)</f>
        <v>0</v>
      </c>
      <c r="G95" s="198">
        <f>COUNTIFS(tbl_data[12. Consultation Group of],$A$2,tbl_data[3:T2B],$A95,tbl_data[T2],$A$3)</f>
        <v>0</v>
      </c>
      <c r="H95" s="198">
        <f>COUNTIFS(tbl_data[12. Consultation Group of],$A$2,tbl_data[1:T3B],$A95,tbl_data[T3],$A$3)</f>
        <v>0</v>
      </c>
      <c r="I95" s="198">
        <f>COUNTIFS(tbl_data[12. Consultation Group of],$A$2,tbl_data[2:T3B],$A95,tbl_data[T3],$A$3)</f>
        <v>0</v>
      </c>
      <c r="J95" s="198">
        <f>COUNTIFS(tbl_data[12. Consultation Group of],$A$2,tbl_data[3:T3B],$A95,tbl_data[T3],$A$3)</f>
        <v>0</v>
      </c>
      <c r="K95" s="198">
        <f t="shared" si="14"/>
        <v>0</v>
      </c>
      <c r="L95" s="199" t="str">
        <f t="shared" si="15"/>
        <v>Lack Of Facilities (0)</v>
      </c>
      <c r="M95" s="205">
        <f>COUNTIFS(tbl_data[12. Consultation Group of],$B$2,tbl_data[1:T1B],$A95,tbl_data[T1],$B$3)</f>
        <v>0</v>
      </c>
      <c r="N95" s="198">
        <f>COUNTIFS(tbl_data[12. Consultation Group of],$B$2,tbl_data[2:T1B],$A95,tbl_data[T1],$B$3)</f>
        <v>0</v>
      </c>
      <c r="O95" s="198">
        <f>COUNTIFS(tbl_data[12. Consultation Group of],$B$2,tbl_data[3:T1B],$A95,tbl_data[T1],$B$3)</f>
        <v>0</v>
      </c>
      <c r="P95" s="198">
        <f>COUNTIFS(tbl_data[12. Consultation Group of],$B$2,tbl_data[1:T2B],$A95,tbl_data[T2],$B$3)</f>
        <v>0</v>
      </c>
      <c r="Q95" s="198">
        <f>COUNTIFS(tbl_data[12. Consultation Group of],$B$2,tbl_data[2:T2B],$A95,tbl_data[T2],$B$3)</f>
        <v>0</v>
      </c>
      <c r="R95" s="198">
        <f>COUNTIFS(tbl_data[12. Consultation Group of],$B$2,tbl_data[3:T2B],$A95,tbl_data[T2],$B$3)</f>
        <v>0</v>
      </c>
      <c r="S95" s="198">
        <f>COUNTIFS(tbl_data[12. Consultation Group of],$B$2,tbl_data[1:T3B],$A95,tbl_data[T3],$B$3)</f>
        <v>0</v>
      </c>
      <c r="T95" s="198">
        <f>COUNTIFS(tbl_data[12. Consultation Group of],$B$2,tbl_data[2:T3B],$A95,tbl_data[T3],$B$3)</f>
        <v>0</v>
      </c>
      <c r="U95" s="198">
        <f>COUNTIFS(tbl_data[12. Consultation Group of],$B$2,tbl_data[3:T3B],$A95,tbl_data[T3],$B$3)</f>
        <v>0</v>
      </c>
      <c r="V95" s="198">
        <f t="shared" si="16"/>
        <v>0</v>
      </c>
      <c r="W95" s="199" t="str">
        <f t="shared" si="17"/>
        <v>Lack Of Facilities (0)</v>
      </c>
      <c r="X95" s="205">
        <f>COUNTIFS(tbl_data[12. Consultation Group of],$C$2,tbl_data[1:T1B],$A95,tbl_data[T1],$C$3)</f>
        <v>0</v>
      </c>
      <c r="Y95" s="198">
        <f>COUNTIFS(tbl_data[12. Consultation Group of],$C$2,tbl_data[2:T1B],$A95,tbl_data[T1],$C$3)</f>
        <v>0</v>
      </c>
      <c r="Z95" s="198">
        <f>COUNTIFS(tbl_data[12. Consultation Group of],$C$2,tbl_data[3:T1B],$A95,tbl_data[T1],$C$3)</f>
        <v>0</v>
      </c>
      <c r="AA95" s="198">
        <f>COUNTIFS(tbl_data[12. Consultation Group of],$C$2,tbl_data[1:T2B],$A95,tbl_data[T2],$C$3)</f>
        <v>0</v>
      </c>
      <c r="AB95" s="198">
        <f>COUNTIFS(tbl_data[12. Consultation Group of],$C$2,tbl_data[2:T2B],$A95,tbl_data[T2],$C$3)</f>
        <v>0</v>
      </c>
      <c r="AC95" s="198">
        <f>COUNTIFS(tbl_data[12. Consultation Group of],$C$2,tbl_data[3:T2B],$A95,tbl_data[T2],$C$3)</f>
        <v>0</v>
      </c>
      <c r="AD95" s="198">
        <f>COUNTIFS(tbl_data[12. Consultation Group of],$C$2,tbl_data[1:T3B],$A95,tbl_data[T3],$C$3)</f>
        <v>0</v>
      </c>
      <c r="AE95" s="198">
        <f>COUNTIFS(tbl_data[12. Consultation Group of],$C$2,tbl_data[2:T3B],$A95,tbl_data[T3],$C$3)</f>
        <v>0</v>
      </c>
      <c r="AF95" s="198">
        <f>COUNTIFS(tbl_data[12. Consultation Group of],$C$2,tbl_data[3:T3B],$A95,tbl_data[T3],$C$3)</f>
        <v>0</v>
      </c>
      <c r="AG95" s="198">
        <f t="shared" si="18"/>
        <v>0</v>
      </c>
      <c r="AH95" s="199" t="str">
        <f t="shared" si="19"/>
        <v>Lack Of Facilities (0)</v>
      </c>
      <c r="AI95" s="205">
        <f>COUNTIFS(tbl_data[12. Consultation Group of],$D$2,tbl_data[1:T1B],$A95,tbl_data[T1],$D$3)</f>
        <v>0</v>
      </c>
      <c r="AJ95" s="198">
        <f>COUNTIFS(tbl_data[12. Consultation Group of],$D$2,tbl_data[2:T1B],$A95,tbl_data[T1],$D$3)</f>
        <v>0</v>
      </c>
      <c r="AK95" s="198">
        <f>COUNTIFS(tbl_data[12. Consultation Group of],$D$2,tbl_data[3:T1B],$A95,tbl_data[T1],$D$3)</f>
        <v>0</v>
      </c>
      <c r="AL95" s="198">
        <f>COUNTIFS(tbl_data[12. Consultation Group of],$D$2,tbl_data[1:T2B],$A95,tbl_data[T2],$D$3)</f>
        <v>0</v>
      </c>
      <c r="AM95" s="198">
        <f>COUNTIFS(tbl_data[12. Consultation Group of],$D$2,tbl_data[2:T2B],$A95,tbl_data[T2],$D$3)</f>
        <v>0</v>
      </c>
      <c r="AN95" s="198">
        <f>COUNTIFS(tbl_data[12. Consultation Group of],$D$2,tbl_data[3:T2B],$A95,tbl_data[T2],$D$3)</f>
        <v>0</v>
      </c>
      <c r="AO95" s="198">
        <f>COUNTIFS(tbl_data[12. Consultation Group of],$D$2,tbl_data[1:T3B],$A95,tbl_data[T3],$D$3)</f>
        <v>0</v>
      </c>
      <c r="AP95" s="198">
        <f>COUNTIFS(tbl_data[12. Consultation Group of],$D$2,tbl_data[2:T3B],$A95,tbl_data[T3],$D$3)</f>
        <v>0</v>
      </c>
      <c r="AQ95" s="198">
        <f>COUNTIFS(tbl_data[12. Consultation Group of],$D$2,tbl_data[3:T3B],$A95,tbl_data[T3],$D$3)</f>
        <v>0</v>
      </c>
      <c r="AR95" s="198">
        <f t="shared" si="20"/>
        <v>0</v>
      </c>
      <c r="AS95" s="199" t="str">
        <f t="shared" si="21"/>
        <v>Lack Of Facilities (0)</v>
      </c>
      <c r="AT95" s="205">
        <f>COUNTIFS(tbl_data[12. Consultation Group of],$E$2,tbl_data[1:T1B],$A95,tbl_data[T1],$E$3)</f>
        <v>0</v>
      </c>
      <c r="AU95" s="198">
        <f>COUNTIFS(tbl_data[12. Consultation Group of],$E$2,tbl_data[2:T1B],$A95,tbl_data[T1],$E$3)</f>
        <v>0</v>
      </c>
      <c r="AV95" s="198">
        <f>COUNTIFS(tbl_data[12. Consultation Group of],$E$2,tbl_data[3:T1B],$A95,tbl_data[T1],$E$3)</f>
        <v>1</v>
      </c>
      <c r="AW95" s="198">
        <f>COUNTIFS(tbl_data[12. Consultation Group of],$E$2,tbl_data[1:T2B],$A95,tbl_data[T2],$E$3)</f>
        <v>0</v>
      </c>
      <c r="AX95" s="198">
        <f>COUNTIFS(tbl_data[12. Consultation Group of],$E$2,tbl_data[2:T2B],$A95,tbl_data[T2],$E$3)</f>
        <v>0</v>
      </c>
      <c r="AY95" s="198">
        <f>COUNTIFS(tbl_data[12. Consultation Group of],$E$2,tbl_data[3:T2B],$A95,tbl_data[T2],$E$3)</f>
        <v>0</v>
      </c>
      <c r="AZ95" s="198">
        <f>COUNTIFS(tbl_data[12. Consultation Group of],$E$2,tbl_data[1:T3B],$A95,tbl_data[T3],$E$3)</f>
        <v>0</v>
      </c>
      <c r="BA95" s="198">
        <f>COUNTIFS(tbl_data[12. Consultation Group of],$E$2,tbl_data[2:T3B],$A95,tbl_data[T3],$E$3)</f>
        <v>0</v>
      </c>
      <c r="BB95" s="198">
        <f>COUNTIFS(tbl_data[12. Consultation Group of],$E$2,tbl_data[3:T3B],$A95,tbl_data[T3],$E$3)</f>
        <v>0</v>
      </c>
      <c r="BC95" s="198">
        <f t="shared" si="22"/>
        <v>1</v>
      </c>
      <c r="BD95" s="199" t="str">
        <f t="shared" si="23"/>
        <v>Lack Of Facilities (1)</v>
      </c>
      <c r="BE95" s="205">
        <f>COUNTIFS(tbl_data[1:T1B],$A95,tbl_data[T1],$F$3)</f>
        <v>0</v>
      </c>
      <c r="BF95" s="198">
        <f>COUNTIFS(tbl_data[2:T1B],$A95,tbl_data[T1],$F$3)</f>
        <v>0</v>
      </c>
      <c r="BG95" s="198">
        <f>COUNTIFS(tbl_data[3:T1B],$A95,tbl_data[T1],$F$3)</f>
        <v>0</v>
      </c>
      <c r="BH95" s="198">
        <f>COUNTIFS(tbl_data[1:T2B],$A95,tbl_data[T2],$F$3)</f>
        <v>0</v>
      </c>
      <c r="BI95" s="198">
        <f>COUNTIFS(tbl_data[2:T2B],$A95,tbl_data[T2],$F$3)</f>
        <v>0</v>
      </c>
      <c r="BJ95" s="198">
        <f>COUNTIFS(tbl_data[3:T2B],$A95,tbl_data[T2],$F$3)</f>
        <v>0</v>
      </c>
      <c r="BK95" s="198">
        <f>COUNTIFS(tbl_data[1:T3B],$A95,tbl_data[T3],$F$3)</f>
        <v>0</v>
      </c>
      <c r="BL95" s="198">
        <f>COUNTIFS(tbl_data[2:T3B],$A95,tbl_data[T3],$F$3)</f>
        <v>0</v>
      </c>
      <c r="BM95" s="198">
        <f>COUNTIFS(tbl_data[3:T3B],$A95,tbl_data[T3],$F$3)</f>
        <v>0</v>
      </c>
      <c r="BN95" s="198">
        <f t="shared" si="24"/>
        <v>0</v>
      </c>
      <c r="BO95" s="199" t="str">
        <f t="shared" si="25"/>
        <v>Lack Of Facilities (0)</v>
      </c>
      <c r="BQ95" t="str">
        <f t="shared" si="26"/>
        <v>Lack Of Facilities</v>
      </c>
      <c r="BR95">
        <f t="shared" si="27"/>
        <v>1</v>
      </c>
      <c r="BS95" t="s">
        <v>943</v>
      </c>
      <c r="BT95" t="s">
        <v>926</v>
      </c>
      <c r="BU95" s="277" t="s">
        <v>936</v>
      </c>
      <c r="BV95" s="153" t="s">
        <v>935</v>
      </c>
    </row>
    <row r="96" spans="1:74" x14ac:dyDescent="0.25">
      <c r="A96" s="215" t="s">
        <v>210</v>
      </c>
      <c r="B96" s="205">
        <f>COUNTIFS(tbl_data[12. Consultation Group of],$A$2,tbl_data[1:T1B],$A96,tbl_data[T1],$A$3)</f>
        <v>0</v>
      </c>
      <c r="C96" s="198">
        <f>COUNTIFS(tbl_data[12. Consultation Group of],$A$2,tbl_data[2:T1B],$A96,tbl_data[T1],$A$3)</f>
        <v>0</v>
      </c>
      <c r="D96" s="198">
        <f>COUNTIFS(tbl_data[12. Consultation Group of],$A$2,tbl_data[3:T1B],$A96,tbl_data[T1],$A$3)</f>
        <v>0</v>
      </c>
      <c r="E96" s="198">
        <f>COUNTIFS(tbl_data[12. Consultation Group of],$A$2,tbl_data[1:T2B],$A96,tbl_data[T2],$A$3)</f>
        <v>0</v>
      </c>
      <c r="F96" s="198">
        <f>COUNTIFS(tbl_data[12. Consultation Group of],$A$2,tbl_data[2:T2B],$A96,tbl_data[T2],$A$3)</f>
        <v>0</v>
      </c>
      <c r="G96" s="198">
        <f>COUNTIFS(tbl_data[12. Consultation Group of],$A$2,tbl_data[3:T2B],$A96,tbl_data[T2],$A$3)</f>
        <v>0</v>
      </c>
      <c r="H96" s="198">
        <f>COUNTIFS(tbl_data[12. Consultation Group of],$A$2,tbl_data[1:T3B],$A96,tbl_data[T3],$A$3)</f>
        <v>0</v>
      </c>
      <c r="I96" s="198">
        <f>COUNTIFS(tbl_data[12. Consultation Group of],$A$2,tbl_data[2:T3B],$A96,tbl_data[T3],$A$3)</f>
        <v>0</v>
      </c>
      <c r="J96" s="198">
        <f>COUNTIFS(tbl_data[12. Consultation Group of],$A$2,tbl_data[3:T3B],$A96,tbl_data[T3],$A$3)</f>
        <v>0</v>
      </c>
      <c r="K96" s="198">
        <f t="shared" si="14"/>
        <v>0</v>
      </c>
      <c r="L96" s="199" t="str">
        <f t="shared" si="15"/>
        <v>Lack Of Productive Techniques (0)</v>
      </c>
      <c r="M96" s="205">
        <f>COUNTIFS(tbl_data[12. Consultation Group of],$B$2,tbl_data[1:T1B],$A96,tbl_data[T1],$B$3)</f>
        <v>0</v>
      </c>
      <c r="N96" s="198">
        <f>COUNTIFS(tbl_data[12. Consultation Group of],$B$2,tbl_data[2:T1B],$A96,tbl_data[T1],$B$3)</f>
        <v>0</v>
      </c>
      <c r="O96" s="198">
        <f>COUNTIFS(tbl_data[12. Consultation Group of],$B$2,tbl_data[3:T1B],$A96,tbl_data[T1],$B$3)</f>
        <v>0</v>
      </c>
      <c r="P96" s="198">
        <f>COUNTIFS(tbl_data[12. Consultation Group of],$B$2,tbl_data[1:T2B],$A96,tbl_data[T2],$B$3)</f>
        <v>0</v>
      </c>
      <c r="Q96" s="198">
        <f>COUNTIFS(tbl_data[12. Consultation Group of],$B$2,tbl_data[2:T2B],$A96,tbl_data[T2],$B$3)</f>
        <v>0</v>
      </c>
      <c r="R96" s="198">
        <f>COUNTIFS(tbl_data[12. Consultation Group of],$B$2,tbl_data[3:T2B],$A96,tbl_data[T2],$B$3)</f>
        <v>0</v>
      </c>
      <c r="S96" s="198">
        <f>COUNTIFS(tbl_data[12. Consultation Group of],$B$2,tbl_data[1:T3B],$A96,tbl_data[T3],$B$3)</f>
        <v>0</v>
      </c>
      <c r="T96" s="198">
        <f>COUNTIFS(tbl_data[12. Consultation Group of],$B$2,tbl_data[2:T3B],$A96,tbl_data[T3],$B$3)</f>
        <v>0</v>
      </c>
      <c r="U96" s="198">
        <f>COUNTIFS(tbl_data[12. Consultation Group of],$B$2,tbl_data[3:T3B],$A96,tbl_data[T3],$B$3)</f>
        <v>0</v>
      </c>
      <c r="V96" s="198">
        <f t="shared" si="16"/>
        <v>0</v>
      </c>
      <c r="W96" s="199" t="str">
        <f t="shared" si="17"/>
        <v>Lack Of Productive Techniques (0)</v>
      </c>
      <c r="X96" s="205">
        <f>COUNTIFS(tbl_data[12. Consultation Group of],$C$2,tbl_data[1:T1B],$A96,tbl_data[T1],$C$3)</f>
        <v>0</v>
      </c>
      <c r="Y96" s="198">
        <f>COUNTIFS(tbl_data[12. Consultation Group of],$C$2,tbl_data[2:T1B],$A96,tbl_data[T1],$C$3)</f>
        <v>0</v>
      </c>
      <c r="Z96" s="198">
        <f>COUNTIFS(tbl_data[12. Consultation Group of],$C$2,tbl_data[3:T1B],$A96,tbl_data[T1],$C$3)</f>
        <v>0</v>
      </c>
      <c r="AA96" s="198">
        <f>COUNTIFS(tbl_data[12. Consultation Group of],$C$2,tbl_data[1:T2B],$A96,tbl_data[T2],$C$3)</f>
        <v>0</v>
      </c>
      <c r="AB96" s="198">
        <f>COUNTIFS(tbl_data[12. Consultation Group of],$C$2,tbl_data[2:T2B],$A96,tbl_data[T2],$C$3)</f>
        <v>0</v>
      </c>
      <c r="AC96" s="198">
        <f>COUNTIFS(tbl_data[12. Consultation Group of],$C$2,tbl_data[3:T2B],$A96,tbl_data[T2],$C$3)</f>
        <v>0</v>
      </c>
      <c r="AD96" s="198">
        <f>COUNTIFS(tbl_data[12. Consultation Group of],$C$2,tbl_data[1:T3B],$A96,tbl_data[T3],$C$3)</f>
        <v>0</v>
      </c>
      <c r="AE96" s="198">
        <f>COUNTIFS(tbl_data[12. Consultation Group of],$C$2,tbl_data[2:T3B],$A96,tbl_data[T3],$C$3)</f>
        <v>0</v>
      </c>
      <c r="AF96" s="198">
        <f>COUNTIFS(tbl_data[12. Consultation Group of],$C$2,tbl_data[3:T3B],$A96,tbl_data[T3],$C$3)</f>
        <v>0</v>
      </c>
      <c r="AG96" s="198">
        <f t="shared" si="18"/>
        <v>0</v>
      </c>
      <c r="AH96" s="199" t="str">
        <f t="shared" si="19"/>
        <v>Lack Of Productive Techniques (0)</v>
      </c>
      <c r="AI96" s="205">
        <f>COUNTIFS(tbl_data[12. Consultation Group of],$D$2,tbl_data[1:T1B],$A96,tbl_data[T1],$D$3)</f>
        <v>0</v>
      </c>
      <c r="AJ96" s="198">
        <f>COUNTIFS(tbl_data[12. Consultation Group of],$D$2,tbl_data[2:T1B],$A96,tbl_data[T1],$D$3)</f>
        <v>0</v>
      </c>
      <c r="AK96" s="198">
        <f>COUNTIFS(tbl_data[12. Consultation Group of],$D$2,tbl_data[3:T1B],$A96,tbl_data[T1],$D$3)</f>
        <v>0</v>
      </c>
      <c r="AL96" s="198">
        <f>COUNTIFS(tbl_data[12. Consultation Group of],$D$2,tbl_data[1:T2B],$A96,tbl_data[T2],$D$3)</f>
        <v>0</v>
      </c>
      <c r="AM96" s="198">
        <f>COUNTIFS(tbl_data[12. Consultation Group of],$D$2,tbl_data[2:T2B],$A96,tbl_data[T2],$D$3)</f>
        <v>0</v>
      </c>
      <c r="AN96" s="198">
        <f>COUNTIFS(tbl_data[12. Consultation Group of],$D$2,tbl_data[3:T2B],$A96,tbl_data[T2],$D$3)</f>
        <v>0</v>
      </c>
      <c r="AO96" s="198">
        <f>COUNTIFS(tbl_data[12. Consultation Group of],$D$2,tbl_data[1:T3B],$A96,tbl_data[T3],$D$3)</f>
        <v>0</v>
      </c>
      <c r="AP96" s="198">
        <f>COUNTIFS(tbl_data[12. Consultation Group of],$D$2,tbl_data[2:T3B],$A96,tbl_data[T3],$D$3)</f>
        <v>0</v>
      </c>
      <c r="AQ96" s="198">
        <f>COUNTIFS(tbl_data[12. Consultation Group of],$D$2,tbl_data[3:T3B],$A96,tbl_data[T3],$D$3)</f>
        <v>0</v>
      </c>
      <c r="AR96" s="198">
        <f t="shared" si="20"/>
        <v>0</v>
      </c>
      <c r="AS96" s="199" t="str">
        <f t="shared" si="21"/>
        <v>Lack Of Productive Techniques (0)</v>
      </c>
      <c r="AT96" s="205">
        <f>COUNTIFS(tbl_data[12. Consultation Group of],$E$2,tbl_data[1:T1B],$A96,tbl_data[T1],$E$3)</f>
        <v>0</v>
      </c>
      <c r="AU96" s="198">
        <f>COUNTIFS(tbl_data[12. Consultation Group of],$E$2,tbl_data[2:T1B],$A96,tbl_data[T1],$E$3)</f>
        <v>0</v>
      </c>
      <c r="AV96" s="198">
        <f>COUNTIFS(tbl_data[12. Consultation Group of],$E$2,tbl_data[3:T1B],$A96,tbl_data[T1],$E$3)</f>
        <v>0</v>
      </c>
      <c r="AW96" s="198">
        <f>COUNTIFS(tbl_data[12. Consultation Group of],$E$2,tbl_data[1:T2B],$A96,tbl_data[T2],$E$3)</f>
        <v>0</v>
      </c>
      <c r="AX96" s="198">
        <f>COUNTIFS(tbl_data[12. Consultation Group of],$E$2,tbl_data[2:T2B],$A96,tbl_data[T2],$E$3)</f>
        <v>0</v>
      </c>
      <c r="AY96" s="198">
        <f>COUNTIFS(tbl_data[12. Consultation Group of],$E$2,tbl_data[3:T2B],$A96,tbl_data[T2],$E$3)</f>
        <v>0</v>
      </c>
      <c r="AZ96" s="198">
        <f>COUNTIFS(tbl_data[12. Consultation Group of],$E$2,tbl_data[1:T3B],$A96,tbl_data[T3],$E$3)</f>
        <v>0</v>
      </c>
      <c r="BA96" s="198">
        <f>COUNTIFS(tbl_data[12. Consultation Group of],$E$2,tbl_data[2:T3B],$A96,tbl_data[T3],$E$3)</f>
        <v>0</v>
      </c>
      <c r="BB96" s="198">
        <f>COUNTIFS(tbl_data[12. Consultation Group of],$E$2,tbl_data[3:T3B],$A96,tbl_data[T3],$E$3)</f>
        <v>0</v>
      </c>
      <c r="BC96" s="198">
        <f t="shared" si="22"/>
        <v>0</v>
      </c>
      <c r="BD96" s="199" t="str">
        <f t="shared" si="23"/>
        <v>Lack Of Productive Techniques (0)</v>
      </c>
      <c r="BE96" s="205">
        <f>COUNTIFS(tbl_data[1:T1B],$A96,tbl_data[T1],$F$3)</f>
        <v>0</v>
      </c>
      <c r="BF96" s="198">
        <f>COUNTIFS(tbl_data[2:T1B],$A96,tbl_data[T1],$F$3)</f>
        <v>0</v>
      </c>
      <c r="BG96" s="198">
        <f>COUNTIFS(tbl_data[3:T1B],$A96,tbl_data[T1],$F$3)</f>
        <v>0</v>
      </c>
      <c r="BH96" s="198">
        <f>COUNTIFS(tbl_data[1:T2B],$A96,tbl_data[T2],$F$3)</f>
        <v>0</v>
      </c>
      <c r="BI96" s="198">
        <f>COUNTIFS(tbl_data[2:T2B],$A96,tbl_data[T2],$F$3)</f>
        <v>0</v>
      </c>
      <c r="BJ96" s="198">
        <f>COUNTIFS(tbl_data[3:T2B],$A96,tbl_data[T2],$F$3)</f>
        <v>0</v>
      </c>
      <c r="BK96" s="198">
        <f>COUNTIFS(tbl_data[1:T3B],$A96,tbl_data[T3],$F$3)</f>
        <v>0</v>
      </c>
      <c r="BL96" s="198">
        <f>COUNTIFS(tbl_data[2:T3B],$A96,tbl_data[T3],$F$3)</f>
        <v>0</v>
      </c>
      <c r="BM96" s="198">
        <f>COUNTIFS(tbl_data[3:T3B],$A96,tbl_data[T3],$F$3)</f>
        <v>0</v>
      </c>
      <c r="BN96" s="198">
        <f t="shared" si="24"/>
        <v>0</v>
      </c>
      <c r="BO96" s="199" t="str">
        <f t="shared" si="25"/>
        <v>Lack Of Productive Techniques (0)</v>
      </c>
      <c r="BQ96" t="str">
        <f t="shared" si="26"/>
        <v>Lack Of Productive Techniques</v>
      </c>
      <c r="BR96">
        <f t="shared" si="27"/>
        <v>0</v>
      </c>
    </row>
    <row r="97" spans="1:71" x14ac:dyDescent="0.25">
      <c r="A97" s="215" t="s">
        <v>280</v>
      </c>
      <c r="B97" s="205">
        <f>COUNTIFS(tbl_data[12. Consultation Group of],$A$2,tbl_data[1:T1B],$A97,tbl_data[T1],$A$3)</f>
        <v>0</v>
      </c>
      <c r="C97" s="198">
        <f>COUNTIFS(tbl_data[12. Consultation Group of],$A$2,tbl_data[2:T1B],$A97,tbl_data[T1],$A$3)</f>
        <v>0</v>
      </c>
      <c r="D97" s="198">
        <f>COUNTIFS(tbl_data[12. Consultation Group of],$A$2,tbl_data[3:T1B],$A97,tbl_data[T1],$A$3)</f>
        <v>0</v>
      </c>
      <c r="E97" s="198">
        <f>COUNTIFS(tbl_data[12. Consultation Group of],$A$2,tbl_data[1:T2B],$A97,tbl_data[T2],$A$3)</f>
        <v>0</v>
      </c>
      <c r="F97" s="198">
        <f>COUNTIFS(tbl_data[12. Consultation Group of],$A$2,tbl_data[2:T2B],$A97,tbl_data[T2],$A$3)</f>
        <v>0</v>
      </c>
      <c r="G97" s="198">
        <f>COUNTIFS(tbl_data[12. Consultation Group of],$A$2,tbl_data[3:T2B],$A97,tbl_data[T2],$A$3)</f>
        <v>0</v>
      </c>
      <c r="H97" s="198">
        <f>COUNTIFS(tbl_data[12. Consultation Group of],$A$2,tbl_data[1:T3B],$A97,tbl_data[T3],$A$3)</f>
        <v>0</v>
      </c>
      <c r="I97" s="198">
        <f>COUNTIFS(tbl_data[12. Consultation Group of],$A$2,tbl_data[2:T3B],$A97,tbl_data[T3],$A$3)</f>
        <v>0</v>
      </c>
      <c r="J97" s="198">
        <f>COUNTIFS(tbl_data[12. Consultation Group of],$A$2,tbl_data[3:T3B],$A97,tbl_data[T3],$A$3)</f>
        <v>0</v>
      </c>
      <c r="K97" s="198">
        <f t="shared" si="14"/>
        <v>0</v>
      </c>
      <c r="L97" s="199" t="str">
        <f t="shared" si="15"/>
        <v>Discrimination Against People With Disabilities (0)</v>
      </c>
      <c r="M97" s="205">
        <f>COUNTIFS(tbl_data[12. Consultation Group of],$B$2,tbl_data[1:T1B],$A97,tbl_data[T1],$B$3)</f>
        <v>0</v>
      </c>
      <c r="N97" s="198">
        <f>COUNTIFS(tbl_data[12. Consultation Group of],$B$2,tbl_data[2:T1B],$A97,tbl_data[T1],$B$3)</f>
        <v>0</v>
      </c>
      <c r="O97" s="198">
        <f>COUNTIFS(tbl_data[12. Consultation Group of],$B$2,tbl_data[3:T1B],$A97,tbl_data[T1],$B$3)</f>
        <v>0</v>
      </c>
      <c r="P97" s="198">
        <f>COUNTIFS(tbl_data[12. Consultation Group of],$B$2,tbl_data[1:T2B],$A97,tbl_data[T2],$B$3)</f>
        <v>0</v>
      </c>
      <c r="Q97" s="198">
        <f>COUNTIFS(tbl_data[12. Consultation Group of],$B$2,tbl_data[2:T2B],$A97,tbl_data[T2],$B$3)</f>
        <v>0</v>
      </c>
      <c r="R97" s="198">
        <f>COUNTIFS(tbl_data[12. Consultation Group of],$B$2,tbl_data[3:T2B],$A97,tbl_data[T2],$B$3)</f>
        <v>0</v>
      </c>
      <c r="S97" s="198">
        <f>COUNTIFS(tbl_data[12. Consultation Group of],$B$2,tbl_data[1:T3B],$A97,tbl_data[T3],$B$3)</f>
        <v>0</v>
      </c>
      <c r="T97" s="198">
        <f>COUNTIFS(tbl_data[12. Consultation Group of],$B$2,tbl_data[2:T3B],$A97,tbl_data[T3],$B$3)</f>
        <v>0</v>
      </c>
      <c r="U97" s="198">
        <f>COUNTIFS(tbl_data[12. Consultation Group of],$B$2,tbl_data[3:T3B],$A97,tbl_data[T3],$B$3)</f>
        <v>0</v>
      </c>
      <c r="V97" s="198">
        <f t="shared" si="16"/>
        <v>0</v>
      </c>
      <c r="W97" s="199" t="str">
        <f t="shared" si="17"/>
        <v>Discrimination Against People With Disabilities (0)</v>
      </c>
      <c r="X97" s="205">
        <f>COUNTIFS(tbl_data[12. Consultation Group of],$C$2,tbl_data[1:T1B],$A97,tbl_data[T1],$C$3)</f>
        <v>0</v>
      </c>
      <c r="Y97" s="198">
        <f>COUNTIFS(tbl_data[12. Consultation Group of],$C$2,tbl_data[2:T1B],$A97,tbl_data[T1],$C$3)</f>
        <v>0</v>
      </c>
      <c r="Z97" s="198">
        <f>COUNTIFS(tbl_data[12. Consultation Group of],$C$2,tbl_data[3:T1B],$A97,tbl_data[T1],$C$3)</f>
        <v>0</v>
      </c>
      <c r="AA97" s="198">
        <f>COUNTIFS(tbl_data[12. Consultation Group of],$C$2,tbl_data[1:T2B],$A97,tbl_data[T2],$C$3)</f>
        <v>0</v>
      </c>
      <c r="AB97" s="198">
        <f>COUNTIFS(tbl_data[12. Consultation Group of],$C$2,tbl_data[2:T2B],$A97,tbl_data[T2],$C$3)</f>
        <v>0</v>
      </c>
      <c r="AC97" s="198">
        <f>COUNTIFS(tbl_data[12. Consultation Group of],$C$2,tbl_data[3:T2B],$A97,tbl_data[T2],$C$3)</f>
        <v>0</v>
      </c>
      <c r="AD97" s="198">
        <f>COUNTIFS(tbl_data[12. Consultation Group of],$C$2,tbl_data[1:T3B],$A97,tbl_data[T3],$C$3)</f>
        <v>0</v>
      </c>
      <c r="AE97" s="198">
        <f>COUNTIFS(tbl_data[12. Consultation Group of],$C$2,tbl_data[2:T3B],$A97,tbl_data[T3],$C$3)</f>
        <v>0</v>
      </c>
      <c r="AF97" s="198">
        <f>COUNTIFS(tbl_data[12. Consultation Group of],$C$2,tbl_data[3:T3B],$A97,tbl_data[T3],$C$3)</f>
        <v>0</v>
      </c>
      <c r="AG97" s="198">
        <f t="shared" si="18"/>
        <v>0</v>
      </c>
      <c r="AH97" s="199" t="str">
        <f t="shared" si="19"/>
        <v>Discrimination Against People With Disabilities (0)</v>
      </c>
      <c r="AI97" s="205">
        <f>COUNTIFS(tbl_data[12. Consultation Group of],$D$2,tbl_data[1:T1B],$A97,tbl_data[T1],$D$3)</f>
        <v>0</v>
      </c>
      <c r="AJ97" s="198">
        <f>COUNTIFS(tbl_data[12. Consultation Group of],$D$2,tbl_data[2:T1B],$A97,tbl_data[T1],$D$3)</f>
        <v>0</v>
      </c>
      <c r="AK97" s="198">
        <f>COUNTIFS(tbl_data[12. Consultation Group of],$D$2,tbl_data[3:T1B],$A97,tbl_data[T1],$D$3)</f>
        <v>0</v>
      </c>
      <c r="AL97" s="198">
        <f>COUNTIFS(tbl_data[12. Consultation Group of],$D$2,tbl_data[1:T2B],$A97,tbl_data[T2],$D$3)</f>
        <v>0</v>
      </c>
      <c r="AM97" s="198">
        <f>COUNTIFS(tbl_data[12. Consultation Group of],$D$2,tbl_data[2:T2B],$A97,tbl_data[T2],$D$3)</f>
        <v>0</v>
      </c>
      <c r="AN97" s="198">
        <f>COUNTIFS(tbl_data[12. Consultation Group of],$D$2,tbl_data[3:T2B],$A97,tbl_data[T2],$D$3)</f>
        <v>0</v>
      </c>
      <c r="AO97" s="198">
        <f>COUNTIFS(tbl_data[12. Consultation Group of],$D$2,tbl_data[1:T3B],$A97,tbl_data[T3],$D$3)</f>
        <v>0</v>
      </c>
      <c r="AP97" s="198">
        <f>COUNTIFS(tbl_data[12. Consultation Group of],$D$2,tbl_data[2:T3B],$A97,tbl_data[T3],$D$3)</f>
        <v>0</v>
      </c>
      <c r="AQ97" s="198">
        <f>COUNTIFS(tbl_data[12. Consultation Group of],$D$2,tbl_data[3:T3B],$A97,tbl_data[T3],$D$3)</f>
        <v>0</v>
      </c>
      <c r="AR97" s="198">
        <f t="shared" si="20"/>
        <v>0</v>
      </c>
      <c r="AS97" s="199" t="str">
        <f t="shared" si="21"/>
        <v>Discrimination Against People With Disabilities (0)</v>
      </c>
      <c r="AT97" s="205">
        <f>COUNTIFS(tbl_data[12. Consultation Group of],$E$2,tbl_data[1:T1B],$A97,tbl_data[T1],$E$3)</f>
        <v>0</v>
      </c>
      <c r="AU97" s="198">
        <f>COUNTIFS(tbl_data[12. Consultation Group of],$E$2,tbl_data[2:T1B],$A97,tbl_data[T1],$E$3)</f>
        <v>0</v>
      </c>
      <c r="AV97" s="198">
        <f>COUNTIFS(tbl_data[12. Consultation Group of],$E$2,tbl_data[3:T1B],$A97,tbl_data[T1],$E$3)</f>
        <v>0</v>
      </c>
      <c r="AW97" s="198">
        <f>COUNTIFS(tbl_data[12. Consultation Group of],$E$2,tbl_data[1:T2B],$A97,tbl_data[T2],$E$3)</f>
        <v>0</v>
      </c>
      <c r="AX97" s="198">
        <f>COUNTIFS(tbl_data[12. Consultation Group of],$E$2,tbl_data[2:T2B],$A97,tbl_data[T2],$E$3)</f>
        <v>0</v>
      </c>
      <c r="AY97" s="198">
        <f>COUNTIFS(tbl_data[12. Consultation Group of],$E$2,tbl_data[3:T2B],$A97,tbl_data[T2],$E$3)</f>
        <v>0</v>
      </c>
      <c r="AZ97" s="198">
        <f>COUNTIFS(tbl_data[12. Consultation Group of],$E$2,tbl_data[1:T3B],$A97,tbl_data[T3],$E$3)</f>
        <v>0</v>
      </c>
      <c r="BA97" s="198">
        <f>COUNTIFS(tbl_data[12. Consultation Group of],$E$2,tbl_data[2:T3B],$A97,tbl_data[T3],$E$3)</f>
        <v>0</v>
      </c>
      <c r="BB97" s="198">
        <f>COUNTIFS(tbl_data[12. Consultation Group of],$E$2,tbl_data[3:T3B],$A97,tbl_data[T3],$E$3)</f>
        <v>0</v>
      </c>
      <c r="BC97" s="198">
        <f t="shared" si="22"/>
        <v>0</v>
      </c>
      <c r="BD97" s="199" t="str">
        <f t="shared" si="23"/>
        <v>Discrimination Against People With Disabilities (0)</v>
      </c>
      <c r="BE97" s="205">
        <f>COUNTIFS(tbl_data[1:T1B],$A97,tbl_data[T1],$F$3)</f>
        <v>0</v>
      </c>
      <c r="BF97" s="198">
        <f>COUNTIFS(tbl_data[2:T1B],$A97,tbl_data[T1],$F$3)</f>
        <v>0</v>
      </c>
      <c r="BG97" s="198">
        <f>COUNTIFS(tbl_data[3:T1B],$A97,tbl_data[T1],$F$3)</f>
        <v>0</v>
      </c>
      <c r="BH97" s="198">
        <f>COUNTIFS(tbl_data[1:T2B],$A97,tbl_data[T2],$F$3)</f>
        <v>0</v>
      </c>
      <c r="BI97" s="198">
        <f>COUNTIFS(tbl_data[2:T2B],$A97,tbl_data[T2],$F$3)</f>
        <v>0</v>
      </c>
      <c r="BJ97" s="198">
        <f>COUNTIFS(tbl_data[3:T2B],$A97,tbl_data[T2],$F$3)</f>
        <v>0</v>
      </c>
      <c r="BK97" s="198">
        <f>COUNTIFS(tbl_data[1:T3B],$A97,tbl_data[T3],$F$3)</f>
        <v>0</v>
      </c>
      <c r="BL97" s="198">
        <f>COUNTIFS(tbl_data[2:T3B],$A97,tbl_data[T3],$F$3)</f>
        <v>0</v>
      </c>
      <c r="BM97" s="198">
        <f>COUNTIFS(tbl_data[3:T3B],$A97,tbl_data[T3],$F$3)</f>
        <v>0</v>
      </c>
      <c r="BN97" s="198">
        <f t="shared" si="24"/>
        <v>0</v>
      </c>
      <c r="BO97" s="199" t="str">
        <f t="shared" si="25"/>
        <v>Discrimination Against People With Disabilities (0)</v>
      </c>
      <c r="BQ97" t="str">
        <f t="shared" si="26"/>
        <v>Discrimination Against People With Disabilities</v>
      </c>
      <c r="BR97">
        <f t="shared" si="27"/>
        <v>0</v>
      </c>
    </row>
    <row r="98" spans="1:71" x14ac:dyDescent="0.25">
      <c r="A98" s="215" t="s">
        <v>306</v>
      </c>
      <c r="B98" s="205">
        <f>COUNTIFS(tbl_data[12. Consultation Group of],$A$2,tbl_data[1:T1B],$A98,tbl_data[T1],$A$3)</f>
        <v>0</v>
      </c>
      <c r="C98" s="198">
        <f>COUNTIFS(tbl_data[12. Consultation Group of],$A$2,tbl_data[2:T1B],$A98,tbl_data[T1],$A$3)</f>
        <v>0</v>
      </c>
      <c r="D98" s="198">
        <f>COUNTIFS(tbl_data[12. Consultation Group of],$A$2,tbl_data[3:T1B],$A98,tbl_data[T1],$A$3)</f>
        <v>0</v>
      </c>
      <c r="E98" s="198">
        <f>COUNTIFS(tbl_data[12. Consultation Group of],$A$2,tbl_data[1:T2B],$A98,tbl_data[T2],$A$3)</f>
        <v>0</v>
      </c>
      <c r="F98" s="198">
        <f>COUNTIFS(tbl_data[12. Consultation Group of],$A$2,tbl_data[2:T2B],$A98,tbl_data[T2],$A$3)</f>
        <v>0</v>
      </c>
      <c r="G98" s="198">
        <f>COUNTIFS(tbl_data[12. Consultation Group of],$A$2,tbl_data[3:T2B],$A98,tbl_data[T2],$A$3)</f>
        <v>0</v>
      </c>
      <c r="H98" s="198">
        <f>COUNTIFS(tbl_data[12. Consultation Group of],$A$2,tbl_data[1:T3B],$A98,tbl_data[T3],$A$3)</f>
        <v>0</v>
      </c>
      <c r="I98" s="198">
        <f>COUNTIFS(tbl_data[12. Consultation Group of],$A$2,tbl_data[2:T3B],$A98,tbl_data[T3],$A$3)</f>
        <v>0</v>
      </c>
      <c r="J98" s="198">
        <f>COUNTIFS(tbl_data[12. Consultation Group of],$A$2,tbl_data[3:T3B],$A98,tbl_data[T3],$A$3)</f>
        <v>0</v>
      </c>
      <c r="K98" s="198">
        <f t="shared" si="14"/>
        <v>0</v>
      </c>
      <c r="L98" s="199" t="str">
        <f t="shared" si="15"/>
        <v>Unplanned Urbanisation (0)</v>
      </c>
      <c r="M98" s="205">
        <f>COUNTIFS(tbl_data[12. Consultation Group of],$B$2,tbl_data[1:T1B],$A98,tbl_data[T1],$B$3)</f>
        <v>0</v>
      </c>
      <c r="N98" s="198">
        <f>COUNTIFS(tbl_data[12. Consultation Group of],$B$2,tbl_data[2:T1B],$A98,tbl_data[T1],$B$3)</f>
        <v>0</v>
      </c>
      <c r="O98" s="198">
        <f>COUNTIFS(tbl_data[12. Consultation Group of],$B$2,tbl_data[3:T1B],$A98,tbl_data[T1],$B$3)</f>
        <v>0</v>
      </c>
      <c r="P98" s="198">
        <f>COUNTIFS(tbl_data[12. Consultation Group of],$B$2,tbl_data[1:T2B],$A98,tbl_data[T2],$B$3)</f>
        <v>0</v>
      </c>
      <c r="Q98" s="198">
        <f>COUNTIFS(tbl_data[12. Consultation Group of],$B$2,tbl_data[2:T2B],$A98,tbl_data[T2],$B$3)</f>
        <v>0</v>
      </c>
      <c r="R98" s="198">
        <f>COUNTIFS(tbl_data[12. Consultation Group of],$B$2,tbl_data[3:T2B],$A98,tbl_data[T2],$B$3)</f>
        <v>0</v>
      </c>
      <c r="S98" s="198">
        <f>COUNTIFS(tbl_data[12. Consultation Group of],$B$2,tbl_data[1:T3B],$A98,tbl_data[T3],$B$3)</f>
        <v>0</v>
      </c>
      <c r="T98" s="198">
        <f>COUNTIFS(tbl_data[12. Consultation Group of],$B$2,tbl_data[2:T3B],$A98,tbl_data[T3],$B$3)</f>
        <v>0</v>
      </c>
      <c r="U98" s="198">
        <f>COUNTIFS(tbl_data[12. Consultation Group of],$B$2,tbl_data[3:T3B],$A98,tbl_data[T3],$B$3)</f>
        <v>0</v>
      </c>
      <c r="V98" s="198">
        <f t="shared" si="16"/>
        <v>0</v>
      </c>
      <c r="W98" s="199" t="str">
        <f t="shared" si="17"/>
        <v>Unplanned Urbanisation (0)</v>
      </c>
      <c r="X98" s="205">
        <f>COUNTIFS(tbl_data[12. Consultation Group of],$C$2,tbl_data[1:T1B],$A98,tbl_data[T1],$C$3)</f>
        <v>0</v>
      </c>
      <c r="Y98" s="198">
        <f>COUNTIFS(tbl_data[12. Consultation Group of],$C$2,tbl_data[2:T1B],$A98,tbl_data[T1],$C$3)</f>
        <v>0</v>
      </c>
      <c r="Z98" s="198">
        <f>COUNTIFS(tbl_data[12. Consultation Group of],$C$2,tbl_data[3:T1B],$A98,tbl_data[T1],$C$3)</f>
        <v>0</v>
      </c>
      <c r="AA98" s="198">
        <f>COUNTIFS(tbl_data[12. Consultation Group of],$C$2,tbl_data[1:T2B],$A98,tbl_data[T2],$C$3)</f>
        <v>0</v>
      </c>
      <c r="AB98" s="198">
        <f>COUNTIFS(tbl_data[12. Consultation Group of],$C$2,tbl_data[2:T2B],$A98,tbl_data[T2],$C$3)</f>
        <v>0</v>
      </c>
      <c r="AC98" s="198">
        <f>COUNTIFS(tbl_data[12. Consultation Group of],$C$2,tbl_data[3:T2B],$A98,tbl_data[T2],$C$3)</f>
        <v>0</v>
      </c>
      <c r="AD98" s="198">
        <f>COUNTIFS(tbl_data[12. Consultation Group of],$C$2,tbl_data[1:T3B],$A98,tbl_data[T3],$C$3)</f>
        <v>0</v>
      </c>
      <c r="AE98" s="198">
        <f>COUNTIFS(tbl_data[12. Consultation Group of],$C$2,tbl_data[2:T3B],$A98,tbl_data[T3],$C$3)</f>
        <v>0</v>
      </c>
      <c r="AF98" s="198">
        <f>COUNTIFS(tbl_data[12. Consultation Group of],$C$2,tbl_data[3:T3B],$A98,tbl_data[T3],$C$3)</f>
        <v>0</v>
      </c>
      <c r="AG98" s="198">
        <f t="shared" si="18"/>
        <v>0</v>
      </c>
      <c r="AH98" s="199" t="str">
        <f t="shared" si="19"/>
        <v>Unplanned Urbanisation (0)</v>
      </c>
      <c r="AI98" s="205">
        <f>COUNTIFS(tbl_data[12. Consultation Group of],$D$2,tbl_data[1:T1B],$A98,tbl_data[T1],$D$3)</f>
        <v>0</v>
      </c>
      <c r="AJ98" s="198">
        <f>COUNTIFS(tbl_data[12. Consultation Group of],$D$2,tbl_data[2:T1B],$A98,tbl_data[T1],$D$3)</f>
        <v>0</v>
      </c>
      <c r="AK98" s="198">
        <f>COUNTIFS(tbl_data[12. Consultation Group of],$D$2,tbl_data[3:T1B],$A98,tbl_data[T1],$D$3)</f>
        <v>0</v>
      </c>
      <c r="AL98" s="198">
        <f>COUNTIFS(tbl_data[12. Consultation Group of],$D$2,tbl_data[1:T2B],$A98,tbl_data[T2],$D$3)</f>
        <v>0</v>
      </c>
      <c r="AM98" s="198">
        <f>COUNTIFS(tbl_data[12. Consultation Group of],$D$2,tbl_data[2:T2B],$A98,tbl_data[T2],$D$3)</f>
        <v>0</v>
      </c>
      <c r="AN98" s="198">
        <f>COUNTIFS(tbl_data[12. Consultation Group of],$D$2,tbl_data[3:T2B],$A98,tbl_data[T2],$D$3)</f>
        <v>0</v>
      </c>
      <c r="AO98" s="198">
        <f>COUNTIFS(tbl_data[12. Consultation Group of],$D$2,tbl_data[1:T3B],$A98,tbl_data[T3],$D$3)</f>
        <v>0</v>
      </c>
      <c r="AP98" s="198">
        <f>COUNTIFS(tbl_data[12. Consultation Group of],$D$2,tbl_data[2:T3B],$A98,tbl_data[T3],$D$3)</f>
        <v>0</v>
      </c>
      <c r="AQ98" s="198">
        <f>COUNTIFS(tbl_data[12. Consultation Group of],$D$2,tbl_data[3:T3B],$A98,tbl_data[T3],$D$3)</f>
        <v>0</v>
      </c>
      <c r="AR98" s="198">
        <f t="shared" si="20"/>
        <v>0</v>
      </c>
      <c r="AS98" s="199" t="str">
        <f t="shared" si="21"/>
        <v>Unplanned Urbanisation (0)</v>
      </c>
      <c r="AT98" s="205">
        <f>COUNTIFS(tbl_data[12. Consultation Group of],$E$2,tbl_data[1:T1B],$A98,tbl_data[T1],$E$3)</f>
        <v>0</v>
      </c>
      <c r="AU98" s="198">
        <f>COUNTIFS(tbl_data[12. Consultation Group of],$E$2,tbl_data[2:T1B],$A98,tbl_data[T1],$E$3)</f>
        <v>0</v>
      </c>
      <c r="AV98" s="198">
        <f>COUNTIFS(tbl_data[12. Consultation Group of],$E$2,tbl_data[3:T1B],$A98,tbl_data[T1],$E$3)</f>
        <v>0</v>
      </c>
      <c r="AW98" s="198">
        <f>COUNTIFS(tbl_data[12. Consultation Group of],$E$2,tbl_data[1:T2B],$A98,tbl_data[T2],$E$3)</f>
        <v>0</v>
      </c>
      <c r="AX98" s="198">
        <f>COUNTIFS(tbl_data[12. Consultation Group of],$E$2,tbl_data[2:T2B],$A98,tbl_data[T2],$E$3)</f>
        <v>0</v>
      </c>
      <c r="AY98" s="198">
        <f>COUNTIFS(tbl_data[12. Consultation Group of],$E$2,tbl_data[3:T2B],$A98,tbl_data[T2],$E$3)</f>
        <v>0</v>
      </c>
      <c r="AZ98" s="198">
        <f>COUNTIFS(tbl_data[12. Consultation Group of],$E$2,tbl_data[1:T3B],$A98,tbl_data[T3],$E$3)</f>
        <v>0</v>
      </c>
      <c r="BA98" s="198">
        <f>COUNTIFS(tbl_data[12. Consultation Group of],$E$2,tbl_data[2:T3B],$A98,tbl_data[T3],$E$3)</f>
        <v>0</v>
      </c>
      <c r="BB98" s="198">
        <f>COUNTIFS(tbl_data[12. Consultation Group of],$E$2,tbl_data[3:T3B],$A98,tbl_data[T3],$E$3)</f>
        <v>0</v>
      </c>
      <c r="BC98" s="198">
        <f t="shared" si="22"/>
        <v>0</v>
      </c>
      <c r="BD98" s="199" t="str">
        <f t="shared" si="23"/>
        <v>Unplanned Urbanisation (0)</v>
      </c>
      <c r="BE98" s="205">
        <f>COUNTIFS(tbl_data[1:T1B],$A98,tbl_data[T1],$F$3)</f>
        <v>0</v>
      </c>
      <c r="BF98" s="198">
        <f>COUNTIFS(tbl_data[2:T1B],$A98,tbl_data[T1],$F$3)</f>
        <v>0</v>
      </c>
      <c r="BG98" s="198">
        <f>COUNTIFS(tbl_data[3:T1B],$A98,tbl_data[T1],$F$3)</f>
        <v>0</v>
      </c>
      <c r="BH98" s="198">
        <f>COUNTIFS(tbl_data[1:T2B],$A98,tbl_data[T2],$F$3)</f>
        <v>0</v>
      </c>
      <c r="BI98" s="198">
        <f>COUNTIFS(tbl_data[2:T2B],$A98,tbl_data[T2],$F$3)</f>
        <v>0</v>
      </c>
      <c r="BJ98" s="198">
        <f>COUNTIFS(tbl_data[3:T2B],$A98,tbl_data[T2],$F$3)</f>
        <v>0</v>
      </c>
      <c r="BK98" s="198">
        <f>COUNTIFS(tbl_data[1:T3B],$A98,tbl_data[T3],$F$3)</f>
        <v>0</v>
      </c>
      <c r="BL98" s="198">
        <f>COUNTIFS(tbl_data[2:T3B],$A98,tbl_data[T3],$F$3)</f>
        <v>0</v>
      </c>
      <c r="BM98" s="198">
        <f>COUNTIFS(tbl_data[3:T3B],$A98,tbl_data[T3],$F$3)</f>
        <v>0</v>
      </c>
      <c r="BN98" s="198">
        <f t="shared" si="24"/>
        <v>0</v>
      </c>
      <c r="BO98" s="199" t="str">
        <f t="shared" si="25"/>
        <v>Unplanned Urbanisation (0)</v>
      </c>
      <c r="BQ98" t="str">
        <f t="shared" si="26"/>
        <v>Unplanned Urbanisation</v>
      </c>
      <c r="BR98">
        <f t="shared" si="27"/>
        <v>0</v>
      </c>
    </row>
    <row r="99" spans="1:71" x14ac:dyDescent="0.25">
      <c r="A99" s="215" t="s">
        <v>362</v>
      </c>
      <c r="B99" s="205">
        <f>COUNTIFS(tbl_data[12. Consultation Group of],$A$2,tbl_data[1:T1B],$A99,tbl_data[T1],$A$3)</f>
        <v>0</v>
      </c>
      <c r="C99" s="198">
        <f>COUNTIFS(tbl_data[12. Consultation Group of],$A$2,tbl_data[2:T1B],$A99,tbl_data[T1],$A$3)</f>
        <v>0</v>
      </c>
      <c r="D99" s="198">
        <f>COUNTIFS(tbl_data[12. Consultation Group of],$A$2,tbl_data[3:T1B],$A99,tbl_data[T1],$A$3)</f>
        <v>0</v>
      </c>
      <c r="E99" s="198">
        <f>COUNTIFS(tbl_data[12. Consultation Group of],$A$2,tbl_data[1:T2B],$A99,tbl_data[T2],$A$3)</f>
        <v>0</v>
      </c>
      <c r="F99" s="198">
        <f>COUNTIFS(tbl_data[12. Consultation Group of],$A$2,tbl_data[2:T2B],$A99,tbl_data[T2],$A$3)</f>
        <v>0</v>
      </c>
      <c r="G99" s="198">
        <f>COUNTIFS(tbl_data[12. Consultation Group of],$A$2,tbl_data[3:T2B],$A99,tbl_data[T2],$A$3)</f>
        <v>0</v>
      </c>
      <c r="H99" s="198">
        <f>COUNTIFS(tbl_data[12. Consultation Group of],$A$2,tbl_data[1:T3B],$A99,tbl_data[T3],$A$3)</f>
        <v>0</v>
      </c>
      <c r="I99" s="198">
        <f>COUNTIFS(tbl_data[12. Consultation Group of],$A$2,tbl_data[2:T3B],$A99,tbl_data[T3],$A$3)</f>
        <v>0</v>
      </c>
      <c r="J99" s="198">
        <f>COUNTIFS(tbl_data[12. Consultation Group of],$A$2,tbl_data[3:T3B],$A99,tbl_data[T3],$A$3)</f>
        <v>0</v>
      </c>
      <c r="K99" s="198">
        <f t="shared" si="14"/>
        <v>0</v>
      </c>
      <c r="L99" s="199" t="str">
        <f t="shared" si="15"/>
        <v>Landlessness (0)</v>
      </c>
      <c r="M99" s="205">
        <f>COUNTIFS(tbl_data[12. Consultation Group of],$B$2,tbl_data[1:T1B],$A99,tbl_data[T1],$B$3)</f>
        <v>0</v>
      </c>
      <c r="N99" s="198">
        <f>COUNTIFS(tbl_data[12. Consultation Group of],$B$2,tbl_data[2:T1B],$A99,tbl_data[T1],$B$3)</f>
        <v>0</v>
      </c>
      <c r="O99" s="198">
        <f>COUNTIFS(tbl_data[12. Consultation Group of],$B$2,tbl_data[3:T1B],$A99,tbl_data[T1],$B$3)</f>
        <v>0</v>
      </c>
      <c r="P99" s="198">
        <f>COUNTIFS(tbl_data[12. Consultation Group of],$B$2,tbl_data[1:T2B],$A99,tbl_data[T2],$B$3)</f>
        <v>0</v>
      </c>
      <c r="Q99" s="198">
        <f>COUNTIFS(tbl_data[12. Consultation Group of],$B$2,tbl_data[2:T2B],$A99,tbl_data[T2],$B$3)</f>
        <v>0</v>
      </c>
      <c r="R99" s="198">
        <f>COUNTIFS(tbl_data[12. Consultation Group of],$B$2,tbl_data[3:T2B],$A99,tbl_data[T2],$B$3)</f>
        <v>0</v>
      </c>
      <c r="S99" s="198">
        <f>COUNTIFS(tbl_data[12. Consultation Group of],$B$2,tbl_data[1:T3B],$A99,tbl_data[T3],$B$3)</f>
        <v>0</v>
      </c>
      <c r="T99" s="198">
        <f>COUNTIFS(tbl_data[12. Consultation Group of],$B$2,tbl_data[2:T3B],$A99,tbl_data[T3],$B$3)</f>
        <v>0</v>
      </c>
      <c r="U99" s="198">
        <f>COUNTIFS(tbl_data[12. Consultation Group of],$B$2,tbl_data[3:T3B],$A99,tbl_data[T3],$B$3)</f>
        <v>0</v>
      </c>
      <c r="V99" s="198">
        <f t="shared" si="16"/>
        <v>0</v>
      </c>
      <c r="W99" s="199" t="str">
        <f t="shared" si="17"/>
        <v>Landlessness (0)</v>
      </c>
      <c r="X99" s="205">
        <f>COUNTIFS(tbl_data[12. Consultation Group of],$C$2,tbl_data[1:T1B],$A99,tbl_data[T1],$C$3)</f>
        <v>0</v>
      </c>
      <c r="Y99" s="198">
        <f>COUNTIFS(tbl_data[12. Consultation Group of],$C$2,tbl_data[2:T1B],$A99,tbl_data[T1],$C$3)</f>
        <v>0</v>
      </c>
      <c r="Z99" s="198">
        <f>COUNTIFS(tbl_data[12. Consultation Group of],$C$2,tbl_data[3:T1B],$A99,tbl_data[T1],$C$3)</f>
        <v>0</v>
      </c>
      <c r="AA99" s="198">
        <f>COUNTIFS(tbl_data[12. Consultation Group of],$C$2,tbl_data[1:T2B],$A99,tbl_data[T2],$C$3)</f>
        <v>0</v>
      </c>
      <c r="AB99" s="198">
        <f>COUNTIFS(tbl_data[12. Consultation Group of],$C$2,tbl_data[2:T2B],$A99,tbl_data[T2],$C$3)</f>
        <v>0</v>
      </c>
      <c r="AC99" s="198">
        <f>COUNTIFS(tbl_data[12. Consultation Group of],$C$2,tbl_data[3:T2B],$A99,tbl_data[T2],$C$3)</f>
        <v>0</v>
      </c>
      <c r="AD99" s="198">
        <f>COUNTIFS(tbl_data[12. Consultation Group of],$C$2,tbl_data[1:T3B],$A99,tbl_data[T3],$C$3)</f>
        <v>0</v>
      </c>
      <c r="AE99" s="198">
        <f>COUNTIFS(tbl_data[12. Consultation Group of],$C$2,tbl_data[2:T3B],$A99,tbl_data[T3],$C$3)</f>
        <v>0</v>
      </c>
      <c r="AF99" s="198">
        <f>COUNTIFS(tbl_data[12. Consultation Group of],$C$2,tbl_data[3:T3B],$A99,tbl_data[T3],$C$3)</f>
        <v>0</v>
      </c>
      <c r="AG99" s="198">
        <f t="shared" si="18"/>
        <v>0</v>
      </c>
      <c r="AH99" s="199" t="str">
        <f t="shared" si="19"/>
        <v>Landlessness (0)</v>
      </c>
      <c r="AI99" s="205">
        <f>COUNTIFS(tbl_data[12. Consultation Group of],$D$2,tbl_data[1:T1B],$A99,tbl_data[T1],$D$3)</f>
        <v>0</v>
      </c>
      <c r="AJ99" s="198">
        <f>COUNTIFS(tbl_data[12. Consultation Group of],$D$2,tbl_data[2:T1B],$A99,tbl_data[T1],$D$3)</f>
        <v>0</v>
      </c>
      <c r="AK99" s="198">
        <f>COUNTIFS(tbl_data[12. Consultation Group of],$D$2,tbl_data[3:T1B],$A99,tbl_data[T1],$D$3)</f>
        <v>0</v>
      </c>
      <c r="AL99" s="198">
        <f>COUNTIFS(tbl_data[12. Consultation Group of],$D$2,tbl_data[1:T2B],$A99,tbl_data[T2],$D$3)</f>
        <v>0</v>
      </c>
      <c r="AM99" s="198">
        <f>COUNTIFS(tbl_data[12. Consultation Group of],$D$2,tbl_data[2:T2B],$A99,tbl_data[T2],$D$3)</f>
        <v>0</v>
      </c>
      <c r="AN99" s="198">
        <f>COUNTIFS(tbl_data[12. Consultation Group of],$D$2,tbl_data[3:T2B],$A99,tbl_data[T2],$D$3)</f>
        <v>0</v>
      </c>
      <c r="AO99" s="198">
        <f>COUNTIFS(tbl_data[12. Consultation Group of],$D$2,tbl_data[1:T3B],$A99,tbl_data[T3],$D$3)</f>
        <v>0</v>
      </c>
      <c r="AP99" s="198">
        <f>COUNTIFS(tbl_data[12. Consultation Group of],$D$2,tbl_data[2:T3B],$A99,tbl_data[T3],$D$3)</f>
        <v>0</v>
      </c>
      <c r="AQ99" s="198">
        <f>COUNTIFS(tbl_data[12. Consultation Group of],$D$2,tbl_data[3:T3B],$A99,tbl_data[T3],$D$3)</f>
        <v>0</v>
      </c>
      <c r="AR99" s="198">
        <f t="shared" si="20"/>
        <v>0</v>
      </c>
      <c r="AS99" s="199" t="str">
        <f t="shared" si="21"/>
        <v>Landlessness (0)</v>
      </c>
      <c r="AT99" s="205">
        <f>COUNTIFS(tbl_data[12. Consultation Group of],$E$2,tbl_data[1:T1B],$A99,tbl_data[T1],$E$3)</f>
        <v>0</v>
      </c>
      <c r="AU99" s="198">
        <f>COUNTIFS(tbl_data[12. Consultation Group of],$E$2,tbl_data[2:T1B],$A99,tbl_data[T1],$E$3)</f>
        <v>0</v>
      </c>
      <c r="AV99" s="198">
        <f>COUNTIFS(tbl_data[12. Consultation Group of],$E$2,tbl_data[3:T1B],$A99,tbl_data[T1],$E$3)</f>
        <v>0</v>
      </c>
      <c r="AW99" s="198">
        <f>COUNTIFS(tbl_data[12. Consultation Group of],$E$2,tbl_data[1:T2B],$A99,tbl_data[T2],$E$3)</f>
        <v>0</v>
      </c>
      <c r="AX99" s="198">
        <f>COUNTIFS(tbl_data[12. Consultation Group of],$E$2,tbl_data[2:T2B],$A99,tbl_data[T2],$E$3)</f>
        <v>0</v>
      </c>
      <c r="AY99" s="198">
        <f>COUNTIFS(tbl_data[12. Consultation Group of],$E$2,tbl_data[3:T2B],$A99,tbl_data[T2],$E$3)</f>
        <v>0</v>
      </c>
      <c r="AZ99" s="198">
        <f>COUNTIFS(tbl_data[12. Consultation Group of],$E$2,tbl_data[1:T3B],$A99,tbl_data[T3],$E$3)</f>
        <v>0</v>
      </c>
      <c r="BA99" s="198">
        <f>COUNTIFS(tbl_data[12. Consultation Group of],$E$2,tbl_data[2:T3B],$A99,tbl_data[T3],$E$3)</f>
        <v>0</v>
      </c>
      <c r="BB99" s="198">
        <f>COUNTIFS(tbl_data[12. Consultation Group of],$E$2,tbl_data[3:T3B],$A99,tbl_data[T3],$E$3)</f>
        <v>0</v>
      </c>
      <c r="BC99" s="198">
        <f t="shared" si="22"/>
        <v>0</v>
      </c>
      <c r="BD99" s="199" t="str">
        <f t="shared" si="23"/>
        <v>Landlessness (0)</v>
      </c>
      <c r="BE99" s="205">
        <f>COUNTIFS(tbl_data[1:T1B],$A99,tbl_data[T1],$F$3)</f>
        <v>0</v>
      </c>
      <c r="BF99" s="198">
        <f>COUNTIFS(tbl_data[2:T1B],$A99,tbl_data[T1],$F$3)</f>
        <v>0</v>
      </c>
      <c r="BG99" s="198">
        <f>COUNTIFS(tbl_data[3:T1B],$A99,tbl_data[T1],$F$3)</f>
        <v>0</v>
      </c>
      <c r="BH99" s="198">
        <f>COUNTIFS(tbl_data[1:T2B],$A99,tbl_data[T2],$F$3)</f>
        <v>0</v>
      </c>
      <c r="BI99" s="198">
        <f>COUNTIFS(tbl_data[2:T2B],$A99,tbl_data[T2],$F$3)</f>
        <v>0</v>
      </c>
      <c r="BJ99" s="198">
        <f>COUNTIFS(tbl_data[3:T2B],$A99,tbl_data[T2],$F$3)</f>
        <v>0</v>
      </c>
      <c r="BK99" s="198">
        <f>COUNTIFS(tbl_data[1:T3B],$A99,tbl_data[T3],$F$3)</f>
        <v>0</v>
      </c>
      <c r="BL99" s="198">
        <f>COUNTIFS(tbl_data[2:T3B],$A99,tbl_data[T3],$F$3)</f>
        <v>0</v>
      </c>
      <c r="BM99" s="198">
        <f>COUNTIFS(tbl_data[3:T3B],$A99,tbl_data[T3],$F$3)</f>
        <v>0</v>
      </c>
      <c r="BN99" s="198">
        <f t="shared" si="24"/>
        <v>0</v>
      </c>
      <c r="BO99" s="199" t="str">
        <f t="shared" si="25"/>
        <v>Landlessness (0)</v>
      </c>
      <c r="BQ99" t="str">
        <f t="shared" si="26"/>
        <v>Landlessness</v>
      </c>
      <c r="BR99">
        <f t="shared" si="27"/>
        <v>0</v>
      </c>
    </row>
    <row r="100" spans="1:71" x14ac:dyDescent="0.25">
      <c r="A100" s="215" t="s">
        <v>311</v>
      </c>
      <c r="B100" s="205">
        <f>COUNTIFS(tbl_data[12. Consultation Group of],$A$2,tbl_data[1:T1B],$A100,tbl_data[T1],$A$3)</f>
        <v>0</v>
      </c>
      <c r="C100" s="198">
        <f>COUNTIFS(tbl_data[12. Consultation Group of],$A$2,tbl_data[2:T1B],$A100,tbl_data[T1],$A$3)</f>
        <v>0</v>
      </c>
      <c r="D100" s="198">
        <f>COUNTIFS(tbl_data[12. Consultation Group of],$A$2,tbl_data[3:T1B],$A100,tbl_data[T1],$A$3)</f>
        <v>0</v>
      </c>
      <c r="E100" s="198">
        <f>COUNTIFS(tbl_data[12. Consultation Group of],$A$2,tbl_data[1:T2B],$A100,tbl_data[T2],$A$3)</f>
        <v>0</v>
      </c>
      <c r="F100" s="198">
        <f>COUNTIFS(tbl_data[12. Consultation Group of],$A$2,tbl_data[2:T2B],$A100,tbl_data[T2],$A$3)</f>
        <v>0</v>
      </c>
      <c r="G100" s="198">
        <f>COUNTIFS(tbl_data[12. Consultation Group of],$A$2,tbl_data[3:T2B],$A100,tbl_data[T2],$A$3)</f>
        <v>0</v>
      </c>
      <c r="H100" s="198">
        <f>COUNTIFS(tbl_data[12. Consultation Group of],$A$2,tbl_data[1:T3B],$A100,tbl_data[T3],$A$3)</f>
        <v>0</v>
      </c>
      <c r="I100" s="198">
        <f>COUNTIFS(tbl_data[12. Consultation Group of],$A$2,tbl_data[2:T3B],$A100,tbl_data[T3],$A$3)</f>
        <v>0</v>
      </c>
      <c r="J100" s="198">
        <f>COUNTIFS(tbl_data[12. Consultation Group of],$A$2,tbl_data[3:T3B],$A100,tbl_data[T3],$A$3)</f>
        <v>0</v>
      </c>
      <c r="K100" s="198">
        <f t="shared" si="14"/>
        <v>0</v>
      </c>
      <c r="L100" s="199" t="str">
        <f t="shared" si="15"/>
        <v>Weak Governance (0)</v>
      </c>
      <c r="M100" s="205">
        <f>COUNTIFS(tbl_data[12. Consultation Group of],$B$2,tbl_data[1:T1B],$A100,tbl_data[T1],$B$3)</f>
        <v>0</v>
      </c>
      <c r="N100" s="198">
        <f>COUNTIFS(tbl_data[12. Consultation Group of],$B$2,tbl_data[2:T1B],$A100,tbl_data[T1],$B$3)</f>
        <v>0</v>
      </c>
      <c r="O100" s="198">
        <f>COUNTIFS(tbl_data[12. Consultation Group of],$B$2,tbl_data[3:T1B],$A100,tbl_data[T1],$B$3)</f>
        <v>0</v>
      </c>
      <c r="P100" s="198">
        <f>COUNTIFS(tbl_data[12. Consultation Group of],$B$2,tbl_data[1:T2B],$A100,tbl_data[T2],$B$3)</f>
        <v>0</v>
      </c>
      <c r="Q100" s="198">
        <f>COUNTIFS(tbl_data[12. Consultation Group of],$B$2,tbl_data[2:T2B],$A100,tbl_data[T2],$B$3)</f>
        <v>0</v>
      </c>
      <c r="R100" s="198">
        <f>COUNTIFS(tbl_data[12. Consultation Group of],$B$2,tbl_data[3:T2B],$A100,tbl_data[T2],$B$3)</f>
        <v>0</v>
      </c>
      <c r="S100" s="198">
        <f>COUNTIFS(tbl_data[12. Consultation Group of],$B$2,tbl_data[1:T3B],$A100,tbl_data[T3],$B$3)</f>
        <v>0</v>
      </c>
      <c r="T100" s="198">
        <f>COUNTIFS(tbl_data[12. Consultation Group of],$B$2,tbl_data[2:T3B],$A100,tbl_data[T3],$B$3)</f>
        <v>0</v>
      </c>
      <c r="U100" s="198">
        <f>COUNTIFS(tbl_data[12. Consultation Group of],$B$2,tbl_data[3:T3B],$A100,tbl_data[T3],$B$3)</f>
        <v>0</v>
      </c>
      <c r="V100" s="198">
        <f t="shared" si="16"/>
        <v>0</v>
      </c>
      <c r="W100" s="199" t="str">
        <f t="shared" si="17"/>
        <v>Weak Governance (0)</v>
      </c>
      <c r="X100" s="205">
        <f>COUNTIFS(tbl_data[12. Consultation Group of],$C$2,tbl_data[1:T1B],$A100,tbl_data[T1],$C$3)</f>
        <v>0</v>
      </c>
      <c r="Y100" s="198">
        <f>COUNTIFS(tbl_data[12. Consultation Group of],$C$2,tbl_data[2:T1B],$A100,tbl_data[T1],$C$3)</f>
        <v>0</v>
      </c>
      <c r="Z100" s="198">
        <f>COUNTIFS(tbl_data[12. Consultation Group of],$C$2,tbl_data[3:T1B],$A100,tbl_data[T1],$C$3)</f>
        <v>0</v>
      </c>
      <c r="AA100" s="198">
        <f>COUNTIFS(tbl_data[12. Consultation Group of],$C$2,tbl_data[1:T2B],$A100,tbl_data[T2],$C$3)</f>
        <v>0</v>
      </c>
      <c r="AB100" s="198">
        <f>COUNTIFS(tbl_data[12. Consultation Group of],$C$2,tbl_data[2:T2B],$A100,tbl_data[T2],$C$3)</f>
        <v>0</v>
      </c>
      <c r="AC100" s="198">
        <f>COUNTIFS(tbl_data[12. Consultation Group of],$C$2,tbl_data[3:T2B],$A100,tbl_data[T2],$C$3)</f>
        <v>0</v>
      </c>
      <c r="AD100" s="198">
        <f>COUNTIFS(tbl_data[12. Consultation Group of],$C$2,tbl_data[1:T3B],$A100,tbl_data[T3],$C$3)</f>
        <v>0</v>
      </c>
      <c r="AE100" s="198">
        <f>COUNTIFS(tbl_data[12. Consultation Group of],$C$2,tbl_data[2:T3B],$A100,tbl_data[T3],$C$3)</f>
        <v>0</v>
      </c>
      <c r="AF100" s="198">
        <f>COUNTIFS(tbl_data[12. Consultation Group of],$C$2,tbl_data[3:T3B],$A100,tbl_data[T3],$C$3)</f>
        <v>0</v>
      </c>
      <c r="AG100" s="198">
        <f t="shared" si="18"/>
        <v>0</v>
      </c>
      <c r="AH100" s="199" t="str">
        <f t="shared" si="19"/>
        <v>Weak Governance (0)</v>
      </c>
      <c r="AI100" s="205">
        <f>COUNTIFS(tbl_data[12. Consultation Group of],$D$2,tbl_data[1:T1B],$A100,tbl_data[T1],$D$3)</f>
        <v>0</v>
      </c>
      <c r="AJ100" s="198">
        <f>COUNTIFS(tbl_data[12. Consultation Group of],$D$2,tbl_data[2:T1B],$A100,tbl_data[T1],$D$3)</f>
        <v>0</v>
      </c>
      <c r="AK100" s="198">
        <f>COUNTIFS(tbl_data[12. Consultation Group of],$D$2,tbl_data[3:T1B],$A100,tbl_data[T1],$D$3)</f>
        <v>0</v>
      </c>
      <c r="AL100" s="198">
        <f>COUNTIFS(tbl_data[12. Consultation Group of],$D$2,tbl_data[1:T2B],$A100,tbl_data[T2],$D$3)</f>
        <v>0</v>
      </c>
      <c r="AM100" s="198">
        <f>COUNTIFS(tbl_data[12. Consultation Group of],$D$2,tbl_data[2:T2B],$A100,tbl_data[T2],$D$3)</f>
        <v>0</v>
      </c>
      <c r="AN100" s="198">
        <f>COUNTIFS(tbl_data[12. Consultation Group of],$D$2,tbl_data[3:T2B],$A100,tbl_data[T2],$D$3)</f>
        <v>0</v>
      </c>
      <c r="AO100" s="198">
        <f>COUNTIFS(tbl_data[12. Consultation Group of],$D$2,tbl_data[1:T3B],$A100,tbl_data[T3],$D$3)</f>
        <v>0</v>
      </c>
      <c r="AP100" s="198">
        <f>COUNTIFS(tbl_data[12. Consultation Group of],$D$2,tbl_data[2:T3B],$A100,tbl_data[T3],$D$3)</f>
        <v>0</v>
      </c>
      <c r="AQ100" s="198">
        <f>COUNTIFS(tbl_data[12. Consultation Group of],$D$2,tbl_data[3:T3B],$A100,tbl_data[T3],$D$3)</f>
        <v>0</v>
      </c>
      <c r="AR100" s="198">
        <f t="shared" si="20"/>
        <v>0</v>
      </c>
      <c r="AS100" s="199" t="str">
        <f t="shared" si="21"/>
        <v>Weak Governance (0)</v>
      </c>
      <c r="AT100" s="205">
        <f>COUNTIFS(tbl_data[12. Consultation Group of],$E$2,tbl_data[1:T1B],$A100,tbl_data[T1],$E$3)</f>
        <v>0</v>
      </c>
      <c r="AU100" s="198">
        <f>COUNTIFS(tbl_data[12. Consultation Group of],$E$2,tbl_data[2:T1B],$A100,tbl_data[T1],$E$3)</f>
        <v>0</v>
      </c>
      <c r="AV100" s="198">
        <f>COUNTIFS(tbl_data[12. Consultation Group of],$E$2,tbl_data[3:T1B],$A100,tbl_data[T1],$E$3)</f>
        <v>0</v>
      </c>
      <c r="AW100" s="198">
        <f>COUNTIFS(tbl_data[12. Consultation Group of],$E$2,tbl_data[1:T2B],$A100,tbl_data[T2],$E$3)</f>
        <v>0</v>
      </c>
      <c r="AX100" s="198">
        <f>COUNTIFS(tbl_data[12. Consultation Group of],$E$2,tbl_data[2:T2B],$A100,tbl_data[T2],$E$3)</f>
        <v>0</v>
      </c>
      <c r="AY100" s="198">
        <f>COUNTIFS(tbl_data[12. Consultation Group of],$E$2,tbl_data[3:T2B],$A100,tbl_data[T2],$E$3)</f>
        <v>0</v>
      </c>
      <c r="AZ100" s="198">
        <f>COUNTIFS(tbl_data[12. Consultation Group of],$E$2,tbl_data[1:T3B],$A100,tbl_data[T3],$E$3)</f>
        <v>0</v>
      </c>
      <c r="BA100" s="198">
        <f>COUNTIFS(tbl_data[12. Consultation Group of],$E$2,tbl_data[2:T3B],$A100,tbl_data[T3],$E$3)</f>
        <v>0</v>
      </c>
      <c r="BB100" s="198">
        <f>COUNTIFS(tbl_data[12. Consultation Group of],$E$2,tbl_data[3:T3B],$A100,tbl_data[T3],$E$3)</f>
        <v>0</v>
      </c>
      <c r="BC100" s="198">
        <f t="shared" si="22"/>
        <v>0</v>
      </c>
      <c r="BD100" s="199" t="str">
        <f t="shared" si="23"/>
        <v>Weak Governance (0)</v>
      </c>
      <c r="BE100" s="205">
        <f>COUNTIFS(tbl_data[1:T1B],$A100,tbl_data[T1],$F$3)</f>
        <v>0</v>
      </c>
      <c r="BF100" s="198">
        <f>COUNTIFS(tbl_data[2:T1B],$A100,tbl_data[T1],$F$3)</f>
        <v>0</v>
      </c>
      <c r="BG100" s="198">
        <f>COUNTIFS(tbl_data[3:T1B],$A100,tbl_data[T1],$F$3)</f>
        <v>0</v>
      </c>
      <c r="BH100" s="198">
        <f>COUNTIFS(tbl_data[1:T2B],$A100,tbl_data[T2],$F$3)</f>
        <v>0</v>
      </c>
      <c r="BI100" s="198">
        <f>COUNTIFS(tbl_data[2:T2B],$A100,tbl_data[T2],$F$3)</f>
        <v>0</v>
      </c>
      <c r="BJ100" s="198">
        <f>COUNTIFS(tbl_data[3:T2B],$A100,tbl_data[T2],$F$3)</f>
        <v>0</v>
      </c>
      <c r="BK100" s="198">
        <f>COUNTIFS(tbl_data[1:T3B],$A100,tbl_data[T3],$F$3)</f>
        <v>0</v>
      </c>
      <c r="BL100" s="198">
        <f>COUNTIFS(tbl_data[2:T3B],$A100,tbl_data[T3],$F$3)</f>
        <v>0</v>
      </c>
      <c r="BM100" s="198">
        <f>COUNTIFS(tbl_data[3:T3B],$A100,tbl_data[T3],$F$3)</f>
        <v>0</v>
      </c>
      <c r="BN100" s="198">
        <f t="shared" si="24"/>
        <v>0</v>
      </c>
      <c r="BO100" s="199" t="str">
        <f t="shared" si="25"/>
        <v>Weak Governance (0)</v>
      </c>
      <c r="BQ100" t="str">
        <f t="shared" si="26"/>
        <v>Weak Governance</v>
      </c>
      <c r="BR100">
        <f t="shared" si="27"/>
        <v>0</v>
      </c>
    </row>
    <row r="101" spans="1:71" x14ac:dyDescent="0.25">
      <c r="A101" s="215" t="s">
        <v>292</v>
      </c>
      <c r="B101" s="205">
        <f>COUNTIFS(tbl_data[12. Consultation Group of],$A$2,tbl_data[1:T1B],$A101,tbl_data[T1],$A$3)</f>
        <v>0</v>
      </c>
      <c r="C101" s="198">
        <f>COUNTIFS(tbl_data[12. Consultation Group of],$A$2,tbl_data[2:T1B],$A101,tbl_data[T1],$A$3)</f>
        <v>0</v>
      </c>
      <c r="D101" s="198">
        <f>COUNTIFS(tbl_data[12. Consultation Group of],$A$2,tbl_data[3:T1B],$A101,tbl_data[T1],$A$3)</f>
        <v>0</v>
      </c>
      <c r="E101" s="198">
        <f>COUNTIFS(tbl_data[12. Consultation Group of],$A$2,tbl_data[1:T2B],$A101,tbl_data[T2],$A$3)</f>
        <v>0</v>
      </c>
      <c r="F101" s="198">
        <f>COUNTIFS(tbl_data[12. Consultation Group of],$A$2,tbl_data[2:T2B],$A101,tbl_data[T2],$A$3)</f>
        <v>0</v>
      </c>
      <c r="G101" s="198">
        <f>COUNTIFS(tbl_data[12. Consultation Group of],$A$2,tbl_data[3:T2B],$A101,tbl_data[T2],$A$3)</f>
        <v>0</v>
      </c>
      <c r="H101" s="198">
        <f>COUNTIFS(tbl_data[12. Consultation Group of],$A$2,tbl_data[1:T3B],$A101,tbl_data[T3],$A$3)</f>
        <v>0</v>
      </c>
      <c r="I101" s="198">
        <f>COUNTIFS(tbl_data[12. Consultation Group of],$A$2,tbl_data[2:T3B],$A101,tbl_data[T3],$A$3)</f>
        <v>0</v>
      </c>
      <c r="J101" s="198">
        <f>COUNTIFS(tbl_data[12. Consultation Group of],$A$2,tbl_data[3:T3B],$A101,tbl_data[T3],$A$3)</f>
        <v>0</v>
      </c>
      <c r="K101" s="198">
        <f t="shared" si="14"/>
        <v>0</v>
      </c>
      <c r="L101" s="199" t="str">
        <f t="shared" si="15"/>
        <v>Corruption (0)</v>
      </c>
      <c r="M101" s="205">
        <f>COUNTIFS(tbl_data[12. Consultation Group of],$B$2,tbl_data[1:T1B],$A101,tbl_data[T1],$B$3)</f>
        <v>0</v>
      </c>
      <c r="N101" s="198">
        <f>COUNTIFS(tbl_data[12. Consultation Group of],$B$2,tbl_data[2:T1B],$A101,tbl_data[T1],$B$3)</f>
        <v>0</v>
      </c>
      <c r="O101" s="198">
        <f>COUNTIFS(tbl_data[12. Consultation Group of],$B$2,tbl_data[3:T1B],$A101,tbl_data[T1],$B$3)</f>
        <v>0</v>
      </c>
      <c r="P101" s="198">
        <f>COUNTIFS(tbl_data[12. Consultation Group of],$B$2,tbl_data[1:T2B],$A101,tbl_data[T2],$B$3)</f>
        <v>0</v>
      </c>
      <c r="Q101" s="198">
        <f>COUNTIFS(tbl_data[12. Consultation Group of],$B$2,tbl_data[2:T2B],$A101,tbl_data[T2],$B$3)</f>
        <v>0</v>
      </c>
      <c r="R101" s="198">
        <f>COUNTIFS(tbl_data[12. Consultation Group of],$B$2,tbl_data[3:T2B],$A101,tbl_data[T2],$B$3)</f>
        <v>0</v>
      </c>
      <c r="S101" s="198">
        <f>COUNTIFS(tbl_data[12. Consultation Group of],$B$2,tbl_data[1:T3B],$A101,tbl_data[T3],$B$3)</f>
        <v>0</v>
      </c>
      <c r="T101" s="198">
        <f>COUNTIFS(tbl_data[12. Consultation Group of],$B$2,tbl_data[2:T3B],$A101,tbl_data[T3],$B$3)</f>
        <v>0</v>
      </c>
      <c r="U101" s="198">
        <f>COUNTIFS(tbl_data[12. Consultation Group of],$B$2,tbl_data[3:T3B],$A101,tbl_data[T3],$B$3)</f>
        <v>0</v>
      </c>
      <c r="V101" s="198">
        <f t="shared" si="16"/>
        <v>0</v>
      </c>
      <c r="W101" s="199" t="str">
        <f t="shared" si="17"/>
        <v>Corruption (0)</v>
      </c>
      <c r="X101" s="205">
        <f>COUNTIFS(tbl_data[12. Consultation Group of],$C$2,tbl_data[1:T1B],$A101,tbl_data[T1],$C$3)</f>
        <v>0</v>
      </c>
      <c r="Y101" s="198">
        <f>COUNTIFS(tbl_data[12. Consultation Group of],$C$2,tbl_data[2:T1B],$A101,tbl_data[T1],$C$3)</f>
        <v>0</v>
      </c>
      <c r="Z101" s="198">
        <f>COUNTIFS(tbl_data[12. Consultation Group of],$C$2,tbl_data[3:T1B],$A101,tbl_data[T1],$C$3)</f>
        <v>0</v>
      </c>
      <c r="AA101" s="198">
        <f>COUNTIFS(tbl_data[12. Consultation Group of],$C$2,tbl_data[1:T2B],$A101,tbl_data[T2],$C$3)</f>
        <v>0</v>
      </c>
      <c r="AB101" s="198">
        <f>COUNTIFS(tbl_data[12. Consultation Group of],$C$2,tbl_data[2:T2B],$A101,tbl_data[T2],$C$3)</f>
        <v>0</v>
      </c>
      <c r="AC101" s="198">
        <f>COUNTIFS(tbl_data[12. Consultation Group of],$C$2,tbl_data[3:T2B],$A101,tbl_data[T2],$C$3)</f>
        <v>0</v>
      </c>
      <c r="AD101" s="198">
        <f>COUNTIFS(tbl_data[12. Consultation Group of],$C$2,tbl_data[1:T3B],$A101,tbl_data[T3],$C$3)</f>
        <v>0</v>
      </c>
      <c r="AE101" s="198">
        <f>COUNTIFS(tbl_data[12. Consultation Group of],$C$2,tbl_data[2:T3B],$A101,tbl_data[T3],$C$3)</f>
        <v>0</v>
      </c>
      <c r="AF101" s="198">
        <f>COUNTIFS(tbl_data[12. Consultation Group of],$C$2,tbl_data[3:T3B],$A101,tbl_data[T3],$C$3)</f>
        <v>0</v>
      </c>
      <c r="AG101" s="198">
        <f t="shared" si="18"/>
        <v>0</v>
      </c>
      <c r="AH101" s="199" t="str">
        <f t="shared" si="19"/>
        <v>Corruption (0)</v>
      </c>
      <c r="AI101" s="205">
        <f>COUNTIFS(tbl_data[12. Consultation Group of],$D$2,tbl_data[1:T1B],$A101,tbl_data[T1],$D$3)</f>
        <v>0</v>
      </c>
      <c r="AJ101" s="198">
        <f>COUNTIFS(tbl_data[12. Consultation Group of],$D$2,tbl_data[2:T1B],$A101,tbl_data[T1],$D$3)</f>
        <v>0</v>
      </c>
      <c r="AK101" s="198">
        <f>COUNTIFS(tbl_data[12. Consultation Group of],$D$2,tbl_data[3:T1B],$A101,tbl_data[T1],$D$3)</f>
        <v>0</v>
      </c>
      <c r="AL101" s="198">
        <f>COUNTIFS(tbl_data[12. Consultation Group of],$D$2,tbl_data[1:T2B],$A101,tbl_data[T2],$D$3)</f>
        <v>0</v>
      </c>
      <c r="AM101" s="198">
        <f>COUNTIFS(tbl_data[12. Consultation Group of],$D$2,tbl_data[2:T2B],$A101,tbl_data[T2],$D$3)</f>
        <v>0</v>
      </c>
      <c r="AN101" s="198">
        <f>COUNTIFS(tbl_data[12. Consultation Group of],$D$2,tbl_data[3:T2B],$A101,tbl_data[T2],$D$3)</f>
        <v>0</v>
      </c>
      <c r="AO101" s="198">
        <f>COUNTIFS(tbl_data[12. Consultation Group of],$D$2,tbl_data[1:T3B],$A101,tbl_data[T3],$D$3)</f>
        <v>0</v>
      </c>
      <c r="AP101" s="198">
        <f>COUNTIFS(tbl_data[12. Consultation Group of],$D$2,tbl_data[2:T3B],$A101,tbl_data[T3],$D$3)</f>
        <v>0</v>
      </c>
      <c r="AQ101" s="198">
        <f>COUNTIFS(tbl_data[12. Consultation Group of],$D$2,tbl_data[3:T3B],$A101,tbl_data[T3],$D$3)</f>
        <v>0</v>
      </c>
      <c r="AR101" s="198">
        <f t="shared" si="20"/>
        <v>0</v>
      </c>
      <c r="AS101" s="199" t="str">
        <f t="shared" si="21"/>
        <v>Corruption (0)</v>
      </c>
      <c r="AT101" s="205">
        <f>COUNTIFS(tbl_data[12. Consultation Group of],$E$2,tbl_data[1:T1B],$A101,tbl_data[T1],$E$3)</f>
        <v>0</v>
      </c>
      <c r="AU101" s="198">
        <f>COUNTIFS(tbl_data[12. Consultation Group of],$E$2,tbl_data[2:T1B],$A101,tbl_data[T1],$E$3)</f>
        <v>0</v>
      </c>
      <c r="AV101" s="198">
        <f>COUNTIFS(tbl_data[12. Consultation Group of],$E$2,tbl_data[3:T1B],$A101,tbl_data[T1],$E$3)</f>
        <v>0</v>
      </c>
      <c r="AW101" s="198">
        <f>COUNTIFS(tbl_data[12. Consultation Group of],$E$2,tbl_data[1:T2B],$A101,tbl_data[T2],$E$3)</f>
        <v>0</v>
      </c>
      <c r="AX101" s="198">
        <f>COUNTIFS(tbl_data[12. Consultation Group of],$E$2,tbl_data[2:T2B],$A101,tbl_data[T2],$E$3)</f>
        <v>0</v>
      </c>
      <c r="AY101" s="198">
        <f>COUNTIFS(tbl_data[12. Consultation Group of],$E$2,tbl_data[3:T2B],$A101,tbl_data[T2],$E$3)</f>
        <v>0</v>
      </c>
      <c r="AZ101" s="198">
        <f>COUNTIFS(tbl_data[12. Consultation Group of],$E$2,tbl_data[1:T3B],$A101,tbl_data[T3],$E$3)</f>
        <v>0</v>
      </c>
      <c r="BA101" s="198">
        <f>COUNTIFS(tbl_data[12. Consultation Group of],$E$2,tbl_data[2:T3B],$A101,tbl_data[T3],$E$3)</f>
        <v>0</v>
      </c>
      <c r="BB101" s="198">
        <f>COUNTIFS(tbl_data[12. Consultation Group of],$E$2,tbl_data[3:T3B],$A101,tbl_data[T3],$E$3)</f>
        <v>0</v>
      </c>
      <c r="BC101" s="198">
        <f t="shared" si="22"/>
        <v>0</v>
      </c>
      <c r="BD101" s="199" t="str">
        <f t="shared" si="23"/>
        <v>Corruption (0)</v>
      </c>
      <c r="BE101" s="205">
        <f>COUNTIFS(tbl_data[1:T1B],$A101,tbl_data[T1],$F$3)</f>
        <v>0</v>
      </c>
      <c r="BF101" s="198">
        <f>COUNTIFS(tbl_data[2:T1B],$A101,tbl_data[T1],$F$3)</f>
        <v>0</v>
      </c>
      <c r="BG101" s="198">
        <f>COUNTIFS(tbl_data[3:T1B],$A101,tbl_data[T1],$F$3)</f>
        <v>0</v>
      </c>
      <c r="BH101" s="198">
        <f>COUNTIFS(tbl_data[1:T2B],$A101,tbl_data[T2],$F$3)</f>
        <v>0</v>
      </c>
      <c r="BI101" s="198">
        <f>COUNTIFS(tbl_data[2:T2B],$A101,tbl_data[T2],$F$3)</f>
        <v>0</v>
      </c>
      <c r="BJ101" s="198">
        <f>COUNTIFS(tbl_data[3:T2B],$A101,tbl_data[T2],$F$3)</f>
        <v>0</v>
      </c>
      <c r="BK101" s="198">
        <f>COUNTIFS(tbl_data[1:T3B],$A101,tbl_data[T3],$F$3)</f>
        <v>0</v>
      </c>
      <c r="BL101" s="198">
        <f>COUNTIFS(tbl_data[2:T3B],$A101,tbl_data[T3],$F$3)</f>
        <v>0</v>
      </c>
      <c r="BM101" s="198">
        <f>COUNTIFS(tbl_data[3:T3B],$A101,tbl_data[T3],$F$3)</f>
        <v>0</v>
      </c>
      <c r="BN101" s="198">
        <f t="shared" si="24"/>
        <v>0</v>
      </c>
      <c r="BO101" s="199" t="str">
        <f t="shared" si="25"/>
        <v>Corruption (0)</v>
      </c>
      <c r="BQ101" t="str">
        <f t="shared" si="26"/>
        <v>Corruption</v>
      </c>
      <c r="BR101">
        <f t="shared" si="27"/>
        <v>0</v>
      </c>
    </row>
    <row r="102" spans="1:71" x14ac:dyDescent="0.25">
      <c r="A102" s="215" t="s">
        <v>179</v>
      </c>
      <c r="B102" s="205">
        <f>COUNTIFS(tbl_data[12. Consultation Group of],$A$2,tbl_data[1:T1B],$A102,tbl_data[T1],$A$3)</f>
        <v>0</v>
      </c>
      <c r="C102" s="198">
        <f>COUNTIFS(tbl_data[12. Consultation Group of],$A$2,tbl_data[2:T1B],$A102,tbl_data[T1],$A$3)</f>
        <v>0</v>
      </c>
      <c r="D102" s="198">
        <f>COUNTIFS(tbl_data[12. Consultation Group of],$A$2,tbl_data[3:T1B],$A102,tbl_data[T1],$A$3)</f>
        <v>0</v>
      </c>
      <c r="E102" s="198">
        <f>COUNTIFS(tbl_data[12. Consultation Group of],$A$2,tbl_data[1:T2B],$A102,tbl_data[T2],$A$3)</f>
        <v>0</v>
      </c>
      <c r="F102" s="198">
        <f>COUNTIFS(tbl_data[12. Consultation Group of],$A$2,tbl_data[2:T2B],$A102,tbl_data[T2],$A$3)</f>
        <v>0</v>
      </c>
      <c r="G102" s="198">
        <f>COUNTIFS(tbl_data[12. Consultation Group of],$A$2,tbl_data[3:T2B],$A102,tbl_data[T2],$A$3)</f>
        <v>0</v>
      </c>
      <c r="H102" s="198">
        <f>COUNTIFS(tbl_data[12. Consultation Group of],$A$2,tbl_data[1:T3B],$A102,tbl_data[T3],$A$3)</f>
        <v>0</v>
      </c>
      <c r="I102" s="198">
        <f>COUNTIFS(tbl_data[12. Consultation Group of],$A$2,tbl_data[2:T3B],$A102,tbl_data[T3],$A$3)</f>
        <v>0</v>
      </c>
      <c r="J102" s="198">
        <f>COUNTIFS(tbl_data[12. Consultation Group of],$A$2,tbl_data[3:T3B],$A102,tbl_data[T3],$A$3)</f>
        <v>0</v>
      </c>
      <c r="K102" s="198">
        <f t="shared" si="14"/>
        <v>0</v>
      </c>
      <c r="L102" s="199" t="str">
        <f t="shared" si="15"/>
        <v>Alcoholism (0)</v>
      </c>
      <c r="M102" s="205">
        <f>COUNTIFS(tbl_data[12. Consultation Group of],$B$2,tbl_data[1:T1B],$A102,tbl_data[T1],$B$3)</f>
        <v>0</v>
      </c>
      <c r="N102" s="198">
        <f>COUNTIFS(tbl_data[12. Consultation Group of],$B$2,tbl_data[2:T1B],$A102,tbl_data[T1],$B$3)</f>
        <v>0</v>
      </c>
      <c r="O102" s="198">
        <f>COUNTIFS(tbl_data[12. Consultation Group of],$B$2,tbl_data[3:T1B],$A102,tbl_data[T1],$B$3)</f>
        <v>0</v>
      </c>
      <c r="P102" s="198">
        <f>COUNTIFS(tbl_data[12. Consultation Group of],$B$2,tbl_data[1:T2B],$A102,tbl_data[T2],$B$3)</f>
        <v>0</v>
      </c>
      <c r="Q102" s="198">
        <f>COUNTIFS(tbl_data[12. Consultation Group of],$B$2,tbl_data[2:T2B],$A102,tbl_data[T2],$B$3)</f>
        <v>0</v>
      </c>
      <c r="R102" s="198">
        <f>COUNTIFS(tbl_data[12. Consultation Group of],$B$2,tbl_data[3:T2B],$A102,tbl_data[T2],$B$3)</f>
        <v>0</v>
      </c>
      <c r="S102" s="198">
        <f>COUNTIFS(tbl_data[12. Consultation Group of],$B$2,tbl_data[1:T3B],$A102,tbl_data[T3],$B$3)</f>
        <v>0</v>
      </c>
      <c r="T102" s="198">
        <f>COUNTIFS(tbl_data[12. Consultation Group of],$B$2,tbl_data[2:T3B],$A102,tbl_data[T3],$B$3)</f>
        <v>0</v>
      </c>
      <c r="U102" s="198">
        <f>COUNTIFS(tbl_data[12. Consultation Group of],$B$2,tbl_data[3:T3B],$A102,tbl_data[T3],$B$3)</f>
        <v>0</v>
      </c>
      <c r="V102" s="198">
        <f t="shared" si="16"/>
        <v>0</v>
      </c>
      <c r="W102" s="199" t="str">
        <f t="shared" si="17"/>
        <v>Alcoholism (0)</v>
      </c>
      <c r="X102" s="205">
        <f>COUNTIFS(tbl_data[12. Consultation Group of],$C$2,tbl_data[1:T1B],$A102,tbl_data[T1],$C$3)</f>
        <v>0</v>
      </c>
      <c r="Y102" s="198">
        <f>COUNTIFS(tbl_data[12. Consultation Group of],$C$2,tbl_data[2:T1B],$A102,tbl_data[T1],$C$3)</f>
        <v>0</v>
      </c>
      <c r="Z102" s="198">
        <f>COUNTIFS(tbl_data[12. Consultation Group of],$C$2,tbl_data[3:T1B],$A102,tbl_data[T1],$C$3)</f>
        <v>0</v>
      </c>
      <c r="AA102" s="198">
        <f>COUNTIFS(tbl_data[12. Consultation Group of],$C$2,tbl_data[1:T2B],$A102,tbl_data[T2],$C$3)</f>
        <v>0</v>
      </c>
      <c r="AB102" s="198">
        <f>COUNTIFS(tbl_data[12. Consultation Group of],$C$2,tbl_data[2:T2B],$A102,tbl_data[T2],$C$3)</f>
        <v>0</v>
      </c>
      <c r="AC102" s="198">
        <f>COUNTIFS(tbl_data[12. Consultation Group of],$C$2,tbl_data[3:T2B],$A102,tbl_data[T2],$C$3)</f>
        <v>0</v>
      </c>
      <c r="AD102" s="198">
        <f>COUNTIFS(tbl_data[12. Consultation Group of],$C$2,tbl_data[1:T3B],$A102,tbl_data[T3],$C$3)</f>
        <v>0</v>
      </c>
      <c r="AE102" s="198">
        <f>COUNTIFS(tbl_data[12. Consultation Group of],$C$2,tbl_data[2:T3B],$A102,tbl_data[T3],$C$3)</f>
        <v>0</v>
      </c>
      <c r="AF102" s="198">
        <f>COUNTIFS(tbl_data[12. Consultation Group of],$C$2,tbl_data[3:T3B],$A102,tbl_data[T3],$C$3)</f>
        <v>0</v>
      </c>
      <c r="AG102" s="198">
        <f t="shared" si="18"/>
        <v>0</v>
      </c>
      <c r="AH102" s="199" t="str">
        <f t="shared" si="19"/>
        <v>Alcoholism (0)</v>
      </c>
      <c r="AI102" s="205">
        <f>COUNTIFS(tbl_data[12. Consultation Group of],$D$2,tbl_data[1:T1B],$A102,tbl_data[T1],$D$3)</f>
        <v>0</v>
      </c>
      <c r="AJ102" s="198">
        <f>COUNTIFS(tbl_data[12. Consultation Group of],$D$2,tbl_data[2:T1B],$A102,tbl_data[T1],$D$3)</f>
        <v>0</v>
      </c>
      <c r="AK102" s="198">
        <f>COUNTIFS(tbl_data[12. Consultation Group of],$D$2,tbl_data[3:T1B],$A102,tbl_data[T1],$D$3)</f>
        <v>0</v>
      </c>
      <c r="AL102" s="198">
        <f>COUNTIFS(tbl_data[12. Consultation Group of],$D$2,tbl_data[1:T2B],$A102,tbl_data[T2],$D$3)</f>
        <v>0</v>
      </c>
      <c r="AM102" s="198">
        <f>COUNTIFS(tbl_data[12. Consultation Group of],$D$2,tbl_data[2:T2B],$A102,tbl_data[T2],$D$3)</f>
        <v>0</v>
      </c>
      <c r="AN102" s="198">
        <f>COUNTIFS(tbl_data[12. Consultation Group of],$D$2,tbl_data[3:T2B],$A102,tbl_data[T2],$D$3)</f>
        <v>0</v>
      </c>
      <c r="AO102" s="198">
        <f>COUNTIFS(tbl_data[12. Consultation Group of],$D$2,tbl_data[1:T3B],$A102,tbl_data[T3],$D$3)</f>
        <v>0</v>
      </c>
      <c r="AP102" s="198">
        <f>COUNTIFS(tbl_data[12. Consultation Group of],$D$2,tbl_data[2:T3B],$A102,tbl_data[T3],$D$3)</f>
        <v>0</v>
      </c>
      <c r="AQ102" s="198">
        <f>COUNTIFS(tbl_data[12. Consultation Group of],$D$2,tbl_data[3:T3B],$A102,tbl_data[T3],$D$3)</f>
        <v>0</v>
      </c>
      <c r="AR102" s="198">
        <f t="shared" si="20"/>
        <v>0</v>
      </c>
      <c r="AS102" s="199" t="str">
        <f t="shared" si="21"/>
        <v>Alcoholism (0)</v>
      </c>
      <c r="AT102" s="205">
        <f>COUNTIFS(tbl_data[12. Consultation Group of],$E$2,tbl_data[1:T1B],$A102,tbl_data[T1],$E$3)</f>
        <v>0</v>
      </c>
      <c r="AU102" s="198">
        <f>COUNTIFS(tbl_data[12. Consultation Group of],$E$2,tbl_data[2:T1B],$A102,tbl_data[T1],$E$3)</f>
        <v>0</v>
      </c>
      <c r="AV102" s="198">
        <f>COUNTIFS(tbl_data[12. Consultation Group of],$E$2,tbl_data[3:T1B],$A102,tbl_data[T1],$E$3)</f>
        <v>0</v>
      </c>
      <c r="AW102" s="198">
        <f>COUNTIFS(tbl_data[12. Consultation Group of],$E$2,tbl_data[1:T2B],$A102,tbl_data[T2],$E$3)</f>
        <v>0</v>
      </c>
      <c r="AX102" s="198">
        <f>COUNTIFS(tbl_data[12. Consultation Group of],$E$2,tbl_data[2:T2B],$A102,tbl_data[T2],$E$3)</f>
        <v>0</v>
      </c>
      <c r="AY102" s="198">
        <f>COUNTIFS(tbl_data[12. Consultation Group of],$E$2,tbl_data[3:T2B],$A102,tbl_data[T2],$E$3)</f>
        <v>0</v>
      </c>
      <c r="AZ102" s="198">
        <f>COUNTIFS(tbl_data[12. Consultation Group of],$E$2,tbl_data[1:T3B],$A102,tbl_data[T3],$E$3)</f>
        <v>0</v>
      </c>
      <c r="BA102" s="198">
        <f>COUNTIFS(tbl_data[12. Consultation Group of],$E$2,tbl_data[2:T3B],$A102,tbl_data[T3],$E$3)</f>
        <v>0</v>
      </c>
      <c r="BB102" s="198">
        <f>COUNTIFS(tbl_data[12. Consultation Group of],$E$2,tbl_data[3:T3B],$A102,tbl_data[T3],$E$3)</f>
        <v>0</v>
      </c>
      <c r="BC102" s="198">
        <f t="shared" si="22"/>
        <v>0</v>
      </c>
      <c r="BD102" s="199" t="str">
        <f t="shared" si="23"/>
        <v>Alcoholism (0)</v>
      </c>
      <c r="BE102" s="205">
        <f>COUNTIFS(tbl_data[1:T1B],$A102,tbl_data[T1],$F$3)</f>
        <v>0</v>
      </c>
      <c r="BF102" s="198">
        <f>COUNTIFS(tbl_data[2:T1B],$A102,tbl_data[T1],$F$3)</f>
        <v>0</v>
      </c>
      <c r="BG102" s="198">
        <f>COUNTIFS(tbl_data[3:T1B],$A102,tbl_data[T1],$F$3)</f>
        <v>0</v>
      </c>
      <c r="BH102" s="198">
        <f>COUNTIFS(tbl_data[1:T2B],$A102,tbl_data[T2],$F$3)</f>
        <v>0</v>
      </c>
      <c r="BI102" s="198">
        <f>COUNTIFS(tbl_data[2:T2B],$A102,tbl_data[T2],$F$3)</f>
        <v>0</v>
      </c>
      <c r="BJ102" s="198">
        <f>COUNTIFS(tbl_data[3:T2B],$A102,tbl_data[T2],$F$3)</f>
        <v>0</v>
      </c>
      <c r="BK102" s="198">
        <f>COUNTIFS(tbl_data[1:T3B],$A102,tbl_data[T3],$F$3)</f>
        <v>0</v>
      </c>
      <c r="BL102" s="198">
        <f>COUNTIFS(tbl_data[2:T3B],$A102,tbl_data[T3],$F$3)</f>
        <v>0</v>
      </c>
      <c r="BM102" s="198">
        <f>COUNTIFS(tbl_data[3:T3B],$A102,tbl_data[T3],$F$3)</f>
        <v>0</v>
      </c>
      <c r="BN102" s="198">
        <f t="shared" si="24"/>
        <v>0</v>
      </c>
      <c r="BO102" s="199" t="str">
        <f t="shared" si="25"/>
        <v>Alcoholism (0)</v>
      </c>
      <c r="BQ102" t="str">
        <f t="shared" si="26"/>
        <v>Alcoholism</v>
      </c>
      <c r="BR102">
        <f t="shared" si="27"/>
        <v>0</v>
      </c>
    </row>
    <row r="103" spans="1:71" x14ac:dyDescent="0.25">
      <c r="A103" s="215" t="s">
        <v>439</v>
      </c>
      <c r="B103" s="205">
        <f>COUNTIFS(tbl_data[12. Consultation Group of],$A$2,tbl_data[1:T1B],$A103,tbl_data[T1],$A$3)</f>
        <v>0</v>
      </c>
      <c r="C103" s="198">
        <f>COUNTIFS(tbl_data[12. Consultation Group of],$A$2,tbl_data[2:T1B],$A103,tbl_data[T1],$A$3)</f>
        <v>0</v>
      </c>
      <c r="D103" s="198">
        <f>COUNTIFS(tbl_data[12. Consultation Group of],$A$2,tbl_data[3:T1B],$A103,tbl_data[T1],$A$3)</f>
        <v>0</v>
      </c>
      <c r="E103" s="198">
        <f>COUNTIFS(tbl_data[12. Consultation Group of],$A$2,tbl_data[1:T2B],$A103,tbl_data[T2],$A$3)</f>
        <v>0</v>
      </c>
      <c r="F103" s="198">
        <f>COUNTIFS(tbl_data[12. Consultation Group of],$A$2,tbl_data[2:T2B],$A103,tbl_data[T2],$A$3)</f>
        <v>0</v>
      </c>
      <c r="G103" s="198">
        <f>COUNTIFS(tbl_data[12. Consultation Group of],$A$2,tbl_data[3:T2B],$A103,tbl_data[T2],$A$3)</f>
        <v>0</v>
      </c>
      <c r="H103" s="198">
        <f>COUNTIFS(tbl_data[12. Consultation Group of],$A$2,tbl_data[1:T3B],$A103,tbl_data[T3],$A$3)</f>
        <v>0</v>
      </c>
      <c r="I103" s="198">
        <f>COUNTIFS(tbl_data[12. Consultation Group of],$A$2,tbl_data[2:T3B],$A103,tbl_data[T3],$A$3)</f>
        <v>0</v>
      </c>
      <c r="J103" s="198">
        <f>COUNTIFS(tbl_data[12. Consultation Group of],$A$2,tbl_data[3:T3B],$A103,tbl_data[T3],$A$3)</f>
        <v>0</v>
      </c>
      <c r="K103" s="198">
        <f t="shared" si="14"/>
        <v>0</v>
      </c>
      <c r="L103" s="199" t="str">
        <f t="shared" si="15"/>
        <v>Exclusion Based On Party Politics (0)</v>
      </c>
      <c r="M103" s="205">
        <f>COUNTIFS(tbl_data[12. Consultation Group of],$B$2,tbl_data[1:T1B],$A103,tbl_data[T1],$B$3)</f>
        <v>0</v>
      </c>
      <c r="N103" s="198">
        <f>COUNTIFS(tbl_data[12. Consultation Group of],$B$2,tbl_data[2:T1B],$A103,tbl_data[T1],$B$3)</f>
        <v>0</v>
      </c>
      <c r="O103" s="198">
        <f>COUNTIFS(tbl_data[12. Consultation Group of],$B$2,tbl_data[3:T1B],$A103,tbl_data[T1],$B$3)</f>
        <v>0</v>
      </c>
      <c r="P103" s="198">
        <f>COUNTIFS(tbl_data[12. Consultation Group of],$B$2,tbl_data[1:T2B],$A103,tbl_data[T2],$B$3)</f>
        <v>0</v>
      </c>
      <c r="Q103" s="198">
        <f>COUNTIFS(tbl_data[12. Consultation Group of],$B$2,tbl_data[2:T2B],$A103,tbl_data[T2],$B$3)</f>
        <v>0</v>
      </c>
      <c r="R103" s="198">
        <f>COUNTIFS(tbl_data[12. Consultation Group of],$B$2,tbl_data[3:T2B],$A103,tbl_data[T2],$B$3)</f>
        <v>0</v>
      </c>
      <c r="S103" s="198">
        <f>COUNTIFS(tbl_data[12. Consultation Group of],$B$2,tbl_data[1:T3B],$A103,tbl_data[T3],$B$3)</f>
        <v>0</v>
      </c>
      <c r="T103" s="198">
        <f>COUNTIFS(tbl_data[12. Consultation Group of],$B$2,tbl_data[2:T3B],$A103,tbl_data[T3],$B$3)</f>
        <v>0</v>
      </c>
      <c r="U103" s="198">
        <f>COUNTIFS(tbl_data[12. Consultation Group of],$B$2,tbl_data[3:T3B],$A103,tbl_data[T3],$B$3)</f>
        <v>0</v>
      </c>
      <c r="V103" s="198">
        <f t="shared" si="16"/>
        <v>0</v>
      </c>
      <c r="W103" s="199" t="str">
        <f t="shared" si="17"/>
        <v>Exclusion Based On Party Politics (0)</v>
      </c>
      <c r="X103" s="205">
        <f>COUNTIFS(tbl_data[12. Consultation Group of],$C$2,tbl_data[1:T1B],$A103,tbl_data[T1],$C$3)</f>
        <v>0</v>
      </c>
      <c r="Y103" s="198">
        <f>COUNTIFS(tbl_data[12. Consultation Group of],$C$2,tbl_data[2:T1B],$A103,tbl_data[T1],$C$3)</f>
        <v>0</v>
      </c>
      <c r="Z103" s="198">
        <f>COUNTIFS(tbl_data[12. Consultation Group of],$C$2,tbl_data[3:T1B],$A103,tbl_data[T1],$C$3)</f>
        <v>0</v>
      </c>
      <c r="AA103" s="198">
        <f>COUNTIFS(tbl_data[12. Consultation Group of],$C$2,tbl_data[1:T2B],$A103,tbl_data[T2],$C$3)</f>
        <v>0</v>
      </c>
      <c r="AB103" s="198">
        <f>COUNTIFS(tbl_data[12. Consultation Group of],$C$2,tbl_data[2:T2B],$A103,tbl_data[T2],$C$3)</f>
        <v>0</v>
      </c>
      <c r="AC103" s="198">
        <f>COUNTIFS(tbl_data[12. Consultation Group of],$C$2,tbl_data[3:T2B],$A103,tbl_data[T2],$C$3)</f>
        <v>0</v>
      </c>
      <c r="AD103" s="198">
        <f>COUNTIFS(tbl_data[12. Consultation Group of],$C$2,tbl_data[1:T3B],$A103,tbl_data[T3],$C$3)</f>
        <v>0</v>
      </c>
      <c r="AE103" s="198">
        <f>COUNTIFS(tbl_data[12. Consultation Group of],$C$2,tbl_data[2:T3B],$A103,tbl_data[T3],$C$3)</f>
        <v>0</v>
      </c>
      <c r="AF103" s="198">
        <f>COUNTIFS(tbl_data[12. Consultation Group of],$C$2,tbl_data[3:T3B],$A103,tbl_data[T3],$C$3)</f>
        <v>0</v>
      </c>
      <c r="AG103" s="198">
        <f t="shared" si="18"/>
        <v>0</v>
      </c>
      <c r="AH103" s="199" t="str">
        <f t="shared" si="19"/>
        <v>Exclusion Based On Party Politics (0)</v>
      </c>
      <c r="AI103" s="205">
        <f>COUNTIFS(tbl_data[12. Consultation Group of],$D$2,tbl_data[1:T1B],$A103,tbl_data[T1],$D$3)</f>
        <v>0</v>
      </c>
      <c r="AJ103" s="198">
        <f>COUNTIFS(tbl_data[12. Consultation Group of],$D$2,tbl_data[2:T1B],$A103,tbl_data[T1],$D$3)</f>
        <v>0</v>
      </c>
      <c r="AK103" s="198">
        <f>COUNTIFS(tbl_data[12. Consultation Group of],$D$2,tbl_data[3:T1B],$A103,tbl_data[T1],$D$3)</f>
        <v>0</v>
      </c>
      <c r="AL103" s="198">
        <f>COUNTIFS(tbl_data[12. Consultation Group of],$D$2,tbl_data[1:T2B],$A103,tbl_data[T2],$D$3)</f>
        <v>0</v>
      </c>
      <c r="AM103" s="198">
        <f>COUNTIFS(tbl_data[12. Consultation Group of],$D$2,tbl_data[2:T2B],$A103,tbl_data[T2],$D$3)</f>
        <v>0</v>
      </c>
      <c r="AN103" s="198">
        <f>COUNTIFS(tbl_data[12. Consultation Group of],$D$2,tbl_data[3:T2B],$A103,tbl_data[T2],$D$3)</f>
        <v>0</v>
      </c>
      <c r="AO103" s="198">
        <f>COUNTIFS(tbl_data[12. Consultation Group of],$D$2,tbl_data[1:T3B],$A103,tbl_data[T3],$D$3)</f>
        <v>0</v>
      </c>
      <c r="AP103" s="198">
        <f>COUNTIFS(tbl_data[12. Consultation Group of],$D$2,tbl_data[2:T3B],$A103,tbl_data[T3],$D$3)</f>
        <v>0</v>
      </c>
      <c r="AQ103" s="198">
        <f>COUNTIFS(tbl_data[12. Consultation Group of],$D$2,tbl_data[3:T3B],$A103,tbl_data[T3],$D$3)</f>
        <v>0</v>
      </c>
      <c r="AR103" s="198">
        <f t="shared" si="20"/>
        <v>0</v>
      </c>
      <c r="AS103" s="199" t="str">
        <f t="shared" si="21"/>
        <v>Exclusion Based On Party Politics (0)</v>
      </c>
      <c r="AT103" s="205">
        <f>COUNTIFS(tbl_data[12. Consultation Group of],$E$2,tbl_data[1:T1B],$A103,tbl_data[T1],$E$3)</f>
        <v>0</v>
      </c>
      <c r="AU103" s="198">
        <f>COUNTIFS(tbl_data[12. Consultation Group of],$E$2,tbl_data[2:T1B],$A103,tbl_data[T1],$E$3)</f>
        <v>0</v>
      </c>
      <c r="AV103" s="198">
        <f>COUNTIFS(tbl_data[12. Consultation Group of],$E$2,tbl_data[3:T1B],$A103,tbl_data[T1],$E$3)</f>
        <v>0</v>
      </c>
      <c r="AW103" s="198">
        <f>COUNTIFS(tbl_data[12. Consultation Group of],$E$2,tbl_data[1:T2B],$A103,tbl_data[T2],$E$3)</f>
        <v>0</v>
      </c>
      <c r="AX103" s="198">
        <f>COUNTIFS(tbl_data[12. Consultation Group of],$E$2,tbl_data[2:T2B],$A103,tbl_data[T2],$E$3)</f>
        <v>0</v>
      </c>
      <c r="AY103" s="198">
        <f>COUNTIFS(tbl_data[12. Consultation Group of],$E$2,tbl_data[3:T2B],$A103,tbl_data[T2],$E$3)</f>
        <v>0</v>
      </c>
      <c r="AZ103" s="198">
        <f>COUNTIFS(tbl_data[12. Consultation Group of],$E$2,tbl_data[1:T3B],$A103,tbl_data[T3],$E$3)</f>
        <v>0</v>
      </c>
      <c r="BA103" s="198">
        <f>COUNTIFS(tbl_data[12. Consultation Group of],$E$2,tbl_data[2:T3B],$A103,tbl_data[T3],$E$3)</f>
        <v>0</v>
      </c>
      <c r="BB103" s="198">
        <f>COUNTIFS(tbl_data[12. Consultation Group of],$E$2,tbl_data[3:T3B],$A103,tbl_data[T3],$E$3)</f>
        <v>0</v>
      </c>
      <c r="BC103" s="198">
        <f t="shared" si="22"/>
        <v>0</v>
      </c>
      <c r="BD103" s="199" t="str">
        <f t="shared" si="23"/>
        <v>Exclusion Based On Party Politics (0)</v>
      </c>
      <c r="BE103" s="205">
        <f>COUNTIFS(tbl_data[1:T1B],$A103,tbl_data[T1],$F$3)</f>
        <v>0</v>
      </c>
      <c r="BF103" s="198">
        <f>COUNTIFS(tbl_data[2:T1B],$A103,tbl_data[T1],$F$3)</f>
        <v>0</v>
      </c>
      <c r="BG103" s="198">
        <f>COUNTIFS(tbl_data[3:T1B],$A103,tbl_data[T1],$F$3)</f>
        <v>0</v>
      </c>
      <c r="BH103" s="198">
        <f>COUNTIFS(tbl_data[1:T2B],$A103,tbl_data[T2],$F$3)</f>
        <v>0</v>
      </c>
      <c r="BI103" s="198">
        <f>COUNTIFS(tbl_data[2:T2B],$A103,tbl_data[T2],$F$3)</f>
        <v>0</v>
      </c>
      <c r="BJ103" s="198">
        <f>COUNTIFS(tbl_data[3:T2B],$A103,tbl_data[T2],$F$3)</f>
        <v>0</v>
      </c>
      <c r="BK103" s="198">
        <f>COUNTIFS(tbl_data[1:T3B],$A103,tbl_data[T3],$F$3)</f>
        <v>0</v>
      </c>
      <c r="BL103" s="198">
        <f>COUNTIFS(tbl_data[2:T3B],$A103,tbl_data[T3],$F$3)</f>
        <v>0</v>
      </c>
      <c r="BM103" s="198">
        <f>COUNTIFS(tbl_data[3:T3B],$A103,tbl_data[T3],$F$3)</f>
        <v>0</v>
      </c>
      <c r="BN103" s="198">
        <f t="shared" si="24"/>
        <v>0</v>
      </c>
      <c r="BO103" s="199" t="str">
        <f t="shared" si="25"/>
        <v>Exclusion Based On Party Politics (0)</v>
      </c>
      <c r="BQ103" t="str">
        <f t="shared" si="26"/>
        <v>Exclusion Based On Party Politics</v>
      </c>
      <c r="BR103">
        <f t="shared" si="27"/>
        <v>0</v>
      </c>
    </row>
    <row r="104" spans="1:71" x14ac:dyDescent="0.25">
      <c r="A104" s="215" t="s">
        <v>558</v>
      </c>
      <c r="B104" s="205">
        <f>COUNTIFS(tbl_data[12. Consultation Group of],$A$2,tbl_data[1:T1B],$A104,tbl_data[T1],$A$3)</f>
        <v>0</v>
      </c>
      <c r="C104" s="198">
        <f>COUNTIFS(tbl_data[12. Consultation Group of],$A$2,tbl_data[2:T1B],$A104,tbl_data[T1],$A$3)</f>
        <v>0</v>
      </c>
      <c r="D104" s="198">
        <f>COUNTIFS(tbl_data[12. Consultation Group of],$A$2,tbl_data[3:T1B],$A104,tbl_data[T1],$A$3)</f>
        <v>0</v>
      </c>
      <c r="E104" s="198">
        <f>COUNTIFS(tbl_data[12. Consultation Group of],$A$2,tbl_data[1:T2B],$A104,tbl_data[T2],$A$3)</f>
        <v>0</v>
      </c>
      <c r="F104" s="198">
        <f>COUNTIFS(tbl_data[12. Consultation Group of],$A$2,tbl_data[2:T2B],$A104,tbl_data[T2],$A$3)</f>
        <v>0</v>
      </c>
      <c r="G104" s="198">
        <f>COUNTIFS(tbl_data[12. Consultation Group of],$A$2,tbl_data[3:T2B],$A104,tbl_data[T2],$A$3)</f>
        <v>0</v>
      </c>
      <c r="H104" s="198">
        <f>COUNTIFS(tbl_data[12. Consultation Group of],$A$2,tbl_data[1:T3B],$A104,tbl_data[T3],$A$3)</f>
        <v>0</v>
      </c>
      <c r="I104" s="198">
        <f>COUNTIFS(tbl_data[12. Consultation Group of],$A$2,tbl_data[2:T3B],$A104,tbl_data[T3],$A$3)</f>
        <v>0</v>
      </c>
      <c r="J104" s="198">
        <f>COUNTIFS(tbl_data[12. Consultation Group of],$A$2,tbl_data[3:T3B],$A104,tbl_data[T3],$A$3)</f>
        <v>0</v>
      </c>
      <c r="K104" s="198">
        <f t="shared" si="14"/>
        <v>0</v>
      </c>
      <c r="L104" s="199" t="str">
        <f t="shared" si="15"/>
        <v>Poor Natural Resource Management (0)</v>
      </c>
      <c r="M104" s="205">
        <f>COUNTIFS(tbl_data[12. Consultation Group of],$B$2,tbl_data[1:T1B],$A104,tbl_data[T1],$B$3)</f>
        <v>0</v>
      </c>
      <c r="N104" s="198">
        <f>COUNTIFS(tbl_data[12. Consultation Group of],$B$2,tbl_data[2:T1B],$A104,tbl_data[T1],$B$3)</f>
        <v>0</v>
      </c>
      <c r="O104" s="198">
        <f>COUNTIFS(tbl_data[12. Consultation Group of],$B$2,tbl_data[3:T1B],$A104,tbl_data[T1],$B$3)</f>
        <v>0</v>
      </c>
      <c r="P104" s="198">
        <f>COUNTIFS(tbl_data[12. Consultation Group of],$B$2,tbl_data[1:T2B],$A104,tbl_data[T2],$B$3)</f>
        <v>0</v>
      </c>
      <c r="Q104" s="198">
        <f>COUNTIFS(tbl_data[12. Consultation Group of],$B$2,tbl_data[2:T2B],$A104,tbl_data[T2],$B$3)</f>
        <v>0</v>
      </c>
      <c r="R104" s="198">
        <f>COUNTIFS(tbl_data[12. Consultation Group of],$B$2,tbl_data[3:T2B],$A104,tbl_data[T2],$B$3)</f>
        <v>0</v>
      </c>
      <c r="S104" s="198">
        <f>COUNTIFS(tbl_data[12. Consultation Group of],$B$2,tbl_data[1:T3B],$A104,tbl_data[T3],$B$3)</f>
        <v>0</v>
      </c>
      <c r="T104" s="198">
        <f>COUNTIFS(tbl_data[12. Consultation Group of],$B$2,tbl_data[2:T3B],$A104,tbl_data[T3],$B$3)</f>
        <v>0</v>
      </c>
      <c r="U104" s="198">
        <f>COUNTIFS(tbl_data[12. Consultation Group of],$B$2,tbl_data[3:T3B],$A104,tbl_data[T3],$B$3)</f>
        <v>0</v>
      </c>
      <c r="V104" s="198">
        <f t="shared" si="16"/>
        <v>0</v>
      </c>
      <c r="W104" s="199" t="str">
        <f t="shared" si="17"/>
        <v>Poor Natural Resource Management (0)</v>
      </c>
      <c r="X104" s="205">
        <f>COUNTIFS(tbl_data[12. Consultation Group of],$C$2,tbl_data[1:T1B],$A104,tbl_data[T1],$C$3)</f>
        <v>0</v>
      </c>
      <c r="Y104" s="198">
        <f>COUNTIFS(tbl_data[12. Consultation Group of],$C$2,tbl_data[2:T1B],$A104,tbl_data[T1],$C$3)</f>
        <v>0</v>
      </c>
      <c r="Z104" s="198">
        <f>COUNTIFS(tbl_data[12. Consultation Group of],$C$2,tbl_data[3:T1B],$A104,tbl_data[T1],$C$3)</f>
        <v>0</v>
      </c>
      <c r="AA104" s="198">
        <f>COUNTIFS(tbl_data[12. Consultation Group of],$C$2,tbl_data[1:T2B],$A104,tbl_data[T2],$C$3)</f>
        <v>0</v>
      </c>
      <c r="AB104" s="198">
        <f>COUNTIFS(tbl_data[12. Consultation Group of],$C$2,tbl_data[2:T2B],$A104,tbl_data[T2],$C$3)</f>
        <v>0</v>
      </c>
      <c r="AC104" s="198">
        <f>COUNTIFS(tbl_data[12. Consultation Group of],$C$2,tbl_data[3:T2B],$A104,tbl_data[T2],$C$3)</f>
        <v>0</v>
      </c>
      <c r="AD104" s="198">
        <f>COUNTIFS(tbl_data[12. Consultation Group of],$C$2,tbl_data[1:T3B],$A104,tbl_data[T3],$C$3)</f>
        <v>0</v>
      </c>
      <c r="AE104" s="198">
        <f>COUNTIFS(tbl_data[12. Consultation Group of],$C$2,tbl_data[2:T3B],$A104,tbl_data[T3],$C$3)</f>
        <v>0</v>
      </c>
      <c r="AF104" s="198">
        <f>COUNTIFS(tbl_data[12. Consultation Group of],$C$2,tbl_data[3:T3B],$A104,tbl_data[T3],$C$3)</f>
        <v>0</v>
      </c>
      <c r="AG104" s="198">
        <f t="shared" si="18"/>
        <v>0</v>
      </c>
      <c r="AH104" s="199" t="str">
        <f t="shared" si="19"/>
        <v>Poor Natural Resource Management (0)</v>
      </c>
      <c r="AI104" s="205">
        <f>COUNTIFS(tbl_data[12. Consultation Group of],$D$2,tbl_data[1:T1B],$A104,tbl_data[T1],$D$3)</f>
        <v>0</v>
      </c>
      <c r="AJ104" s="198">
        <f>COUNTIFS(tbl_data[12. Consultation Group of],$D$2,tbl_data[2:T1B],$A104,tbl_data[T1],$D$3)</f>
        <v>0</v>
      </c>
      <c r="AK104" s="198">
        <f>COUNTIFS(tbl_data[12. Consultation Group of],$D$2,tbl_data[3:T1B],$A104,tbl_data[T1],$D$3)</f>
        <v>0</v>
      </c>
      <c r="AL104" s="198">
        <f>COUNTIFS(tbl_data[12. Consultation Group of],$D$2,tbl_data[1:T2B],$A104,tbl_data[T2],$D$3)</f>
        <v>0</v>
      </c>
      <c r="AM104" s="198">
        <f>COUNTIFS(tbl_data[12. Consultation Group of],$D$2,tbl_data[2:T2B],$A104,tbl_data[T2],$D$3)</f>
        <v>0</v>
      </c>
      <c r="AN104" s="198">
        <f>COUNTIFS(tbl_data[12. Consultation Group of],$D$2,tbl_data[3:T2B],$A104,tbl_data[T2],$D$3)</f>
        <v>0</v>
      </c>
      <c r="AO104" s="198">
        <f>COUNTIFS(tbl_data[12. Consultation Group of],$D$2,tbl_data[1:T3B],$A104,tbl_data[T3],$D$3)</f>
        <v>0</v>
      </c>
      <c r="AP104" s="198">
        <f>COUNTIFS(tbl_data[12. Consultation Group of],$D$2,tbl_data[2:T3B],$A104,tbl_data[T3],$D$3)</f>
        <v>0</v>
      </c>
      <c r="AQ104" s="198">
        <f>COUNTIFS(tbl_data[12. Consultation Group of],$D$2,tbl_data[3:T3B],$A104,tbl_data[T3],$D$3)</f>
        <v>0</v>
      </c>
      <c r="AR104" s="198">
        <f t="shared" si="20"/>
        <v>0</v>
      </c>
      <c r="AS104" s="199" t="str">
        <f t="shared" si="21"/>
        <v>Poor Natural Resource Management (0)</v>
      </c>
      <c r="AT104" s="205">
        <f>COUNTIFS(tbl_data[12. Consultation Group of],$E$2,tbl_data[1:T1B],$A104,tbl_data[T1],$E$3)</f>
        <v>0</v>
      </c>
      <c r="AU104" s="198">
        <f>COUNTIFS(tbl_data[12. Consultation Group of],$E$2,tbl_data[2:T1B],$A104,tbl_data[T1],$E$3)</f>
        <v>0</v>
      </c>
      <c r="AV104" s="198">
        <f>COUNTIFS(tbl_data[12. Consultation Group of],$E$2,tbl_data[3:T1B],$A104,tbl_data[T1],$E$3)</f>
        <v>0</v>
      </c>
      <c r="AW104" s="198">
        <f>COUNTIFS(tbl_data[12. Consultation Group of],$E$2,tbl_data[1:T2B],$A104,tbl_data[T2],$E$3)</f>
        <v>0</v>
      </c>
      <c r="AX104" s="198">
        <f>COUNTIFS(tbl_data[12. Consultation Group of],$E$2,tbl_data[2:T2B],$A104,tbl_data[T2],$E$3)</f>
        <v>0</v>
      </c>
      <c r="AY104" s="198">
        <f>COUNTIFS(tbl_data[12. Consultation Group of],$E$2,tbl_data[3:T2B],$A104,tbl_data[T2],$E$3)</f>
        <v>0</v>
      </c>
      <c r="AZ104" s="198">
        <f>COUNTIFS(tbl_data[12. Consultation Group of],$E$2,tbl_data[1:T3B],$A104,tbl_data[T3],$E$3)</f>
        <v>0</v>
      </c>
      <c r="BA104" s="198">
        <f>COUNTIFS(tbl_data[12. Consultation Group of],$E$2,tbl_data[2:T3B],$A104,tbl_data[T3],$E$3)</f>
        <v>0</v>
      </c>
      <c r="BB104" s="198">
        <f>COUNTIFS(tbl_data[12. Consultation Group of],$E$2,tbl_data[3:T3B],$A104,tbl_data[T3],$E$3)</f>
        <v>0</v>
      </c>
      <c r="BC104" s="198">
        <f t="shared" si="22"/>
        <v>0</v>
      </c>
      <c r="BD104" s="199" t="str">
        <f t="shared" si="23"/>
        <v>Poor Natural Resource Management (0)</v>
      </c>
      <c r="BE104" s="205">
        <f>COUNTIFS(tbl_data[1:T1B],$A104,tbl_data[T1],$F$3)</f>
        <v>0</v>
      </c>
      <c r="BF104" s="198">
        <f>COUNTIFS(tbl_data[2:T1B],$A104,tbl_data[T1],$F$3)</f>
        <v>0</v>
      </c>
      <c r="BG104" s="198">
        <f>COUNTIFS(tbl_data[3:T1B],$A104,tbl_data[T1],$F$3)</f>
        <v>0</v>
      </c>
      <c r="BH104" s="198">
        <f>COUNTIFS(tbl_data[1:T2B],$A104,tbl_data[T2],$F$3)</f>
        <v>0</v>
      </c>
      <c r="BI104" s="198">
        <f>COUNTIFS(tbl_data[2:T2B],$A104,tbl_data[T2],$F$3)</f>
        <v>0</v>
      </c>
      <c r="BJ104" s="198">
        <f>COUNTIFS(tbl_data[3:T2B],$A104,tbl_data[T2],$F$3)</f>
        <v>0</v>
      </c>
      <c r="BK104" s="198">
        <f>COUNTIFS(tbl_data[1:T3B],$A104,tbl_data[T3],$F$3)</f>
        <v>0</v>
      </c>
      <c r="BL104" s="198">
        <f>COUNTIFS(tbl_data[2:T3B],$A104,tbl_data[T3],$F$3)</f>
        <v>0</v>
      </c>
      <c r="BM104" s="198">
        <f>COUNTIFS(tbl_data[3:T3B],$A104,tbl_data[T3],$F$3)</f>
        <v>0</v>
      </c>
      <c r="BN104" s="198">
        <f t="shared" si="24"/>
        <v>0</v>
      </c>
      <c r="BO104" s="199" t="str">
        <f t="shared" si="25"/>
        <v>Poor Natural Resource Management (0)</v>
      </c>
      <c r="BQ104" t="str">
        <f t="shared" si="26"/>
        <v>Poor Natural Resource Management</v>
      </c>
      <c r="BR104">
        <f t="shared" si="27"/>
        <v>0</v>
      </c>
    </row>
    <row r="105" spans="1:71" x14ac:dyDescent="0.25">
      <c r="A105" s="215" t="s">
        <v>499</v>
      </c>
      <c r="B105" s="205">
        <f>COUNTIFS(tbl_data[12. Consultation Group of],$A$2,tbl_data[1:T1B],$A105,tbl_data[T1],$A$3)</f>
        <v>0</v>
      </c>
      <c r="C105" s="198">
        <f>COUNTIFS(tbl_data[12. Consultation Group of],$A$2,tbl_data[2:T1B],$A105,tbl_data[T1],$A$3)</f>
        <v>0</v>
      </c>
      <c r="D105" s="198">
        <f>COUNTIFS(tbl_data[12. Consultation Group of],$A$2,tbl_data[3:T1B],$A105,tbl_data[T1],$A$3)</f>
        <v>0</v>
      </c>
      <c r="E105" s="198">
        <f>COUNTIFS(tbl_data[12. Consultation Group of],$A$2,tbl_data[1:T2B],$A105,tbl_data[T2],$A$3)</f>
        <v>0</v>
      </c>
      <c r="F105" s="198">
        <f>COUNTIFS(tbl_data[12. Consultation Group of],$A$2,tbl_data[2:T2B],$A105,tbl_data[T2],$A$3)</f>
        <v>0</v>
      </c>
      <c r="G105" s="198">
        <f>COUNTIFS(tbl_data[12. Consultation Group of],$A$2,tbl_data[3:T2B],$A105,tbl_data[T2],$A$3)</f>
        <v>0</v>
      </c>
      <c r="H105" s="198">
        <f>COUNTIFS(tbl_data[12. Consultation Group of],$A$2,tbl_data[1:T3B],$A105,tbl_data[T3],$A$3)</f>
        <v>0</v>
      </c>
      <c r="I105" s="198">
        <f>COUNTIFS(tbl_data[12. Consultation Group of],$A$2,tbl_data[2:T3B],$A105,tbl_data[T3],$A$3)</f>
        <v>0</v>
      </c>
      <c r="J105" s="198">
        <f>COUNTIFS(tbl_data[12. Consultation Group of],$A$2,tbl_data[3:T3B],$A105,tbl_data[T3],$A$3)</f>
        <v>0</v>
      </c>
      <c r="K105" s="198">
        <f t="shared" si="14"/>
        <v>0</v>
      </c>
      <c r="L105" s="199" t="str">
        <f t="shared" si="15"/>
        <v>Exclusion Of Youth (0)</v>
      </c>
      <c r="M105" s="205">
        <f>COUNTIFS(tbl_data[12. Consultation Group of],$B$2,tbl_data[1:T1B],$A105,tbl_data[T1],$B$3)</f>
        <v>0</v>
      </c>
      <c r="N105" s="198">
        <f>COUNTIFS(tbl_data[12. Consultation Group of],$B$2,tbl_data[2:T1B],$A105,tbl_data[T1],$B$3)</f>
        <v>0</v>
      </c>
      <c r="O105" s="198">
        <f>COUNTIFS(tbl_data[12. Consultation Group of],$B$2,tbl_data[3:T1B],$A105,tbl_data[T1],$B$3)</f>
        <v>0</v>
      </c>
      <c r="P105" s="198">
        <f>COUNTIFS(tbl_data[12. Consultation Group of],$B$2,tbl_data[1:T2B],$A105,tbl_data[T2],$B$3)</f>
        <v>0</v>
      </c>
      <c r="Q105" s="198">
        <f>COUNTIFS(tbl_data[12. Consultation Group of],$B$2,tbl_data[2:T2B],$A105,tbl_data[T2],$B$3)</f>
        <v>0</v>
      </c>
      <c r="R105" s="198">
        <f>COUNTIFS(tbl_data[12. Consultation Group of],$B$2,tbl_data[3:T2B],$A105,tbl_data[T2],$B$3)</f>
        <v>0</v>
      </c>
      <c r="S105" s="198">
        <f>COUNTIFS(tbl_data[12. Consultation Group of],$B$2,tbl_data[1:T3B],$A105,tbl_data[T3],$B$3)</f>
        <v>0</v>
      </c>
      <c r="T105" s="198">
        <f>COUNTIFS(tbl_data[12. Consultation Group of],$B$2,tbl_data[2:T3B],$A105,tbl_data[T3],$B$3)</f>
        <v>0</v>
      </c>
      <c r="U105" s="198">
        <f>COUNTIFS(tbl_data[12. Consultation Group of],$B$2,tbl_data[3:T3B],$A105,tbl_data[T3],$B$3)</f>
        <v>0</v>
      </c>
      <c r="V105" s="198">
        <f t="shared" si="16"/>
        <v>0</v>
      </c>
      <c r="W105" s="199" t="str">
        <f t="shared" si="17"/>
        <v>Exclusion Of Youth (0)</v>
      </c>
      <c r="X105" s="205">
        <f>COUNTIFS(tbl_data[12. Consultation Group of],$C$2,tbl_data[1:T1B],$A105,tbl_data[T1],$C$3)</f>
        <v>0</v>
      </c>
      <c r="Y105" s="198">
        <f>COUNTIFS(tbl_data[12. Consultation Group of],$C$2,tbl_data[2:T1B],$A105,tbl_data[T1],$C$3)</f>
        <v>0</v>
      </c>
      <c r="Z105" s="198">
        <f>COUNTIFS(tbl_data[12. Consultation Group of],$C$2,tbl_data[3:T1B],$A105,tbl_data[T1],$C$3)</f>
        <v>0</v>
      </c>
      <c r="AA105" s="198">
        <f>COUNTIFS(tbl_data[12. Consultation Group of],$C$2,tbl_data[1:T2B],$A105,tbl_data[T2],$C$3)</f>
        <v>0</v>
      </c>
      <c r="AB105" s="198">
        <f>COUNTIFS(tbl_data[12. Consultation Group of],$C$2,tbl_data[2:T2B],$A105,tbl_data[T2],$C$3)</f>
        <v>0</v>
      </c>
      <c r="AC105" s="198">
        <f>COUNTIFS(tbl_data[12. Consultation Group of],$C$2,tbl_data[3:T2B],$A105,tbl_data[T2],$C$3)</f>
        <v>0</v>
      </c>
      <c r="AD105" s="198">
        <f>COUNTIFS(tbl_data[12. Consultation Group of],$C$2,tbl_data[1:T3B],$A105,tbl_data[T3],$C$3)</f>
        <v>0</v>
      </c>
      <c r="AE105" s="198">
        <f>COUNTIFS(tbl_data[12. Consultation Group of],$C$2,tbl_data[2:T3B],$A105,tbl_data[T3],$C$3)</f>
        <v>0</v>
      </c>
      <c r="AF105" s="198">
        <f>COUNTIFS(tbl_data[12. Consultation Group of],$C$2,tbl_data[3:T3B],$A105,tbl_data[T3],$C$3)</f>
        <v>0</v>
      </c>
      <c r="AG105" s="198">
        <f t="shared" si="18"/>
        <v>0</v>
      </c>
      <c r="AH105" s="199" t="str">
        <f t="shared" si="19"/>
        <v>Exclusion Of Youth (0)</v>
      </c>
      <c r="AI105" s="205">
        <f>COUNTIFS(tbl_data[12. Consultation Group of],$D$2,tbl_data[1:T1B],$A105,tbl_data[T1],$D$3)</f>
        <v>0</v>
      </c>
      <c r="AJ105" s="198">
        <f>COUNTIFS(tbl_data[12. Consultation Group of],$D$2,tbl_data[2:T1B],$A105,tbl_data[T1],$D$3)</f>
        <v>0</v>
      </c>
      <c r="AK105" s="198">
        <f>COUNTIFS(tbl_data[12. Consultation Group of],$D$2,tbl_data[3:T1B],$A105,tbl_data[T1],$D$3)</f>
        <v>0</v>
      </c>
      <c r="AL105" s="198">
        <f>COUNTIFS(tbl_data[12. Consultation Group of],$D$2,tbl_data[1:T2B],$A105,tbl_data[T2],$D$3)</f>
        <v>0</v>
      </c>
      <c r="AM105" s="198">
        <f>COUNTIFS(tbl_data[12. Consultation Group of],$D$2,tbl_data[2:T2B],$A105,tbl_data[T2],$D$3)</f>
        <v>0</v>
      </c>
      <c r="AN105" s="198">
        <f>COUNTIFS(tbl_data[12. Consultation Group of],$D$2,tbl_data[3:T2B],$A105,tbl_data[T2],$D$3)</f>
        <v>0</v>
      </c>
      <c r="AO105" s="198">
        <f>COUNTIFS(tbl_data[12. Consultation Group of],$D$2,tbl_data[1:T3B],$A105,tbl_data[T3],$D$3)</f>
        <v>0</v>
      </c>
      <c r="AP105" s="198">
        <f>COUNTIFS(tbl_data[12. Consultation Group of],$D$2,tbl_data[2:T3B],$A105,tbl_data[T3],$D$3)</f>
        <v>0</v>
      </c>
      <c r="AQ105" s="198">
        <f>COUNTIFS(tbl_data[12. Consultation Group of],$D$2,tbl_data[3:T3B],$A105,tbl_data[T3],$D$3)</f>
        <v>0</v>
      </c>
      <c r="AR105" s="198">
        <f t="shared" si="20"/>
        <v>0</v>
      </c>
      <c r="AS105" s="199" t="str">
        <f t="shared" si="21"/>
        <v>Exclusion Of Youth (0)</v>
      </c>
      <c r="AT105" s="205">
        <f>COUNTIFS(tbl_data[12. Consultation Group of],$E$2,tbl_data[1:T1B],$A105,tbl_data[T1],$E$3)</f>
        <v>0</v>
      </c>
      <c r="AU105" s="198" t="s">
        <v>894</v>
      </c>
      <c r="AV105" s="198">
        <f>COUNTIFS(tbl_data[12. Consultation Group of],$E$2,tbl_data[3:T1B],$A105,tbl_data[T1],$E$3)</f>
        <v>0</v>
      </c>
      <c r="AW105" s="198">
        <f>COUNTIFS(tbl_data[12. Consultation Group of],$E$2,tbl_data[1:T2B],$A105,tbl_data[T2],$E$3)</f>
        <v>0</v>
      </c>
      <c r="AX105" s="198">
        <f>COUNTIFS(tbl_data[12. Consultation Group of],$E$2,tbl_data[2:T2B],$A105,tbl_data[T2],$E$3)</f>
        <v>0</v>
      </c>
      <c r="AY105" s="198">
        <f>COUNTIFS(tbl_data[12. Consultation Group of],$E$2,tbl_data[3:T2B],$A105,tbl_data[T2],$E$3)</f>
        <v>0</v>
      </c>
      <c r="AZ105" s="198">
        <f>COUNTIFS(tbl_data[12. Consultation Group of],$E$2,tbl_data[1:T3B],$A105,tbl_data[T3],$E$3)</f>
        <v>0</v>
      </c>
      <c r="BA105" s="198">
        <f>COUNTIFS(tbl_data[12. Consultation Group of],$E$2,tbl_data[2:T3B],$A105,tbl_data[T3],$E$3)</f>
        <v>0</v>
      </c>
      <c r="BB105" s="198">
        <f>COUNTIFS(tbl_data[12. Consultation Group of],$E$2,tbl_data[3:T3B],$A105,tbl_data[T3],$E$3)</f>
        <v>0</v>
      </c>
      <c r="BC105" s="198">
        <f t="shared" si="22"/>
        <v>0</v>
      </c>
      <c r="BD105" s="199" t="str">
        <f t="shared" si="23"/>
        <v>Exclusion Of Youth (0)</v>
      </c>
      <c r="BE105" s="205">
        <f>COUNTIFS(tbl_data[1:T1B],$A105,tbl_data[T1],$F$3)</f>
        <v>0</v>
      </c>
      <c r="BF105" s="198">
        <f>COUNTIFS(tbl_data[2:T1B],$A105,tbl_data[T1],$F$3)</f>
        <v>0</v>
      </c>
      <c r="BG105" s="198">
        <f>COUNTIFS(tbl_data[3:T1B],$A105,tbl_data[T1],$F$3)</f>
        <v>0</v>
      </c>
      <c r="BH105" s="198">
        <f>COUNTIFS(tbl_data[1:T2B],$A105,tbl_data[T2],$F$3)</f>
        <v>0</v>
      </c>
      <c r="BI105" s="198">
        <f>COUNTIFS(tbl_data[2:T2B],$A105,tbl_data[T2],$F$3)</f>
        <v>0</v>
      </c>
      <c r="BJ105" s="198">
        <f>COUNTIFS(tbl_data[3:T2B],$A105,tbl_data[T2],$F$3)</f>
        <v>0</v>
      </c>
      <c r="BK105" s="198">
        <f>COUNTIFS(tbl_data[1:T3B],$A105,tbl_data[T3],$F$3)</f>
        <v>0</v>
      </c>
      <c r="BL105" s="198">
        <f>COUNTIFS(tbl_data[2:T3B],$A105,tbl_data[T3],$F$3)</f>
        <v>0</v>
      </c>
      <c r="BM105" s="198">
        <f>COUNTIFS(tbl_data[3:T3B],$A105,tbl_data[T3],$F$3)</f>
        <v>0</v>
      </c>
      <c r="BN105" s="198">
        <f t="shared" si="24"/>
        <v>0</v>
      </c>
      <c r="BO105" s="199" t="str">
        <f t="shared" si="25"/>
        <v>Exclusion Of Youth (0)</v>
      </c>
      <c r="BQ105" t="str">
        <f t="shared" si="26"/>
        <v>Exclusion Of Youth</v>
      </c>
      <c r="BR105">
        <f t="shared" si="27"/>
        <v>0</v>
      </c>
    </row>
    <row r="106" spans="1:71" x14ac:dyDescent="0.25">
      <c r="A106" s="215" t="s">
        <v>395</v>
      </c>
      <c r="B106" s="205">
        <f>COUNTIFS(tbl_data[12. Consultation Group of],$A$2,tbl_data[1:T1B],$A106,tbl_data[T1],$A$3)</f>
        <v>0</v>
      </c>
      <c r="C106" s="198">
        <f>COUNTIFS(tbl_data[12. Consultation Group of],$A$2,tbl_data[2:T1B],$A106,tbl_data[T1],$A$3)</f>
        <v>0</v>
      </c>
      <c r="D106" s="198">
        <f>COUNTIFS(tbl_data[12. Consultation Group of],$A$2,tbl_data[3:T1B],$A106,tbl_data[T1],$A$3)</f>
        <v>0</v>
      </c>
      <c r="E106" s="198">
        <f>COUNTIFS(tbl_data[12. Consultation Group of],$A$2,tbl_data[1:T2B],$A106,tbl_data[T2],$A$3)</f>
        <v>0</v>
      </c>
      <c r="F106" s="198">
        <f>COUNTIFS(tbl_data[12. Consultation Group of],$A$2,tbl_data[2:T2B],$A106,tbl_data[T2],$A$3)</f>
        <v>0</v>
      </c>
      <c r="G106" s="198">
        <f>COUNTIFS(tbl_data[12. Consultation Group of],$A$2,tbl_data[3:T2B],$A106,tbl_data[T2],$A$3)</f>
        <v>0</v>
      </c>
      <c r="H106" s="198">
        <f>COUNTIFS(tbl_data[12. Consultation Group of],$A$2,tbl_data[1:T3B],$A106,tbl_data[T3],$A$3)</f>
        <v>0</v>
      </c>
      <c r="I106" s="198">
        <f>COUNTIFS(tbl_data[12. Consultation Group of],$A$2,tbl_data[2:T3B],$A106,tbl_data[T3],$A$3)</f>
        <v>0</v>
      </c>
      <c r="J106" s="198">
        <f>COUNTIFS(tbl_data[12. Consultation Group of],$A$2,tbl_data[3:T3B],$A106,tbl_data[T3],$A$3)</f>
        <v>0</v>
      </c>
      <c r="K106" s="198">
        <f t="shared" si="14"/>
        <v>0</v>
      </c>
      <c r="L106" s="199" t="str">
        <f t="shared" si="15"/>
        <v>Lack Of Public Transparency And Accountability (0)</v>
      </c>
      <c r="M106" s="205">
        <f>COUNTIFS(tbl_data[12. Consultation Group of],$B$2,tbl_data[1:T1B],$A106,tbl_data[T1],$B$3)</f>
        <v>0</v>
      </c>
      <c r="N106" s="198">
        <f>COUNTIFS(tbl_data[12. Consultation Group of],$B$2,tbl_data[2:T1B],$A106,tbl_data[T1],$B$3)</f>
        <v>0</v>
      </c>
      <c r="O106" s="198">
        <f>COUNTIFS(tbl_data[12. Consultation Group of],$B$2,tbl_data[3:T1B],$A106,tbl_data[T1],$B$3)</f>
        <v>0</v>
      </c>
      <c r="P106" s="198">
        <f>COUNTIFS(tbl_data[12. Consultation Group of],$B$2,tbl_data[1:T2B],$A106,tbl_data[T2],$B$3)</f>
        <v>0</v>
      </c>
      <c r="Q106" s="198">
        <f>COUNTIFS(tbl_data[12. Consultation Group of],$B$2,tbl_data[2:T2B],$A106,tbl_data[T2],$B$3)</f>
        <v>0</v>
      </c>
      <c r="R106" s="198">
        <f>COUNTIFS(tbl_data[12. Consultation Group of],$B$2,tbl_data[3:T2B],$A106,tbl_data[T2],$B$3)</f>
        <v>0</v>
      </c>
      <c r="S106" s="198">
        <f>COUNTIFS(tbl_data[12. Consultation Group of],$B$2,tbl_data[1:T3B],$A106,tbl_data[T3],$B$3)</f>
        <v>0</v>
      </c>
      <c r="T106" s="198">
        <f>COUNTIFS(tbl_data[12. Consultation Group of],$B$2,tbl_data[2:T3B],$A106,tbl_data[T3],$B$3)</f>
        <v>0</v>
      </c>
      <c r="U106" s="198">
        <f>COUNTIFS(tbl_data[12. Consultation Group of],$B$2,tbl_data[3:T3B],$A106,tbl_data[T3],$B$3)</f>
        <v>0</v>
      </c>
      <c r="V106" s="198">
        <f t="shared" si="16"/>
        <v>0</v>
      </c>
      <c r="W106" s="199" t="str">
        <f t="shared" si="17"/>
        <v>Lack Of Public Transparency And Accountability (0)</v>
      </c>
      <c r="X106" s="205">
        <f>COUNTIFS(tbl_data[12. Consultation Group of],$C$2,tbl_data[1:T1B],$A106,tbl_data[T1],$C$3)</f>
        <v>0</v>
      </c>
      <c r="Y106" s="198">
        <f>COUNTIFS(tbl_data[12. Consultation Group of],$C$2,tbl_data[2:T1B],$A106,tbl_data[T1],$C$3)</f>
        <v>0</v>
      </c>
      <c r="Z106" s="198">
        <f>COUNTIFS(tbl_data[12. Consultation Group of],$C$2,tbl_data[3:T1B],$A106,tbl_data[T1],$C$3)</f>
        <v>0</v>
      </c>
      <c r="AA106" s="198">
        <f>COUNTIFS(tbl_data[12. Consultation Group of],$C$2,tbl_data[1:T2B],$A106,tbl_data[T2],$C$3)</f>
        <v>0</v>
      </c>
      <c r="AB106" s="198">
        <f>COUNTIFS(tbl_data[12. Consultation Group of],$C$2,tbl_data[2:T2B],$A106,tbl_data[T2],$C$3)</f>
        <v>0</v>
      </c>
      <c r="AC106" s="198">
        <f>COUNTIFS(tbl_data[12. Consultation Group of],$C$2,tbl_data[3:T2B],$A106,tbl_data[T2],$C$3)</f>
        <v>0</v>
      </c>
      <c r="AD106" s="198">
        <f>COUNTIFS(tbl_data[12. Consultation Group of],$C$2,tbl_data[1:T3B],$A106,tbl_data[T3],$C$3)</f>
        <v>0</v>
      </c>
      <c r="AE106" s="198">
        <f>COUNTIFS(tbl_data[12. Consultation Group of],$C$2,tbl_data[2:T3B],$A106,tbl_data[T3],$C$3)</f>
        <v>0</v>
      </c>
      <c r="AF106" s="198">
        <f>COUNTIFS(tbl_data[12. Consultation Group of],$C$2,tbl_data[3:T3B],$A106,tbl_data[T3],$C$3)</f>
        <v>0</v>
      </c>
      <c r="AG106" s="198">
        <f t="shared" si="18"/>
        <v>0</v>
      </c>
      <c r="AH106" s="199" t="str">
        <f t="shared" si="19"/>
        <v>Lack Of Public Transparency And Accountability (0)</v>
      </c>
      <c r="AI106" s="205">
        <f>COUNTIFS(tbl_data[12. Consultation Group of],$D$2,tbl_data[1:T1B],$A106,tbl_data[T1],$D$3)</f>
        <v>0</v>
      </c>
      <c r="AJ106" s="198">
        <f>COUNTIFS(tbl_data[12. Consultation Group of],$D$2,tbl_data[2:T1B],$A106,tbl_data[T1],$D$3)</f>
        <v>0</v>
      </c>
      <c r="AK106" s="198">
        <f>COUNTIFS(tbl_data[12. Consultation Group of],$D$2,tbl_data[3:T1B],$A106,tbl_data[T1],$D$3)</f>
        <v>0</v>
      </c>
      <c r="AL106" s="198">
        <f>COUNTIFS(tbl_data[12. Consultation Group of],$D$2,tbl_data[1:T2B],$A106,tbl_data[T2],$D$3)</f>
        <v>0</v>
      </c>
      <c r="AM106" s="198">
        <f>COUNTIFS(tbl_data[12. Consultation Group of],$D$2,tbl_data[2:T2B],$A106,tbl_data[T2],$D$3)</f>
        <v>0</v>
      </c>
      <c r="AN106" s="198">
        <f>COUNTIFS(tbl_data[12. Consultation Group of],$D$2,tbl_data[3:T2B],$A106,tbl_data[T2],$D$3)</f>
        <v>0</v>
      </c>
      <c r="AO106" s="198">
        <f>COUNTIFS(tbl_data[12. Consultation Group of],$D$2,tbl_data[1:T3B],$A106,tbl_data[T3],$D$3)</f>
        <v>0</v>
      </c>
      <c r="AP106" s="198">
        <f>COUNTIFS(tbl_data[12. Consultation Group of],$D$2,tbl_data[2:T3B],$A106,tbl_data[T3],$D$3)</f>
        <v>0</v>
      </c>
      <c r="AQ106" s="198">
        <f>COUNTIFS(tbl_data[12. Consultation Group of],$D$2,tbl_data[3:T3B],$A106,tbl_data[T3],$D$3)</f>
        <v>0</v>
      </c>
      <c r="AR106" s="198">
        <f t="shared" si="20"/>
        <v>0</v>
      </c>
      <c r="AS106" s="199" t="str">
        <f t="shared" si="21"/>
        <v>Lack Of Public Transparency And Accountability (0)</v>
      </c>
      <c r="AT106" s="205">
        <f>COUNTIFS(tbl_data[12. Consultation Group of],$E$2,tbl_data[1:T1B],$A106,tbl_data[T1],$E$3)</f>
        <v>0</v>
      </c>
      <c r="AU106" s="198">
        <f>COUNTIFS(tbl_data[12. Consultation Group of],$E$2,tbl_data[2:T1B],$A106,tbl_data[T1],$E$3)</f>
        <v>0</v>
      </c>
      <c r="AV106" s="198">
        <f>COUNTIFS(tbl_data[12. Consultation Group of],$E$2,tbl_data[3:T1B],$A106,tbl_data[T1],$E$3)</f>
        <v>0</v>
      </c>
      <c r="AW106" s="198">
        <f>COUNTIFS(tbl_data[12. Consultation Group of],$E$2,tbl_data[1:T2B],$A106,tbl_data[T2],$E$3)</f>
        <v>0</v>
      </c>
      <c r="AX106" s="198">
        <f>COUNTIFS(tbl_data[12. Consultation Group of],$E$2,tbl_data[2:T2B],$A106,tbl_data[T2],$E$3)</f>
        <v>0</v>
      </c>
      <c r="AY106" s="198">
        <f>COUNTIFS(tbl_data[12. Consultation Group of],$E$2,tbl_data[3:T2B],$A106,tbl_data[T2],$E$3)</f>
        <v>0</v>
      </c>
      <c r="AZ106" s="198">
        <f>COUNTIFS(tbl_data[12. Consultation Group of],$E$2,tbl_data[1:T3B],$A106,tbl_data[T3],$E$3)</f>
        <v>0</v>
      </c>
      <c r="BA106" s="198">
        <f>COUNTIFS(tbl_data[12. Consultation Group of],$E$2,tbl_data[2:T3B],$A106,tbl_data[T3],$E$3)</f>
        <v>0</v>
      </c>
      <c r="BB106" s="198">
        <f>COUNTIFS(tbl_data[12. Consultation Group of],$E$2,tbl_data[3:T3B],$A106,tbl_data[T3],$E$3)</f>
        <v>0</v>
      </c>
      <c r="BC106" s="198">
        <f t="shared" si="22"/>
        <v>0</v>
      </c>
      <c r="BD106" s="199" t="str">
        <f t="shared" si="23"/>
        <v>Lack Of Public Transparency And Accountability (0)</v>
      </c>
      <c r="BE106" s="205">
        <f>COUNTIFS(tbl_data[1:T1B],$A106,tbl_data[T1],$F$3)</f>
        <v>0</v>
      </c>
      <c r="BF106" s="198">
        <f>COUNTIFS(tbl_data[2:T1B],$A106,tbl_data[T1],$F$3)</f>
        <v>0</v>
      </c>
      <c r="BG106" s="198">
        <f>COUNTIFS(tbl_data[3:T1B],$A106,tbl_data[T1],$F$3)</f>
        <v>0</v>
      </c>
      <c r="BH106" s="198">
        <f>COUNTIFS(tbl_data[1:T2B],$A106,tbl_data[T2],$F$3)</f>
        <v>0</v>
      </c>
      <c r="BI106" s="198">
        <f>COUNTIFS(tbl_data[2:T2B],$A106,tbl_data[T2],$F$3)</f>
        <v>0</v>
      </c>
      <c r="BJ106" s="198">
        <f>COUNTIFS(tbl_data[3:T2B],$A106,tbl_data[T2],$F$3)</f>
        <v>0</v>
      </c>
      <c r="BK106" s="198">
        <f>COUNTIFS(tbl_data[1:T3B],$A106,tbl_data[T3],$F$3)</f>
        <v>0</v>
      </c>
      <c r="BL106" s="198">
        <f>COUNTIFS(tbl_data[2:T3B],$A106,tbl_data[T3],$F$3)</f>
        <v>0</v>
      </c>
      <c r="BM106" s="198">
        <f>COUNTIFS(tbl_data[3:T3B],$A106,tbl_data[T3],$F$3)</f>
        <v>0</v>
      </c>
      <c r="BN106" s="198">
        <f t="shared" si="24"/>
        <v>0</v>
      </c>
      <c r="BO106" s="199" t="str">
        <f t="shared" si="25"/>
        <v>Lack Of Public Transparency And Accountability (0)</v>
      </c>
      <c r="BQ106" t="str">
        <f t="shared" si="26"/>
        <v>Lack Of Public Transparency And Accountability</v>
      </c>
      <c r="BR106">
        <f t="shared" si="27"/>
        <v>0</v>
      </c>
    </row>
    <row r="107" spans="1:71" x14ac:dyDescent="0.25">
      <c r="A107" s="215" t="s">
        <v>404</v>
      </c>
      <c r="B107" s="205">
        <f>COUNTIFS(tbl_data[12. Consultation Group of],$A$2,tbl_data[1:T1B],$A107,tbl_data[T1],$A$3)</f>
        <v>0</v>
      </c>
      <c r="C107" s="198">
        <f>COUNTIFS(tbl_data[12. Consultation Group of],$A$2,tbl_data[2:T1B],$A107,tbl_data[T1],$A$3)</f>
        <v>0</v>
      </c>
      <c r="D107" s="198">
        <f>COUNTIFS(tbl_data[12. Consultation Group of],$A$2,tbl_data[3:T1B],$A107,tbl_data[T1],$A$3)</f>
        <v>0</v>
      </c>
      <c r="E107" s="198">
        <f>COUNTIFS(tbl_data[12. Consultation Group of],$A$2,tbl_data[1:T2B],$A107,tbl_data[T2],$A$3)</f>
        <v>0</v>
      </c>
      <c r="F107" s="198">
        <f>COUNTIFS(tbl_data[12. Consultation Group of],$A$2,tbl_data[2:T2B],$A107,tbl_data[T2],$A$3)</f>
        <v>0</v>
      </c>
      <c r="G107" s="198">
        <f>COUNTIFS(tbl_data[12. Consultation Group of],$A$2,tbl_data[3:T2B],$A107,tbl_data[T2],$A$3)</f>
        <v>0</v>
      </c>
      <c r="H107" s="198">
        <f>COUNTIFS(tbl_data[12. Consultation Group of],$A$2,tbl_data[1:T3B],$A107,tbl_data[T3],$A$3)</f>
        <v>0</v>
      </c>
      <c r="I107" s="198">
        <f>COUNTIFS(tbl_data[12. Consultation Group of],$A$2,tbl_data[2:T3B],$A107,tbl_data[T3],$A$3)</f>
        <v>0</v>
      </c>
      <c r="J107" s="198">
        <f>COUNTIFS(tbl_data[12. Consultation Group of],$A$2,tbl_data[3:T3B],$A107,tbl_data[T3],$A$3)</f>
        <v>0</v>
      </c>
      <c r="K107" s="198">
        <f t="shared" si="14"/>
        <v>0</v>
      </c>
      <c r="L107" s="199" t="str">
        <f t="shared" si="15"/>
        <v>Marginalisation/Exclusion (0)</v>
      </c>
      <c r="M107" s="205">
        <f>COUNTIFS(tbl_data[12. Consultation Group of],$B$2,tbl_data[1:T1B],$A107,tbl_data[T1],$B$3)</f>
        <v>0</v>
      </c>
      <c r="N107" s="198">
        <f>COUNTIFS(tbl_data[12. Consultation Group of],$B$2,tbl_data[2:T1B],$A107,tbl_data[T1],$B$3)</f>
        <v>0</v>
      </c>
      <c r="O107" s="198">
        <f>COUNTIFS(tbl_data[12. Consultation Group of],$B$2,tbl_data[3:T1B],$A107,tbl_data[T1],$B$3)</f>
        <v>0</v>
      </c>
      <c r="P107" s="198">
        <f>COUNTIFS(tbl_data[12. Consultation Group of],$B$2,tbl_data[1:T2B],$A107,tbl_data[T2],$B$3)</f>
        <v>0</v>
      </c>
      <c r="Q107" s="198">
        <f>COUNTIFS(tbl_data[12. Consultation Group of],$B$2,tbl_data[2:T2B],$A107,tbl_data[T2],$B$3)</f>
        <v>0</v>
      </c>
      <c r="R107" s="198">
        <f>COUNTIFS(tbl_data[12. Consultation Group of],$B$2,tbl_data[3:T2B],$A107,tbl_data[T2],$B$3)</f>
        <v>0</v>
      </c>
      <c r="S107" s="198">
        <f>COUNTIFS(tbl_data[12. Consultation Group of],$B$2,tbl_data[1:T3B],$A107,tbl_data[T3],$B$3)</f>
        <v>0</v>
      </c>
      <c r="T107" s="198">
        <f>COUNTIFS(tbl_data[12. Consultation Group of],$B$2,tbl_data[2:T3B],$A107,tbl_data[T3],$B$3)</f>
        <v>0</v>
      </c>
      <c r="U107" s="198">
        <f>COUNTIFS(tbl_data[12. Consultation Group of],$B$2,tbl_data[3:T3B],$A107,tbl_data[T3],$B$3)</f>
        <v>0</v>
      </c>
      <c r="V107" s="198">
        <f t="shared" si="16"/>
        <v>0</v>
      </c>
      <c r="W107" s="199" t="str">
        <f t="shared" si="17"/>
        <v>Marginalisation/Exclusion (0)</v>
      </c>
      <c r="X107" s="205">
        <f>COUNTIFS(tbl_data[12. Consultation Group of],$C$2,tbl_data[1:T1B],$A107,tbl_data[T1],$C$3)</f>
        <v>0</v>
      </c>
      <c r="Y107" s="198">
        <f>COUNTIFS(tbl_data[12. Consultation Group of],$C$2,tbl_data[2:T1B],$A107,tbl_data[T1],$C$3)</f>
        <v>0</v>
      </c>
      <c r="Z107" s="198">
        <f>COUNTIFS(tbl_data[12. Consultation Group of],$C$2,tbl_data[3:T1B],$A107,tbl_data[T1],$C$3)</f>
        <v>0</v>
      </c>
      <c r="AA107" s="198">
        <f>COUNTIFS(tbl_data[12. Consultation Group of],$C$2,tbl_data[1:T2B],$A107,tbl_data[T2],$C$3)</f>
        <v>0</v>
      </c>
      <c r="AB107" s="198">
        <f>COUNTIFS(tbl_data[12. Consultation Group of],$C$2,tbl_data[2:T2B],$A107,tbl_data[T2],$C$3)</f>
        <v>0</v>
      </c>
      <c r="AC107" s="198">
        <f>COUNTIFS(tbl_data[12. Consultation Group of],$C$2,tbl_data[3:T2B],$A107,tbl_data[T2],$C$3)</f>
        <v>0</v>
      </c>
      <c r="AD107" s="198">
        <f>COUNTIFS(tbl_data[12. Consultation Group of],$C$2,tbl_data[1:T3B],$A107,tbl_data[T3],$C$3)</f>
        <v>0</v>
      </c>
      <c r="AE107" s="198">
        <f>COUNTIFS(tbl_data[12. Consultation Group of],$C$2,tbl_data[2:T3B],$A107,tbl_data[T3],$C$3)</f>
        <v>0</v>
      </c>
      <c r="AF107" s="198">
        <f>COUNTIFS(tbl_data[12. Consultation Group of],$C$2,tbl_data[3:T3B],$A107,tbl_data[T3],$C$3)</f>
        <v>0</v>
      </c>
      <c r="AG107" s="198">
        <f t="shared" si="18"/>
        <v>0</v>
      </c>
      <c r="AH107" s="199" t="str">
        <f t="shared" si="19"/>
        <v>Marginalisation/Exclusion (0)</v>
      </c>
      <c r="AI107" s="205">
        <f>COUNTIFS(tbl_data[12. Consultation Group of],$D$2,tbl_data[1:T1B],$A107,tbl_data[T1],$D$3)</f>
        <v>0</v>
      </c>
      <c r="AJ107" s="198">
        <f>COUNTIFS(tbl_data[12. Consultation Group of],$D$2,tbl_data[2:T1B],$A107,tbl_data[T1],$D$3)</f>
        <v>0</v>
      </c>
      <c r="AK107" s="198">
        <f>COUNTIFS(tbl_data[12. Consultation Group of],$D$2,tbl_data[3:T1B],$A107,tbl_data[T1],$D$3)</f>
        <v>0</v>
      </c>
      <c r="AL107" s="198">
        <f>COUNTIFS(tbl_data[12. Consultation Group of],$D$2,tbl_data[1:T2B],$A107,tbl_data[T2],$D$3)</f>
        <v>0</v>
      </c>
      <c r="AM107" s="198">
        <f>COUNTIFS(tbl_data[12. Consultation Group of],$D$2,tbl_data[2:T2B],$A107,tbl_data[T2],$D$3)</f>
        <v>0</v>
      </c>
      <c r="AN107" s="198">
        <f>COUNTIFS(tbl_data[12. Consultation Group of],$D$2,tbl_data[3:T2B],$A107,tbl_data[T2],$D$3)</f>
        <v>0</v>
      </c>
      <c r="AO107" s="198">
        <f>COUNTIFS(tbl_data[12. Consultation Group of],$D$2,tbl_data[1:T3B],$A107,tbl_data[T3],$D$3)</f>
        <v>0</v>
      </c>
      <c r="AP107" s="198">
        <f>COUNTIFS(tbl_data[12. Consultation Group of],$D$2,tbl_data[2:T3B],$A107,tbl_data[T3],$D$3)</f>
        <v>0</v>
      </c>
      <c r="AQ107" s="198">
        <f>COUNTIFS(tbl_data[12. Consultation Group of],$D$2,tbl_data[3:T3B],$A107,tbl_data[T3],$D$3)</f>
        <v>0</v>
      </c>
      <c r="AR107" s="198">
        <f t="shared" si="20"/>
        <v>0</v>
      </c>
      <c r="AS107" s="199" t="str">
        <f t="shared" si="21"/>
        <v>Marginalisation/Exclusion (0)</v>
      </c>
      <c r="AT107" s="205">
        <f>COUNTIFS(tbl_data[12. Consultation Group of],$E$2,tbl_data[1:T1B],$A107,tbl_data[T1],$E$3)</f>
        <v>0</v>
      </c>
      <c r="AU107" s="198">
        <f>COUNTIFS(tbl_data[12. Consultation Group of],$E$2,tbl_data[2:T1B],$A107,tbl_data[T1],$E$3)</f>
        <v>0</v>
      </c>
      <c r="AV107" s="198">
        <f>COUNTIFS(tbl_data[12. Consultation Group of],$E$2,tbl_data[3:T1B],$A107,tbl_data[T1],$E$3)</f>
        <v>0</v>
      </c>
      <c r="AW107" s="198">
        <f>COUNTIFS(tbl_data[12. Consultation Group of],$E$2,tbl_data[1:T2B],$A107,tbl_data[T2],$E$3)</f>
        <v>0</v>
      </c>
      <c r="AX107" s="198">
        <f>COUNTIFS(tbl_data[12. Consultation Group of],$E$2,tbl_data[2:T2B],$A107,tbl_data[T2],$E$3)</f>
        <v>0</v>
      </c>
      <c r="AY107" s="198">
        <f>COUNTIFS(tbl_data[12. Consultation Group of],$E$2,tbl_data[3:T2B],$A107,tbl_data[T2],$E$3)</f>
        <v>0</v>
      </c>
      <c r="AZ107" s="198">
        <f>COUNTIFS(tbl_data[12. Consultation Group of],$E$2,tbl_data[1:T3B],$A107,tbl_data[T3],$E$3)</f>
        <v>0</v>
      </c>
      <c r="BA107" s="198">
        <f>COUNTIFS(tbl_data[12. Consultation Group of],$E$2,tbl_data[2:T3B],$A107,tbl_data[T3],$E$3)</f>
        <v>0</v>
      </c>
      <c r="BB107" s="198">
        <f>COUNTIFS(tbl_data[12. Consultation Group of],$E$2,tbl_data[3:T3B],$A107,tbl_data[T3],$E$3)</f>
        <v>0</v>
      </c>
      <c r="BC107" s="198">
        <f t="shared" si="22"/>
        <v>0</v>
      </c>
      <c r="BD107" s="199" t="str">
        <f t="shared" si="23"/>
        <v>Marginalisation/Exclusion (0)</v>
      </c>
      <c r="BE107" s="205">
        <f>COUNTIFS(tbl_data[1:T1B],$A107,tbl_data[T1],$F$3)</f>
        <v>0</v>
      </c>
      <c r="BF107" s="198">
        <f>COUNTIFS(tbl_data[2:T1B],$A107,tbl_data[T1],$F$3)</f>
        <v>0</v>
      </c>
      <c r="BG107" s="198">
        <f>COUNTIFS(tbl_data[3:T1B],$A107,tbl_data[T1],$F$3)</f>
        <v>0</v>
      </c>
      <c r="BH107" s="198">
        <f>COUNTIFS(tbl_data[1:T2B],$A107,tbl_data[T2],$F$3)</f>
        <v>0</v>
      </c>
      <c r="BI107" s="198">
        <f>COUNTIFS(tbl_data[2:T2B],$A107,tbl_data[T2],$F$3)</f>
        <v>0</v>
      </c>
      <c r="BJ107" s="198">
        <f>COUNTIFS(tbl_data[3:T2B],$A107,tbl_data[T2],$F$3)</f>
        <v>0</v>
      </c>
      <c r="BK107" s="198">
        <f>COUNTIFS(tbl_data[1:T3B],$A107,tbl_data[T3],$F$3)</f>
        <v>0</v>
      </c>
      <c r="BL107" s="198">
        <f>COUNTIFS(tbl_data[2:T3B],$A107,tbl_data[T3],$F$3)</f>
        <v>0</v>
      </c>
      <c r="BM107" s="198">
        <f>COUNTIFS(tbl_data[3:T3B],$A107,tbl_data[T3],$F$3)</f>
        <v>0</v>
      </c>
      <c r="BN107" s="198">
        <f t="shared" si="24"/>
        <v>0</v>
      </c>
      <c r="BO107" s="199" t="str">
        <f t="shared" si="25"/>
        <v>Marginalisation/Exclusion (0)</v>
      </c>
      <c r="BQ107" t="str">
        <f t="shared" si="26"/>
        <v>Marginalisation/Exclusion</v>
      </c>
      <c r="BR107">
        <f t="shared" si="27"/>
        <v>0</v>
      </c>
    </row>
    <row r="108" spans="1:71" x14ac:dyDescent="0.25">
      <c r="A108" s="21"/>
      <c r="B108" s="21"/>
      <c r="C108" s="21"/>
      <c r="D108" s="21"/>
      <c r="E108" s="21"/>
      <c r="F108" s="21"/>
      <c r="G108" s="21"/>
      <c r="H108" s="21"/>
      <c r="I108" s="21"/>
      <c r="J108" s="21"/>
      <c r="K108" s="21">
        <f>SUM(K56:K107)</f>
        <v>16</v>
      </c>
      <c r="L108" s="21"/>
      <c r="M108" s="21"/>
      <c r="N108" s="21"/>
      <c r="O108" s="21"/>
      <c r="P108" s="21"/>
      <c r="Q108" s="21"/>
      <c r="R108" s="21"/>
      <c r="S108" s="21"/>
      <c r="T108" s="21"/>
      <c r="U108" s="21"/>
      <c r="V108" s="21">
        <f>SUM(V56:V107)</f>
        <v>9</v>
      </c>
      <c r="W108" s="21"/>
      <c r="X108" s="21"/>
      <c r="Y108" s="21"/>
      <c r="Z108" s="21"/>
      <c r="AA108" s="21"/>
      <c r="AB108" s="21"/>
      <c r="AC108" s="21"/>
      <c r="AD108" s="21"/>
      <c r="AE108" s="21"/>
      <c r="AF108" s="21"/>
      <c r="AG108" s="21">
        <f>SUM(AG56:AG107)</f>
        <v>7</v>
      </c>
      <c r="AH108" s="21"/>
      <c r="AI108" s="21"/>
      <c r="AJ108" s="21"/>
      <c r="AK108" s="21"/>
      <c r="AL108" s="21"/>
      <c r="AM108" s="21"/>
      <c r="AN108" s="21"/>
      <c r="AO108" s="21"/>
      <c r="AP108" s="21"/>
      <c r="AQ108" s="21"/>
      <c r="AR108" s="21">
        <f>SUM(AR56:AR107)</f>
        <v>14</v>
      </c>
      <c r="AS108" s="21"/>
      <c r="AT108" s="21"/>
      <c r="AU108" s="21"/>
      <c r="AV108" s="21"/>
      <c r="AW108" s="21"/>
      <c r="AX108" s="21"/>
      <c r="AY108" s="21"/>
      <c r="AZ108" s="21"/>
      <c r="BA108" s="21"/>
      <c r="BB108" s="21"/>
      <c r="BC108" s="21">
        <f>SUM(BC56:BC107)</f>
        <v>7</v>
      </c>
      <c r="BD108" s="21"/>
      <c r="BE108" s="21"/>
      <c r="BF108" s="21"/>
      <c r="BG108" s="21"/>
      <c r="BH108" s="21"/>
      <c r="BI108" s="21"/>
      <c r="BJ108" s="21"/>
      <c r="BK108" s="21"/>
      <c r="BL108" s="21"/>
      <c r="BM108" s="21"/>
      <c r="BN108" s="21">
        <f>SUM(BN56:BN107)</f>
        <v>37</v>
      </c>
      <c r="BO108" s="21"/>
      <c r="BP108">
        <f>BN108+BC108+AR108+AG108+V108+K108</f>
        <v>90</v>
      </c>
    </row>
    <row r="109" spans="1:71" x14ac:dyDescent="0.25">
      <c r="A109" s="215"/>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row>
    <row r="110" spans="1:71" ht="15.75" thickBot="1" x14ac:dyDescent="0.3">
      <c r="A110" s="207"/>
      <c r="B110" s="229" t="str">
        <f>$A$2</f>
        <v>Women</v>
      </c>
      <c r="C110" s="229"/>
      <c r="D110" s="229"/>
      <c r="E110" s="229"/>
      <c r="F110" s="229"/>
      <c r="G110" s="229"/>
      <c r="H110" s="229"/>
      <c r="I110" s="229"/>
      <c r="J110" s="229"/>
      <c r="K110" s="229"/>
      <c r="L110" s="229"/>
      <c r="M110" s="229" t="str">
        <f>$B$2</f>
        <v>Elderly</v>
      </c>
      <c r="N110" s="229"/>
      <c r="O110" s="229"/>
      <c r="P110" s="229"/>
      <c r="Q110" s="229"/>
      <c r="R110" s="229"/>
      <c r="S110" s="229"/>
      <c r="T110" s="229"/>
      <c r="U110" s="229"/>
      <c r="V110" s="229"/>
      <c r="W110" s="229"/>
      <c r="X110" s="229" t="str">
        <f>$C$2</f>
        <v>Children &amp; Youth</v>
      </c>
      <c r="Y110" s="229"/>
      <c r="Z110" s="229"/>
      <c r="AA110" s="229"/>
      <c r="AB110" s="229"/>
      <c r="AC110" s="229"/>
      <c r="AD110" s="229"/>
      <c r="AE110" s="229"/>
      <c r="AF110" s="229"/>
      <c r="AG110" s="229"/>
      <c r="AH110" s="229"/>
      <c r="AI110" s="229" t="str">
        <f>$D$2</f>
        <v>Men</v>
      </c>
      <c r="AJ110" s="229"/>
      <c r="AK110" s="229"/>
      <c r="AL110" s="229"/>
      <c r="AM110" s="229"/>
      <c r="AN110" s="229"/>
      <c r="AO110" s="229"/>
      <c r="AP110" s="229"/>
      <c r="AQ110" s="229"/>
      <c r="AR110" s="229"/>
      <c r="AS110" s="229"/>
      <c r="AT110" s="229" t="str">
        <f>$E$2</f>
        <v>Persons with disability</v>
      </c>
      <c r="AU110" s="229"/>
      <c r="AV110" s="229"/>
      <c r="AW110" s="229"/>
      <c r="AX110" s="229"/>
      <c r="AY110" s="229"/>
      <c r="AZ110" s="229"/>
      <c r="BA110" s="229"/>
      <c r="BB110" s="229"/>
      <c r="BC110" s="229"/>
      <c r="BD110" s="229"/>
      <c r="BE110" s="229" t="str">
        <f>$F$2</f>
        <v>All</v>
      </c>
      <c r="BF110" s="229"/>
      <c r="BG110" s="229"/>
      <c r="BH110" s="229"/>
      <c r="BI110" s="229"/>
      <c r="BJ110" s="229"/>
      <c r="BK110" s="229"/>
      <c r="BL110" s="229"/>
      <c r="BM110" s="229"/>
      <c r="BN110" s="229"/>
      <c r="BO110" s="229"/>
    </row>
    <row r="111" spans="1:71" ht="15.75" thickBot="1" x14ac:dyDescent="0.3">
      <c r="A111" s="207"/>
      <c r="B111" s="223" t="str">
        <f>$A$3</f>
        <v>Lack of Access to Water</v>
      </c>
      <c r="C111" s="223"/>
      <c r="D111" s="223"/>
      <c r="E111" s="223"/>
      <c r="F111" s="223"/>
      <c r="G111" s="223"/>
      <c r="H111" s="223"/>
      <c r="I111" s="223"/>
      <c r="J111" s="223"/>
      <c r="K111" s="223"/>
      <c r="L111" s="223"/>
      <c r="M111" s="223" t="str">
        <f>$B$3</f>
        <v>Earthquakes</v>
      </c>
      <c r="N111" s="223"/>
      <c r="O111" s="223"/>
      <c r="P111" s="223"/>
      <c r="Q111" s="223"/>
      <c r="R111" s="223"/>
      <c r="S111" s="223"/>
      <c r="T111" s="223"/>
      <c r="U111" s="223"/>
      <c r="V111" s="223"/>
      <c r="W111" s="223"/>
      <c r="X111" s="223" t="str">
        <f>$C$3</f>
        <v>Floods</v>
      </c>
      <c r="Y111" s="223"/>
      <c r="Z111" s="223"/>
      <c r="AA111" s="223"/>
      <c r="AB111" s="223"/>
      <c r="AC111" s="223"/>
      <c r="AD111" s="223"/>
      <c r="AE111" s="223"/>
      <c r="AF111" s="223"/>
      <c r="AG111" s="223"/>
      <c r="AH111" s="223"/>
      <c r="AI111" s="223" t="str">
        <f>$D$3</f>
        <v>Floods</v>
      </c>
      <c r="AJ111" s="223"/>
      <c r="AK111" s="223"/>
      <c r="AL111" s="223"/>
      <c r="AM111" s="223"/>
      <c r="AN111" s="223"/>
      <c r="AO111" s="223"/>
      <c r="AP111" s="223"/>
      <c r="AQ111" s="223"/>
      <c r="AR111" s="223"/>
      <c r="AS111" s="223"/>
      <c r="AT111" s="223" t="str">
        <f>$E$3</f>
        <v>Lack of Access to Basic Services</v>
      </c>
      <c r="AU111" s="223"/>
      <c r="AV111" s="223"/>
      <c r="AW111" s="223"/>
      <c r="AX111" s="223"/>
      <c r="AY111" s="223"/>
      <c r="AZ111" s="223"/>
      <c r="BA111" s="223"/>
      <c r="BB111" s="223"/>
      <c r="BC111" s="223"/>
      <c r="BD111" s="223"/>
      <c r="BE111" s="223" t="str">
        <f>$F$3</f>
        <v>Floods</v>
      </c>
      <c r="BF111" s="223"/>
      <c r="BG111" s="223"/>
      <c r="BH111" s="223"/>
      <c r="BI111" s="223"/>
      <c r="BJ111" s="223"/>
      <c r="BK111" s="223"/>
      <c r="BL111" s="223"/>
      <c r="BM111" s="223"/>
      <c r="BN111" s="223"/>
      <c r="BO111" s="223"/>
      <c r="BQ111" s="216" t="s">
        <v>891</v>
      </c>
      <c r="BR111" s="217" t="s">
        <v>804</v>
      </c>
      <c r="BS111" s="4" t="s">
        <v>921</v>
      </c>
    </row>
    <row r="112" spans="1:71" x14ac:dyDescent="0.25">
      <c r="A112" s="227" t="s">
        <v>891</v>
      </c>
      <c r="B112" s="225" t="s">
        <v>815</v>
      </c>
      <c r="C112" s="226"/>
      <c r="D112" s="226"/>
      <c r="E112" s="226"/>
      <c r="F112" s="226"/>
      <c r="G112" s="226"/>
      <c r="H112" s="226"/>
      <c r="I112" s="226"/>
      <c r="J112" s="226"/>
      <c r="K112" s="197"/>
      <c r="L112" s="196"/>
      <c r="M112" s="225" t="s">
        <v>815</v>
      </c>
      <c r="N112" s="226"/>
      <c r="O112" s="226"/>
      <c r="P112" s="226"/>
      <c r="Q112" s="226"/>
      <c r="R112" s="226"/>
      <c r="S112" s="226"/>
      <c r="T112" s="226"/>
      <c r="U112" s="226"/>
      <c r="V112" s="197"/>
      <c r="W112" s="196"/>
      <c r="X112" s="225" t="s">
        <v>815</v>
      </c>
      <c r="Y112" s="226"/>
      <c r="Z112" s="226"/>
      <c r="AA112" s="226"/>
      <c r="AB112" s="226"/>
      <c r="AC112" s="226"/>
      <c r="AD112" s="226"/>
      <c r="AE112" s="226"/>
      <c r="AF112" s="226"/>
      <c r="AG112" s="197"/>
      <c r="AH112" s="196"/>
      <c r="AI112" s="225" t="s">
        <v>815</v>
      </c>
      <c r="AJ112" s="226"/>
      <c r="AK112" s="226"/>
      <c r="AL112" s="226"/>
      <c r="AM112" s="226"/>
      <c r="AN112" s="226"/>
      <c r="AO112" s="226"/>
      <c r="AP112" s="226"/>
      <c r="AQ112" s="226"/>
      <c r="AR112" s="197"/>
      <c r="AS112" s="196"/>
      <c r="AT112" s="225" t="s">
        <v>815</v>
      </c>
      <c r="AU112" s="226"/>
      <c r="AV112" s="226"/>
      <c r="AW112" s="226"/>
      <c r="AX112" s="226"/>
      <c r="AY112" s="226"/>
      <c r="AZ112" s="226"/>
      <c r="BA112" s="226"/>
      <c r="BB112" s="226"/>
      <c r="BC112" s="197"/>
      <c r="BD112" s="196"/>
      <c r="BE112" s="225" t="s">
        <v>815</v>
      </c>
      <c r="BF112" s="226"/>
      <c r="BG112" s="226"/>
      <c r="BH112" s="226"/>
      <c r="BI112" s="226"/>
      <c r="BJ112" s="226"/>
      <c r="BK112" s="226"/>
      <c r="BL112" s="226"/>
      <c r="BM112" s="226"/>
      <c r="BN112" s="197"/>
      <c r="BO112" s="196"/>
    </row>
    <row r="113" spans="1:74" ht="15.75" thickBot="1" x14ac:dyDescent="0.3">
      <c r="A113" s="228"/>
      <c r="B113" s="208" t="s">
        <v>29</v>
      </c>
      <c r="C113" s="209" t="s">
        <v>30</v>
      </c>
      <c r="D113" s="209" t="s">
        <v>31</v>
      </c>
      <c r="E113" s="209" t="s">
        <v>39</v>
      </c>
      <c r="F113" s="209" t="s">
        <v>40</v>
      </c>
      <c r="G113" s="209" t="s">
        <v>41</v>
      </c>
      <c r="H113" s="209" t="s">
        <v>49</v>
      </c>
      <c r="I113" s="209" t="s">
        <v>50</v>
      </c>
      <c r="J113" s="209" t="s">
        <v>51</v>
      </c>
      <c r="K113" s="209" t="s">
        <v>700</v>
      </c>
      <c r="L113" s="210"/>
      <c r="M113" s="208" t="s">
        <v>29</v>
      </c>
      <c r="N113" s="209" t="s">
        <v>30</v>
      </c>
      <c r="O113" s="209" t="s">
        <v>31</v>
      </c>
      <c r="P113" s="209" t="s">
        <v>39</v>
      </c>
      <c r="Q113" s="209" t="s">
        <v>40</v>
      </c>
      <c r="R113" s="209" t="s">
        <v>41</v>
      </c>
      <c r="S113" s="209" t="s">
        <v>49</v>
      </c>
      <c r="T113" s="209" t="s">
        <v>50</v>
      </c>
      <c r="U113" s="209" t="s">
        <v>51</v>
      </c>
      <c r="V113" s="209" t="s">
        <v>700</v>
      </c>
      <c r="W113" s="210"/>
      <c r="X113" s="208" t="s">
        <v>29</v>
      </c>
      <c r="Y113" s="209" t="s">
        <v>30</v>
      </c>
      <c r="Z113" s="209" t="s">
        <v>31</v>
      </c>
      <c r="AA113" s="209" t="s">
        <v>39</v>
      </c>
      <c r="AB113" s="209" t="s">
        <v>40</v>
      </c>
      <c r="AC113" s="209" t="s">
        <v>41</v>
      </c>
      <c r="AD113" s="209" t="s">
        <v>49</v>
      </c>
      <c r="AE113" s="209" t="s">
        <v>50</v>
      </c>
      <c r="AF113" s="209" t="s">
        <v>51</v>
      </c>
      <c r="AG113" s="209" t="s">
        <v>700</v>
      </c>
      <c r="AH113" s="210"/>
      <c r="AI113" s="208" t="s">
        <v>29</v>
      </c>
      <c r="AJ113" s="209" t="s">
        <v>30</v>
      </c>
      <c r="AK113" s="209" t="s">
        <v>31</v>
      </c>
      <c r="AL113" s="209" t="s">
        <v>39</v>
      </c>
      <c r="AM113" s="209" t="s">
        <v>40</v>
      </c>
      <c r="AN113" s="209" t="s">
        <v>41</v>
      </c>
      <c r="AO113" s="209" t="s">
        <v>49</v>
      </c>
      <c r="AP113" s="209" t="s">
        <v>50</v>
      </c>
      <c r="AQ113" s="209" t="s">
        <v>51</v>
      </c>
      <c r="AR113" s="209" t="s">
        <v>700</v>
      </c>
      <c r="AS113" s="210"/>
      <c r="AT113" s="208" t="s">
        <v>29</v>
      </c>
      <c r="AU113" s="209" t="s">
        <v>30</v>
      </c>
      <c r="AV113" s="209" t="s">
        <v>31</v>
      </c>
      <c r="AW113" s="209" t="s">
        <v>39</v>
      </c>
      <c r="AX113" s="209" t="s">
        <v>40</v>
      </c>
      <c r="AY113" s="209" t="s">
        <v>41</v>
      </c>
      <c r="AZ113" s="209" t="s">
        <v>49</v>
      </c>
      <c r="BA113" s="209" t="s">
        <v>50</v>
      </c>
      <c r="BB113" s="209" t="s">
        <v>51</v>
      </c>
      <c r="BC113" s="209" t="s">
        <v>700</v>
      </c>
      <c r="BD113" s="210"/>
      <c r="BE113" s="208" t="s">
        <v>29</v>
      </c>
      <c r="BF113" s="209" t="s">
        <v>30</v>
      </c>
      <c r="BG113" s="209" t="s">
        <v>31</v>
      </c>
      <c r="BH113" s="209" t="s">
        <v>39</v>
      </c>
      <c r="BI113" s="209" t="s">
        <v>40</v>
      </c>
      <c r="BJ113" s="209" t="s">
        <v>41</v>
      </c>
      <c r="BK113" s="209" t="s">
        <v>49</v>
      </c>
      <c r="BL113" s="209" t="s">
        <v>50</v>
      </c>
      <c r="BM113" s="209" t="s">
        <v>51</v>
      </c>
      <c r="BN113" s="209" t="s">
        <v>700</v>
      </c>
      <c r="BO113" s="210"/>
    </row>
    <row r="114" spans="1:74" x14ac:dyDescent="0.25">
      <c r="A114" s="215" t="s">
        <v>160</v>
      </c>
      <c r="B114" s="205">
        <f>COUNTIFS(tbl_data[12. Consultation Group of],$A$2,tbl_data[1:T1A],$A114,tbl_data[T1],$A$3)</f>
        <v>1</v>
      </c>
      <c r="C114" s="198">
        <f>COUNTIFS(tbl_data[12. Consultation Group of],$A$2,tbl_data[2:T1A],$A114,tbl_data[T1],$A$3)</f>
        <v>0</v>
      </c>
      <c r="D114" s="198">
        <f>COUNTIFS(tbl_data[12. Consultation Group of],$A$2,tbl_data[3:T1A],$A114,tbl_data[T1],$A$3)</f>
        <v>0</v>
      </c>
      <c r="E114" s="198">
        <f>COUNTIFS(tbl_data[12. Consultation Group of],$A$2,tbl_data[1:T2A],$A114,tbl_data[T2],$A$3)</f>
        <v>0</v>
      </c>
      <c r="F114" s="198">
        <f>COUNTIFS(tbl_data[12. Consultation Group of],$A$2,tbl_data[2:T2A],$A114,tbl_data[T2],$A$3)</f>
        <v>0</v>
      </c>
      <c r="G114" s="198">
        <f>COUNTIFS(tbl_data[12. Consultation Group of],$A$2,tbl_data[3:T2A],$A114,tbl_data[T2],$A$3)</f>
        <v>0</v>
      </c>
      <c r="H114" s="198">
        <f>COUNTIFS(tbl_data[12. Consultation Group of],$A$2,tbl_data[1:T3A],$A114,tbl_data[T3],$A$3)</f>
        <v>0</v>
      </c>
      <c r="I114" s="198">
        <f>COUNTIFS(tbl_data[12. Consultation Group of],$A$2,tbl_data[2:T3A],$A114,tbl_data[T3],$A$3)</f>
        <v>0</v>
      </c>
      <c r="J114" s="198">
        <f>COUNTIFS(tbl_data[12. Consultation Group of],$A$2,tbl_data[3:T3A],$A114,tbl_data[T3],$A$3)</f>
        <v>0</v>
      </c>
      <c r="K114" s="198">
        <f>SUM(B114:J114)</f>
        <v>1</v>
      </c>
      <c r="L114" s="199" t="str">
        <f>CONCATENATE($A114," (",K114,")")</f>
        <v>Stock Piling (1)</v>
      </c>
      <c r="M114" s="205">
        <f>COUNTIFS(tbl_data[12. Consultation Group of],$B$2,tbl_data[1:T1A],$A114,tbl_data[T1],$B$3)</f>
        <v>0</v>
      </c>
      <c r="N114" s="198">
        <f>COUNTIFS(tbl_data[12. Consultation Group of],$B$2,tbl_data[2:T1A],$A114,tbl_data[T1],$B$3)</f>
        <v>0</v>
      </c>
      <c r="O114" s="198">
        <f>COUNTIFS(tbl_data[12. Consultation Group of],$B$2,tbl_data[3:T1A],$A114,tbl_data[T1],$B$3)</f>
        <v>0</v>
      </c>
      <c r="P114" s="198">
        <f>COUNTIFS(tbl_data[12. Consultation Group of],$B$2,tbl_data[1:T2A],$A114,tbl_data[T2],$B$3)</f>
        <v>0</v>
      </c>
      <c r="Q114" s="198">
        <f>COUNTIFS(tbl_data[12. Consultation Group of],$B$2,tbl_data[2:T2A],$A114,tbl_data[T2],$B$3)</f>
        <v>0</v>
      </c>
      <c r="R114" s="198">
        <f>COUNTIFS(tbl_data[12. Consultation Group of],$B$2,tbl_data[3:T2A],$A114,tbl_data[T2],$B$3)</f>
        <v>0</v>
      </c>
      <c r="S114" s="198">
        <f>COUNTIFS(tbl_data[12. Consultation Group of],$B$2,tbl_data[1:T3A],$A114,tbl_data[T3],$B$3)</f>
        <v>0</v>
      </c>
      <c r="T114" s="198">
        <f>COUNTIFS(tbl_data[12. Consultation Group of],$B$2,tbl_data[2:T3A],$A114,tbl_data[T3],$B$3)</f>
        <v>0</v>
      </c>
      <c r="U114" s="198">
        <f>COUNTIFS(tbl_data[12. Consultation Group of],$B$2,tbl_data[3:T3A],$A114,tbl_data[T3],$B$3)</f>
        <v>0</v>
      </c>
      <c r="V114" s="198">
        <f>SUM(M114:U114)</f>
        <v>0</v>
      </c>
      <c r="W114" s="199" t="str">
        <f>CONCATENATE($A114," (",V114,")")</f>
        <v>Stock Piling (0)</v>
      </c>
      <c r="X114" s="205">
        <f>COUNTIFS(tbl_data[12. Consultation Group of],$C$2,tbl_data[1:T1A],$A114,tbl_data[T1],$C$3)</f>
        <v>0</v>
      </c>
      <c r="Y114" s="198">
        <f>COUNTIFS(tbl_data[12. Consultation Group of],$C$2,tbl_data[2:T1A],$A114,tbl_data[T1],$C$3)</f>
        <v>0</v>
      </c>
      <c r="Z114" s="198">
        <f>COUNTIFS(tbl_data[12. Consultation Group of],$C$2,tbl_data[3:T1A],$A114,tbl_data[T1],$C$3)</f>
        <v>0</v>
      </c>
      <c r="AA114" s="198">
        <f>COUNTIFS(tbl_data[12. Consultation Group of],$C$2,tbl_data[1:T2A],$A114,tbl_data[T2],$C$3)</f>
        <v>0</v>
      </c>
      <c r="AB114" s="198">
        <f>COUNTIFS(tbl_data[12. Consultation Group of],$C$2,tbl_data[2:T2A],$A114,tbl_data[T2],$C$3)</f>
        <v>0</v>
      </c>
      <c r="AC114" s="198">
        <f>COUNTIFS(tbl_data[12. Consultation Group of],$C$2,tbl_data[3:T2A],$A114,tbl_data[T2],$C$3)</f>
        <v>0</v>
      </c>
      <c r="AD114" s="198">
        <f>COUNTIFS(tbl_data[12. Consultation Group of],$C$2,tbl_data[1:T3A],$A114,tbl_data[T3],$C$3)</f>
        <v>0</v>
      </c>
      <c r="AE114" s="198">
        <f>COUNTIFS(tbl_data[12. Consultation Group of],$C$2,tbl_data[2:T3A],$A114,tbl_data[T3],$C$3)</f>
        <v>0</v>
      </c>
      <c r="AF114" s="198">
        <f>COUNTIFS(tbl_data[12. Consultation Group of],$C$2,tbl_data[3:T3A],$A114,tbl_data[T3],$C$3)</f>
        <v>0</v>
      </c>
      <c r="AG114" s="198">
        <f>SUM(X114:AF114)</f>
        <v>0</v>
      </c>
      <c r="AH114" s="199" t="str">
        <f>CONCATENATE($A114," (",AG114,")")</f>
        <v>Stock Piling (0)</v>
      </c>
      <c r="AI114" s="205">
        <f>COUNTIFS(tbl_data[12. Consultation Group of],$D$2,tbl_data[1:T1A],$A114,tbl_data[T1],$D$3)</f>
        <v>0</v>
      </c>
      <c r="AJ114" s="198">
        <f>COUNTIFS(tbl_data[12. Consultation Group of],$D$2,tbl_data[2:T1A],$A114,tbl_data[T1],$D$3)</f>
        <v>0</v>
      </c>
      <c r="AK114" s="198">
        <f>COUNTIFS(tbl_data[12. Consultation Group of],$D$2,tbl_data[3:T1A],$A114,tbl_data[T1],$D$3)</f>
        <v>0</v>
      </c>
      <c r="AL114" s="198">
        <f>COUNTIFS(tbl_data[12. Consultation Group of],$D$2,tbl_data[1:T2A],$A114,tbl_data[T2],$D$3)</f>
        <v>0</v>
      </c>
      <c r="AM114" s="198">
        <f>COUNTIFS(tbl_data[12. Consultation Group of],$D$2,tbl_data[2:T2A],$A114,tbl_data[T2],$D$3)</f>
        <v>0</v>
      </c>
      <c r="AN114" s="198">
        <f>COUNTIFS(tbl_data[12. Consultation Group of],$D$2,tbl_data[3:T2A],$A114,tbl_data[T2],$D$3)</f>
        <v>0</v>
      </c>
      <c r="AO114" s="198">
        <f>COUNTIFS(tbl_data[12. Consultation Group of],$D$2,tbl_data[1:T3A],$A114,tbl_data[T3],$D$3)</f>
        <v>0</v>
      </c>
      <c r="AP114" s="198">
        <f>COUNTIFS(tbl_data[12. Consultation Group of],$D$2,tbl_data[2:T3A],$A114,tbl_data[T3],$D$3)</f>
        <v>0</v>
      </c>
      <c r="AQ114" s="198">
        <f>COUNTIFS(tbl_data[12. Consultation Group of],$D$2,tbl_data[3:T3A],$A114,tbl_data[T3],$D$3)</f>
        <v>0</v>
      </c>
      <c r="AR114" s="198">
        <f>SUM(AI114:AQ114)</f>
        <v>0</v>
      </c>
      <c r="AS114" s="199" t="str">
        <f>CONCATENATE($A114," (",AR114,")")</f>
        <v>Stock Piling (0)</v>
      </c>
      <c r="AT114" s="205">
        <f>COUNTIFS(tbl_data[12. Consultation Group of],$E$2,tbl_data[1:T1A],$A114,tbl_data[T1],$E$3)</f>
        <v>0</v>
      </c>
      <c r="AU114" s="198">
        <f>COUNTIFS(tbl_data[12. Consultation Group of],$E$2,tbl_data[2:T1A],$A114,tbl_data[T1],$E$3)</f>
        <v>0</v>
      </c>
      <c r="AV114" s="198">
        <f>COUNTIFS(tbl_data[12. Consultation Group of],$E$2,tbl_data[3:T1A],$A114,tbl_data[T1],$E$3)</f>
        <v>0</v>
      </c>
      <c r="AW114" s="198">
        <f>COUNTIFS(tbl_data[12. Consultation Group of],$E$2,tbl_data[1:T2A],$A114,tbl_data[T2],$E$3)</f>
        <v>0</v>
      </c>
      <c r="AX114" s="198">
        <f>COUNTIFS(tbl_data[12. Consultation Group of],$E$2,tbl_data[2:T2A],$A114,tbl_data[T2],$E$3)</f>
        <v>0</v>
      </c>
      <c r="AY114" s="198">
        <f>COUNTIFS(tbl_data[12. Consultation Group of],$E$2,tbl_data[3:T2A],$A114,tbl_data[T2],$E$3)</f>
        <v>0</v>
      </c>
      <c r="AZ114" s="198">
        <f>COUNTIFS(tbl_data[12. Consultation Group of],$E$2,tbl_data[1:T3A],$A114,tbl_data[T3],$E$3)</f>
        <v>0</v>
      </c>
      <c r="BA114" s="198">
        <f>COUNTIFS(tbl_data[12. Consultation Group of],$E$2,tbl_data[2:T3A],$A114,tbl_data[T3],$E$3)</f>
        <v>0</v>
      </c>
      <c r="BB114" s="198">
        <f>COUNTIFS(tbl_data[12. Consultation Group of],$E$2,tbl_data[3:T3A],$A114,tbl_data[T3],$E$3)</f>
        <v>0</v>
      </c>
      <c r="BC114" s="198">
        <f>SUM(AT114:BB114)</f>
        <v>0</v>
      </c>
      <c r="BD114" s="199" t="str">
        <f>CONCATENATE($A114," (",BC114,")")</f>
        <v>Stock Piling (0)</v>
      </c>
      <c r="BE114" s="205">
        <f>COUNTIFS(tbl_data[1:T1A],$A114,tbl_data[T1],$F$3)</f>
        <v>0</v>
      </c>
      <c r="BF114" s="198">
        <f>COUNTIFS(tbl_data[2:T1A],$A114,tbl_data[T1],$F$3)</f>
        <v>0</v>
      </c>
      <c r="BG114" s="198">
        <f>COUNTIFS(tbl_data[3:T1A],$A114,tbl_data[T1],$F$3)</f>
        <v>0</v>
      </c>
      <c r="BH114" s="198">
        <f>COUNTIFS(tbl_data[1:T2A],$A114,tbl_data[T2],$F$3)</f>
        <v>0</v>
      </c>
      <c r="BI114" s="198">
        <f>COUNTIFS(tbl_data[2:T2A],$A114,tbl_data[T2],$F$3)</f>
        <v>0</v>
      </c>
      <c r="BJ114" s="198">
        <f>COUNTIFS(tbl_data[3:T2A],$A114,tbl_data[T2],$F$3)</f>
        <v>0</v>
      </c>
      <c r="BK114" s="198">
        <f>COUNTIFS(tbl_data[1:T3A],$A114,tbl_data[T3],$F$3)</f>
        <v>0</v>
      </c>
      <c r="BL114" s="198">
        <f>COUNTIFS(tbl_data[2:T3A],$A114,tbl_data[T3],$F$3)</f>
        <v>0</v>
      </c>
      <c r="BM114" s="198">
        <f>COUNTIFS(tbl_data[3:T3A],$A114,tbl_data[T3],$F$3)</f>
        <v>0</v>
      </c>
      <c r="BN114" s="198">
        <f>SUM(BE114:BM114)</f>
        <v>0</v>
      </c>
      <c r="BO114" s="199" t="str">
        <f>CONCATENATE($A114," (",BN114,")")</f>
        <v>Stock Piling (0)</v>
      </c>
      <c r="BQ114" t="str">
        <f>A114</f>
        <v>Stock Piling</v>
      </c>
      <c r="BR114">
        <f>K114+V114+AG114+AR114+BC114+BN114</f>
        <v>1</v>
      </c>
      <c r="BS114" t="s">
        <v>944</v>
      </c>
      <c r="BT114" t="s">
        <v>928</v>
      </c>
      <c r="BU114" s="274" t="s">
        <v>938</v>
      </c>
      <c r="BV114" t="s">
        <v>939</v>
      </c>
    </row>
    <row r="115" spans="1:74" x14ac:dyDescent="0.25">
      <c r="A115" s="215" t="s">
        <v>161</v>
      </c>
      <c r="B115" s="205">
        <f>COUNTIFS(tbl_data[12. Consultation Group of],$A$2,tbl_data[1:T1A],$A115,tbl_data[T1],$A$3)</f>
        <v>0</v>
      </c>
      <c r="C115" s="198">
        <f>COUNTIFS(tbl_data[12. Consultation Group of],$A$2,tbl_data[2:T1A],$A115,tbl_data[T1],$A$3)</f>
        <v>1</v>
      </c>
      <c r="D115" s="198">
        <f>COUNTIFS(tbl_data[12. Consultation Group of],$A$2,tbl_data[3:T1A],$A115,tbl_data[T1],$A$3)</f>
        <v>0</v>
      </c>
      <c r="E115" s="198">
        <f>COUNTIFS(tbl_data[12. Consultation Group of],$A$2,tbl_data[1:T2A],$A115,tbl_data[T2],$A$3)</f>
        <v>0</v>
      </c>
      <c r="F115" s="198">
        <f>COUNTIFS(tbl_data[12. Consultation Group of],$A$2,tbl_data[2:T2A],$A115,tbl_data[T2],$A$3)</f>
        <v>0</v>
      </c>
      <c r="G115" s="198">
        <f>COUNTIFS(tbl_data[12. Consultation Group of],$A$2,tbl_data[3:T2A],$A115,tbl_data[T2],$A$3)</f>
        <v>0</v>
      </c>
      <c r="H115" s="198">
        <f>COUNTIFS(tbl_data[12. Consultation Group of],$A$2,tbl_data[1:T3A],$A115,tbl_data[T3],$A$3)</f>
        <v>0</v>
      </c>
      <c r="I115" s="198">
        <f>COUNTIFS(tbl_data[12. Consultation Group of],$A$2,tbl_data[2:T3A],$A115,tbl_data[T3],$A$3)</f>
        <v>0</v>
      </c>
      <c r="J115" s="198">
        <f>COUNTIFS(tbl_data[12. Consultation Group of],$A$2,tbl_data[3:T3A],$A115,tbl_data[T3],$A$3)</f>
        <v>0</v>
      </c>
      <c r="K115" s="198">
        <f t="shared" ref="K115:K165" si="28">SUM(B115:J115)</f>
        <v>1</v>
      </c>
      <c r="L115" s="199" t="str">
        <f t="shared" ref="L115:L165" si="29">CONCATENATE($A115," (",K115,")")</f>
        <v>Reconstruction (1)</v>
      </c>
      <c r="M115" s="205">
        <f>COUNTIFS(tbl_data[12. Consultation Group of],$B$2,tbl_data[1:T1A],$A115,tbl_data[T1],$B$3)</f>
        <v>0</v>
      </c>
      <c r="N115" s="198">
        <f>COUNTIFS(tbl_data[12. Consultation Group of],$B$2,tbl_data[2:T1A],$A115,tbl_data[T1],$B$3)</f>
        <v>0</v>
      </c>
      <c r="O115" s="198">
        <f>COUNTIFS(tbl_data[12. Consultation Group of],$B$2,tbl_data[3:T1A],$A115,tbl_data[T1],$B$3)</f>
        <v>0</v>
      </c>
      <c r="P115" s="198">
        <f>COUNTIFS(tbl_data[12. Consultation Group of],$B$2,tbl_data[1:T2A],$A115,tbl_data[T2],$B$3)</f>
        <v>0</v>
      </c>
      <c r="Q115" s="198">
        <f>COUNTIFS(tbl_data[12. Consultation Group of],$B$2,tbl_data[2:T2A],$A115,tbl_data[T2],$B$3)</f>
        <v>0</v>
      </c>
      <c r="R115" s="198">
        <f>COUNTIFS(tbl_data[12. Consultation Group of],$B$2,tbl_data[3:T2A],$A115,tbl_data[T2],$B$3)</f>
        <v>0</v>
      </c>
      <c r="S115" s="198">
        <f>COUNTIFS(tbl_data[12. Consultation Group of],$B$2,tbl_data[1:T3A],$A115,tbl_data[T3],$B$3)</f>
        <v>0</v>
      </c>
      <c r="T115" s="198">
        <f>COUNTIFS(tbl_data[12. Consultation Group of],$B$2,tbl_data[2:T3A],$A115,tbl_data[T3],$B$3)</f>
        <v>0</v>
      </c>
      <c r="U115" s="198">
        <f>COUNTIFS(tbl_data[12. Consultation Group of],$B$2,tbl_data[3:T3A],$A115,tbl_data[T3],$B$3)</f>
        <v>0</v>
      </c>
      <c r="V115" s="198">
        <f t="shared" ref="V115:V165" si="30">SUM(M115:U115)</f>
        <v>0</v>
      </c>
      <c r="W115" s="199" t="str">
        <f t="shared" ref="W115:W165" si="31">CONCATENATE($A115," (",V115,")")</f>
        <v>Reconstruction (0)</v>
      </c>
      <c r="X115" s="205">
        <f>COUNTIFS(tbl_data[12. Consultation Group of],$C$2,tbl_data[1:T1A],$A115,tbl_data[T1],$C$3)</f>
        <v>0</v>
      </c>
      <c r="Y115" s="198">
        <f>COUNTIFS(tbl_data[12. Consultation Group of],$C$2,tbl_data[2:T1A],$A115,tbl_data[T1],$C$3)</f>
        <v>0</v>
      </c>
      <c r="Z115" s="198">
        <f>COUNTIFS(tbl_data[12. Consultation Group of],$C$2,tbl_data[3:T1A],$A115,tbl_data[T1],$C$3)</f>
        <v>0</v>
      </c>
      <c r="AA115" s="198">
        <f>COUNTIFS(tbl_data[12. Consultation Group of],$C$2,tbl_data[1:T2A],$A115,tbl_data[T2],$C$3)</f>
        <v>0</v>
      </c>
      <c r="AB115" s="198">
        <f>COUNTIFS(tbl_data[12. Consultation Group of],$C$2,tbl_data[2:T2A],$A115,tbl_data[T2],$C$3)</f>
        <v>0</v>
      </c>
      <c r="AC115" s="198">
        <f>COUNTIFS(tbl_data[12. Consultation Group of],$C$2,tbl_data[3:T2A],$A115,tbl_data[T2],$C$3)</f>
        <v>0</v>
      </c>
      <c r="AD115" s="198">
        <f>COUNTIFS(tbl_data[12. Consultation Group of],$C$2,tbl_data[1:T3A],$A115,tbl_data[T3],$C$3)</f>
        <v>0</v>
      </c>
      <c r="AE115" s="198">
        <f>COUNTIFS(tbl_data[12. Consultation Group of],$C$2,tbl_data[2:T3A],$A115,tbl_data[T3],$C$3)</f>
        <v>0</v>
      </c>
      <c r="AF115" s="198">
        <f>COUNTIFS(tbl_data[12. Consultation Group of],$C$2,tbl_data[3:T3A],$A115,tbl_data[T3],$C$3)</f>
        <v>0</v>
      </c>
      <c r="AG115" s="198">
        <f t="shared" ref="AG115:AG165" si="32">SUM(X115:AF115)</f>
        <v>0</v>
      </c>
      <c r="AH115" s="199" t="str">
        <f t="shared" ref="AH115:AH165" si="33">CONCATENATE($A115," (",AG115,")")</f>
        <v>Reconstruction (0)</v>
      </c>
      <c r="AI115" s="205">
        <f>COUNTIFS(tbl_data[12. Consultation Group of],$D$2,tbl_data[1:T1A],$A115,tbl_data[T1],$D$3)</f>
        <v>0</v>
      </c>
      <c r="AJ115" s="198">
        <f>COUNTIFS(tbl_data[12. Consultation Group of],$D$2,tbl_data[2:T1A],$A115,tbl_data[T1],$D$3)</f>
        <v>0</v>
      </c>
      <c r="AK115" s="198">
        <f>COUNTIFS(tbl_data[12. Consultation Group of],$D$2,tbl_data[3:T1A],$A115,tbl_data[T1],$D$3)</f>
        <v>0</v>
      </c>
      <c r="AL115" s="198">
        <f>COUNTIFS(tbl_data[12. Consultation Group of],$D$2,tbl_data[1:T2A],$A115,tbl_data[T2],$D$3)</f>
        <v>0</v>
      </c>
      <c r="AM115" s="198">
        <f>COUNTIFS(tbl_data[12. Consultation Group of],$D$2,tbl_data[2:T2A],$A115,tbl_data[T2],$D$3)</f>
        <v>0</v>
      </c>
      <c r="AN115" s="198">
        <f>COUNTIFS(tbl_data[12. Consultation Group of],$D$2,tbl_data[3:T2A],$A115,tbl_data[T2],$D$3)</f>
        <v>0</v>
      </c>
      <c r="AO115" s="198">
        <f>COUNTIFS(tbl_data[12. Consultation Group of],$D$2,tbl_data[1:T3A],$A115,tbl_data[T3],$D$3)</f>
        <v>0</v>
      </c>
      <c r="AP115" s="198">
        <f>COUNTIFS(tbl_data[12. Consultation Group of],$D$2,tbl_data[2:T3A],$A115,tbl_data[T3],$D$3)</f>
        <v>0</v>
      </c>
      <c r="AQ115" s="198">
        <f>COUNTIFS(tbl_data[12. Consultation Group of],$D$2,tbl_data[3:T3A],$A115,tbl_data[T3],$D$3)</f>
        <v>0</v>
      </c>
      <c r="AR115" s="198">
        <f t="shared" ref="AR115:AR165" si="34">SUM(AI115:AQ115)</f>
        <v>0</v>
      </c>
      <c r="AS115" s="199" t="str">
        <f t="shared" ref="AS115:AS165" si="35">CONCATENATE($A115," (",AR115,")")</f>
        <v>Reconstruction (0)</v>
      </c>
      <c r="AT115" s="205">
        <f>COUNTIFS(tbl_data[12. Consultation Group of],$E$2,tbl_data[1:T1A],$A115,tbl_data[T1],$E$3)</f>
        <v>0</v>
      </c>
      <c r="AU115" s="198">
        <f>COUNTIFS(tbl_data[12. Consultation Group of],$E$2,tbl_data[2:T1A],$A115,tbl_data[T1],$E$3)</f>
        <v>0</v>
      </c>
      <c r="AV115" s="198">
        <f>COUNTIFS(tbl_data[12. Consultation Group of],$E$2,tbl_data[3:T1A],$A115,tbl_data[T1],$E$3)</f>
        <v>0</v>
      </c>
      <c r="AW115" s="198">
        <f>COUNTIFS(tbl_data[12. Consultation Group of],$E$2,tbl_data[1:T2A],$A115,tbl_data[T2],$E$3)</f>
        <v>0</v>
      </c>
      <c r="AX115" s="198">
        <f>COUNTIFS(tbl_data[12. Consultation Group of],$E$2,tbl_data[2:T2A],$A115,tbl_data[T2],$E$3)</f>
        <v>0</v>
      </c>
      <c r="AY115" s="198">
        <f>COUNTIFS(tbl_data[12. Consultation Group of],$E$2,tbl_data[3:T2A],$A115,tbl_data[T2],$E$3)</f>
        <v>0</v>
      </c>
      <c r="AZ115" s="198">
        <f>COUNTIFS(tbl_data[12. Consultation Group of],$E$2,tbl_data[1:T3A],$A115,tbl_data[T3],$E$3)</f>
        <v>0</v>
      </c>
      <c r="BA115" s="198">
        <f>COUNTIFS(tbl_data[12. Consultation Group of],$E$2,tbl_data[2:T3A],$A115,tbl_data[T3],$E$3)</f>
        <v>0</v>
      </c>
      <c r="BB115" s="198">
        <f>COUNTIFS(tbl_data[12. Consultation Group of],$E$2,tbl_data[3:T3A],$A115,tbl_data[T3],$E$3)</f>
        <v>0</v>
      </c>
      <c r="BC115" s="198">
        <f t="shared" ref="BC115:BC165" si="36">SUM(AT115:BB115)</f>
        <v>0</v>
      </c>
      <c r="BD115" s="199" t="str">
        <f t="shared" ref="BD115:BD165" si="37">CONCATENATE($A115," (",BC115,")")</f>
        <v>Reconstruction (0)</v>
      </c>
      <c r="BE115" s="205">
        <f>COUNTIFS(tbl_data[1:T1A],$A115,tbl_data[T1],$F$3)</f>
        <v>1</v>
      </c>
      <c r="BF115" s="198">
        <f>COUNTIFS(tbl_data[2:T1A],$A115,tbl_data[T1],$F$3)</f>
        <v>1</v>
      </c>
      <c r="BG115" s="198">
        <f>COUNTIFS(tbl_data[3:T1A],$A115,tbl_data[T1],$F$3)</f>
        <v>0</v>
      </c>
      <c r="BH115" s="198">
        <f>COUNTIFS(tbl_data[1:T2A],$A115,tbl_data[T2],$F$3)</f>
        <v>0</v>
      </c>
      <c r="BI115" s="198">
        <f>COUNTIFS(tbl_data[2:T2A],$A115,tbl_data[T2],$F$3)</f>
        <v>0</v>
      </c>
      <c r="BJ115" s="198">
        <f>COUNTIFS(tbl_data[3:T2A],$A115,tbl_data[T2],$F$3)</f>
        <v>0</v>
      </c>
      <c r="BK115" s="198">
        <f>COUNTIFS(tbl_data[1:T3A],$A115,tbl_data[T3],$F$3)</f>
        <v>0</v>
      </c>
      <c r="BL115" s="198">
        <f>COUNTIFS(tbl_data[2:T3A],$A115,tbl_data[T3],$F$3)</f>
        <v>0</v>
      </c>
      <c r="BM115" s="198">
        <f>COUNTIFS(tbl_data[3:T3A],$A115,tbl_data[T3],$F$3)</f>
        <v>0</v>
      </c>
      <c r="BN115" s="198">
        <f t="shared" ref="BN115:BN165" si="38">SUM(BE115:BM115)</f>
        <v>2</v>
      </c>
      <c r="BO115" s="199" t="str">
        <f t="shared" ref="BO115:BO165" si="39">CONCATENATE($A115," (",BN115,")")</f>
        <v>Reconstruction (2)</v>
      </c>
      <c r="BQ115" t="str">
        <f t="shared" ref="BQ115:BQ165" si="40">A115</f>
        <v>Reconstruction</v>
      </c>
      <c r="BR115">
        <f t="shared" ref="BR115:BR165" si="41">K115+V115+AG115+AR115+BC115+BN115</f>
        <v>3</v>
      </c>
      <c r="BS115" t="s">
        <v>927</v>
      </c>
      <c r="BT115" t="s">
        <v>927</v>
      </c>
      <c r="BU115" s="275" t="s">
        <v>940</v>
      </c>
      <c r="BV115" t="s">
        <v>941</v>
      </c>
    </row>
    <row r="116" spans="1:74" x14ac:dyDescent="0.25">
      <c r="A116" s="215" t="s">
        <v>162</v>
      </c>
      <c r="B116" s="205">
        <f>COUNTIFS(tbl_data[12. Consultation Group of],$A$2,tbl_data[1:T1A],$A116,tbl_data[T1],$A$3)</f>
        <v>1</v>
      </c>
      <c r="C116" s="198">
        <f>COUNTIFS(tbl_data[12. Consultation Group of],$A$2,tbl_data[2:T1A],$A116,tbl_data[T1],$A$3)</f>
        <v>0</v>
      </c>
      <c r="D116" s="198">
        <f>COUNTIFS(tbl_data[12. Consultation Group of],$A$2,tbl_data[3:T1A],$A116,tbl_data[T1],$A$3)</f>
        <v>1</v>
      </c>
      <c r="E116" s="198">
        <f>COUNTIFS(tbl_data[12. Consultation Group of],$A$2,tbl_data[1:T2A],$A116,tbl_data[T2],$A$3)</f>
        <v>1</v>
      </c>
      <c r="F116" s="198">
        <f>COUNTIFS(tbl_data[12. Consultation Group of],$A$2,tbl_data[2:T2A],$A116,tbl_data[T2],$A$3)</f>
        <v>0</v>
      </c>
      <c r="G116" s="198">
        <f>COUNTIFS(tbl_data[12. Consultation Group of],$A$2,tbl_data[3:T2A],$A116,tbl_data[T2],$A$3)</f>
        <v>0</v>
      </c>
      <c r="H116" s="198">
        <f>COUNTIFS(tbl_data[12. Consultation Group of],$A$2,tbl_data[1:T3A],$A116,tbl_data[T3],$A$3)</f>
        <v>0</v>
      </c>
      <c r="I116" s="198">
        <f>COUNTIFS(tbl_data[12. Consultation Group of],$A$2,tbl_data[2:T3A],$A116,tbl_data[T3],$A$3)</f>
        <v>0</v>
      </c>
      <c r="J116" s="198">
        <f>COUNTIFS(tbl_data[12. Consultation Group of],$A$2,tbl_data[3:T3A],$A116,tbl_data[T3],$A$3)</f>
        <v>0</v>
      </c>
      <c r="K116" s="198">
        <f t="shared" si="28"/>
        <v>3</v>
      </c>
      <c r="L116" s="199" t="str">
        <f t="shared" si="29"/>
        <v>Dam/Dyke Building (3)</v>
      </c>
      <c r="M116" s="205">
        <f>COUNTIFS(tbl_data[12. Consultation Group of],$B$2,tbl_data[1:T1A],$A116,tbl_data[T1],$B$3)</f>
        <v>0</v>
      </c>
      <c r="N116" s="198">
        <f>COUNTIFS(tbl_data[12. Consultation Group of],$B$2,tbl_data[2:T1A],$A116,tbl_data[T1],$B$3)</f>
        <v>0</v>
      </c>
      <c r="O116" s="198">
        <f>COUNTIFS(tbl_data[12. Consultation Group of],$B$2,tbl_data[3:T1A],$A116,tbl_data[T1],$B$3)</f>
        <v>0</v>
      </c>
      <c r="P116" s="198">
        <f>COUNTIFS(tbl_data[12. Consultation Group of],$B$2,tbl_data[1:T2A],$A116,tbl_data[T2],$B$3)</f>
        <v>0</v>
      </c>
      <c r="Q116" s="198">
        <f>COUNTIFS(tbl_data[12. Consultation Group of],$B$2,tbl_data[2:T2A],$A116,tbl_data[T2],$B$3)</f>
        <v>0</v>
      </c>
      <c r="R116" s="198">
        <f>COUNTIFS(tbl_data[12. Consultation Group of],$B$2,tbl_data[3:T2A],$A116,tbl_data[T2],$B$3)</f>
        <v>0</v>
      </c>
      <c r="S116" s="198">
        <f>COUNTIFS(tbl_data[12. Consultation Group of],$B$2,tbl_data[1:T3A],$A116,tbl_data[T3],$B$3)</f>
        <v>0</v>
      </c>
      <c r="T116" s="198">
        <f>COUNTIFS(tbl_data[12. Consultation Group of],$B$2,tbl_data[2:T3A],$A116,tbl_data[T3],$B$3)</f>
        <v>0</v>
      </c>
      <c r="U116" s="198">
        <f>COUNTIFS(tbl_data[12. Consultation Group of],$B$2,tbl_data[3:T3A],$A116,tbl_data[T3],$B$3)</f>
        <v>0</v>
      </c>
      <c r="V116" s="198">
        <f t="shared" si="30"/>
        <v>0</v>
      </c>
      <c r="W116" s="199" t="str">
        <f t="shared" si="31"/>
        <v>Dam/Dyke Building (0)</v>
      </c>
      <c r="X116" s="205">
        <f>COUNTIFS(tbl_data[12. Consultation Group of],$C$2,tbl_data[1:T1A],$A116,tbl_data[T1],$C$3)</f>
        <v>3</v>
      </c>
      <c r="Y116" s="198">
        <f>COUNTIFS(tbl_data[12. Consultation Group of],$C$2,tbl_data[2:T1A],$A116,tbl_data[T1],$C$3)</f>
        <v>0</v>
      </c>
      <c r="Z116" s="198">
        <f>COUNTIFS(tbl_data[12. Consultation Group of],$C$2,tbl_data[3:T1A],$A116,tbl_data[T1],$C$3)</f>
        <v>0</v>
      </c>
      <c r="AA116" s="198">
        <f>COUNTIFS(tbl_data[12. Consultation Group of],$C$2,tbl_data[1:T2A],$A116,tbl_data[T2],$C$3)</f>
        <v>0</v>
      </c>
      <c r="AB116" s="198">
        <f>COUNTIFS(tbl_data[12. Consultation Group of],$C$2,tbl_data[2:T2A],$A116,tbl_data[T2],$C$3)</f>
        <v>0</v>
      </c>
      <c r="AC116" s="198">
        <f>COUNTIFS(tbl_data[12. Consultation Group of],$C$2,tbl_data[3:T2A],$A116,tbl_data[T2],$C$3)</f>
        <v>0</v>
      </c>
      <c r="AD116" s="198">
        <f>COUNTIFS(tbl_data[12. Consultation Group of],$C$2,tbl_data[1:T3A],$A116,tbl_data[T3],$C$3)</f>
        <v>0</v>
      </c>
      <c r="AE116" s="198">
        <f>COUNTIFS(tbl_data[12. Consultation Group of],$C$2,tbl_data[2:T3A],$A116,tbl_data[T3],$C$3)</f>
        <v>0</v>
      </c>
      <c r="AF116" s="198">
        <f>COUNTIFS(tbl_data[12. Consultation Group of],$C$2,tbl_data[3:T3A],$A116,tbl_data[T3],$C$3)</f>
        <v>0</v>
      </c>
      <c r="AG116" s="198">
        <f t="shared" si="32"/>
        <v>3</v>
      </c>
      <c r="AH116" s="199" t="str">
        <f t="shared" si="33"/>
        <v>Dam/Dyke Building (3)</v>
      </c>
      <c r="AI116" s="205">
        <f>COUNTIFS(tbl_data[12. Consultation Group of],$D$2,tbl_data[1:T1A],$A116,tbl_data[T1],$D$3)</f>
        <v>5</v>
      </c>
      <c r="AJ116" s="198">
        <f>COUNTIFS(tbl_data[12. Consultation Group of],$D$2,tbl_data[2:T1A],$A116,tbl_data[T1],$D$3)</f>
        <v>0</v>
      </c>
      <c r="AK116" s="198">
        <f>COUNTIFS(tbl_data[12. Consultation Group of],$D$2,tbl_data[3:T1A],$A116,tbl_data[T1],$D$3)</f>
        <v>0</v>
      </c>
      <c r="AL116" s="198">
        <f>COUNTIFS(tbl_data[12. Consultation Group of],$D$2,tbl_data[1:T2A],$A116,tbl_data[T2],$D$3)</f>
        <v>0</v>
      </c>
      <c r="AM116" s="198">
        <f>COUNTIFS(tbl_data[12. Consultation Group of],$D$2,tbl_data[2:T2A],$A116,tbl_data[T2],$D$3)</f>
        <v>0</v>
      </c>
      <c r="AN116" s="198">
        <f>COUNTIFS(tbl_data[12. Consultation Group of],$D$2,tbl_data[3:T2A],$A116,tbl_data[T2],$D$3)</f>
        <v>0</v>
      </c>
      <c r="AO116" s="198">
        <f>COUNTIFS(tbl_data[12. Consultation Group of],$D$2,tbl_data[1:T3A],$A116,tbl_data[T3],$D$3)</f>
        <v>1</v>
      </c>
      <c r="AP116" s="198">
        <f>COUNTIFS(tbl_data[12. Consultation Group of],$D$2,tbl_data[2:T3A],$A116,tbl_data[T3],$D$3)</f>
        <v>0</v>
      </c>
      <c r="AQ116" s="198">
        <f>COUNTIFS(tbl_data[12. Consultation Group of],$D$2,tbl_data[3:T3A],$A116,tbl_data[T3],$D$3)</f>
        <v>0</v>
      </c>
      <c r="AR116" s="198">
        <f t="shared" si="34"/>
        <v>6</v>
      </c>
      <c r="AS116" s="199" t="str">
        <f t="shared" si="35"/>
        <v>Dam/Dyke Building (6)</v>
      </c>
      <c r="AT116" s="205">
        <f>COUNTIFS(tbl_data[12. Consultation Group of],$E$2,tbl_data[1:T1A],$A116,tbl_data[T1],$E$3)</f>
        <v>0</v>
      </c>
      <c r="AU116" s="198">
        <f>COUNTIFS(tbl_data[12. Consultation Group of],$E$2,tbl_data[2:T1A],$A116,tbl_data[T1],$E$3)</f>
        <v>0</v>
      </c>
      <c r="AV116" s="198">
        <f>COUNTIFS(tbl_data[12. Consultation Group of],$E$2,tbl_data[3:T1A],$A116,tbl_data[T1],$E$3)</f>
        <v>0</v>
      </c>
      <c r="AW116" s="198">
        <f>COUNTIFS(tbl_data[12. Consultation Group of],$E$2,tbl_data[1:T2A],$A116,tbl_data[T2],$E$3)</f>
        <v>0</v>
      </c>
      <c r="AX116" s="198">
        <f>COUNTIFS(tbl_data[12. Consultation Group of],$E$2,tbl_data[2:T2A],$A116,tbl_data[T2],$E$3)</f>
        <v>0</v>
      </c>
      <c r="AY116" s="198">
        <f>COUNTIFS(tbl_data[12. Consultation Group of],$E$2,tbl_data[3:T2A],$A116,tbl_data[T2],$E$3)</f>
        <v>0</v>
      </c>
      <c r="AZ116" s="198">
        <f>COUNTIFS(tbl_data[12. Consultation Group of],$E$2,tbl_data[1:T3A],$A116,tbl_data[T3],$E$3)</f>
        <v>0</v>
      </c>
      <c r="BA116" s="198">
        <f>COUNTIFS(tbl_data[12. Consultation Group of],$E$2,tbl_data[2:T3A],$A116,tbl_data[T3],$E$3)</f>
        <v>0</v>
      </c>
      <c r="BB116" s="198">
        <f>COUNTIFS(tbl_data[12. Consultation Group of],$E$2,tbl_data[3:T3A],$A116,tbl_data[T3],$E$3)</f>
        <v>0</v>
      </c>
      <c r="BC116" s="198">
        <f t="shared" si="36"/>
        <v>0</v>
      </c>
      <c r="BD116" s="199" t="str">
        <f t="shared" si="37"/>
        <v>Dam/Dyke Building (0)</v>
      </c>
      <c r="BE116" s="205">
        <f>COUNTIFS(tbl_data[1:T1A],$A116,tbl_data[T1],$F$3)</f>
        <v>12</v>
      </c>
      <c r="BF116" s="198">
        <f>COUNTIFS(tbl_data[2:T1A],$A116,tbl_data[T1],$F$3)</f>
        <v>0</v>
      </c>
      <c r="BG116" s="198">
        <f>COUNTIFS(tbl_data[3:T1A],$A116,tbl_data[T1],$F$3)</f>
        <v>0</v>
      </c>
      <c r="BH116" s="198">
        <f>COUNTIFS(tbl_data[1:T2A],$A116,tbl_data[T2],$F$3)</f>
        <v>1</v>
      </c>
      <c r="BI116" s="198">
        <f>COUNTIFS(tbl_data[2:T2A],$A116,tbl_data[T2],$F$3)</f>
        <v>0</v>
      </c>
      <c r="BJ116" s="198">
        <f>COUNTIFS(tbl_data[3:T2A],$A116,tbl_data[T2],$F$3)</f>
        <v>0</v>
      </c>
      <c r="BK116" s="198">
        <f>COUNTIFS(tbl_data[1:T3A],$A116,tbl_data[T3],$F$3)</f>
        <v>1</v>
      </c>
      <c r="BL116" s="198">
        <f>COUNTIFS(tbl_data[2:T3A],$A116,tbl_data[T3],$F$3)</f>
        <v>0</v>
      </c>
      <c r="BM116" s="198">
        <f>COUNTIFS(tbl_data[3:T3A],$A116,tbl_data[T3],$F$3)</f>
        <v>0</v>
      </c>
      <c r="BN116" s="198">
        <f t="shared" si="38"/>
        <v>14</v>
      </c>
      <c r="BO116" s="199" t="str">
        <f t="shared" si="39"/>
        <v>Dam/Dyke Building (14)</v>
      </c>
      <c r="BQ116" t="str">
        <f t="shared" si="40"/>
        <v>Dam/Dyke Building</v>
      </c>
      <c r="BR116">
        <f t="shared" si="41"/>
        <v>26</v>
      </c>
      <c r="BS116" t="s">
        <v>927</v>
      </c>
      <c r="BT116" t="s">
        <v>927</v>
      </c>
      <c r="BU116" s="275" t="s">
        <v>940</v>
      </c>
      <c r="BV116" t="s">
        <v>941</v>
      </c>
    </row>
    <row r="117" spans="1:74" x14ac:dyDescent="0.25">
      <c r="A117" s="215" t="s">
        <v>170</v>
      </c>
      <c r="B117" s="205">
        <f>COUNTIFS(tbl_data[12. Consultation Group of],$A$2,tbl_data[1:T1A],$A117,tbl_data[T1],$A$3)</f>
        <v>1</v>
      </c>
      <c r="C117" s="198">
        <f>COUNTIFS(tbl_data[12. Consultation Group of],$A$2,tbl_data[2:T1A],$A117,tbl_data[T1],$A$3)</f>
        <v>0</v>
      </c>
      <c r="D117" s="198">
        <f>COUNTIFS(tbl_data[12. Consultation Group of],$A$2,tbl_data[3:T1A],$A117,tbl_data[T1],$A$3)</f>
        <v>0</v>
      </c>
      <c r="E117" s="198">
        <f>COUNTIFS(tbl_data[12. Consultation Group of],$A$2,tbl_data[1:T2A],$A117,tbl_data[T2],$A$3)</f>
        <v>0</v>
      </c>
      <c r="F117" s="198">
        <f>COUNTIFS(tbl_data[12. Consultation Group of],$A$2,tbl_data[2:T2A],$A117,tbl_data[T2],$A$3)</f>
        <v>0</v>
      </c>
      <c r="G117" s="198">
        <f>COUNTIFS(tbl_data[12. Consultation Group of],$A$2,tbl_data[3:T2A],$A117,tbl_data[T2],$A$3)</f>
        <v>0</v>
      </c>
      <c r="H117" s="198">
        <f>COUNTIFS(tbl_data[12. Consultation Group of],$A$2,tbl_data[1:T3A],$A117,tbl_data[T3],$A$3)</f>
        <v>0</v>
      </c>
      <c r="I117" s="198">
        <f>COUNTIFS(tbl_data[12. Consultation Group of],$A$2,tbl_data[2:T3A],$A117,tbl_data[T3],$A$3)</f>
        <v>0</v>
      </c>
      <c r="J117" s="198">
        <f>COUNTIFS(tbl_data[12. Consultation Group of],$A$2,tbl_data[3:T3A],$A117,tbl_data[T3],$A$3)</f>
        <v>0</v>
      </c>
      <c r="K117" s="198">
        <f t="shared" si="28"/>
        <v>1</v>
      </c>
      <c r="L117" s="199" t="str">
        <f t="shared" si="29"/>
        <v>Awareness Raising  Education and Training (1)</v>
      </c>
      <c r="M117" s="205">
        <f>COUNTIFS(tbl_data[12. Consultation Group of],$B$2,tbl_data[1:T1A],$A117,tbl_data[T1],$B$3)</f>
        <v>0</v>
      </c>
      <c r="N117" s="198">
        <f>COUNTIFS(tbl_data[12. Consultation Group of],$B$2,tbl_data[2:T1A],$A117,tbl_data[T1],$B$3)</f>
        <v>1</v>
      </c>
      <c r="O117" s="198">
        <f>COUNTIFS(tbl_data[12. Consultation Group of],$B$2,tbl_data[3:T1A],$A117,tbl_data[T1],$B$3)</f>
        <v>1</v>
      </c>
      <c r="P117" s="198">
        <f>COUNTIFS(tbl_data[12. Consultation Group of],$B$2,tbl_data[1:T2A],$A117,tbl_data[T2],$B$3)</f>
        <v>0</v>
      </c>
      <c r="Q117" s="198">
        <f>COUNTIFS(tbl_data[12. Consultation Group of],$B$2,tbl_data[2:T2A],$A117,tbl_data[T2],$B$3)</f>
        <v>0</v>
      </c>
      <c r="R117" s="198">
        <f>COUNTIFS(tbl_data[12. Consultation Group of],$B$2,tbl_data[3:T2A],$A117,tbl_data[T2],$B$3)</f>
        <v>0</v>
      </c>
      <c r="S117" s="198">
        <f>COUNTIFS(tbl_data[12. Consultation Group of],$B$2,tbl_data[1:T3A],$A117,tbl_data[T3],$B$3)</f>
        <v>0</v>
      </c>
      <c r="T117" s="198">
        <f>COUNTIFS(tbl_data[12. Consultation Group of],$B$2,tbl_data[2:T3A],$A117,tbl_data[T3],$B$3)</f>
        <v>0</v>
      </c>
      <c r="U117" s="198">
        <f>COUNTIFS(tbl_data[12. Consultation Group of],$B$2,tbl_data[3:T3A],$A117,tbl_data[T3],$B$3)</f>
        <v>0</v>
      </c>
      <c r="V117" s="198">
        <f t="shared" si="30"/>
        <v>2</v>
      </c>
      <c r="W117" s="199" t="str">
        <f t="shared" si="31"/>
        <v>Awareness Raising  Education and Training (2)</v>
      </c>
      <c r="X117" s="205">
        <f>COUNTIFS(tbl_data[12. Consultation Group of],$C$2,tbl_data[1:T1A],$A117,tbl_data[T1],$C$3)</f>
        <v>0</v>
      </c>
      <c r="Y117" s="198">
        <f>COUNTIFS(tbl_data[12. Consultation Group of],$C$2,tbl_data[2:T1A],$A117,tbl_data[T1],$C$3)</f>
        <v>0</v>
      </c>
      <c r="Z117" s="198">
        <f>COUNTIFS(tbl_data[12. Consultation Group of],$C$2,tbl_data[3:T1A],$A117,tbl_data[T1],$C$3)</f>
        <v>0</v>
      </c>
      <c r="AA117" s="198">
        <f>COUNTIFS(tbl_data[12. Consultation Group of],$C$2,tbl_data[1:T2A],$A117,tbl_data[T2],$C$3)</f>
        <v>0</v>
      </c>
      <c r="AB117" s="198">
        <f>COUNTIFS(tbl_data[12. Consultation Group of],$C$2,tbl_data[2:T2A],$A117,tbl_data[T2],$C$3)</f>
        <v>0</v>
      </c>
      <c r="AC117" s="198">
        <f>COUNTIFS(tbl_data[12. Consultation Group of],$C$2,tbl_data[3:T2A],$A117,tbl_data[T2],$C$3)</f>
        <v>0</v>
      </c>
      <c r="AD117" s="198">
        <f>COUNTIFS(tbl_data[12. Consultation Group of],$C$2,tbl_data[1:T3A],$A117,tbl_data[T3],$C$3)</f>
        <v>0</v>
      </c>
      <c r="AE117" s="198">
        <f>COUNTIFS(tbl_data[12. Consultation Group of],$C$2,tbl_data[2:T3A],$A117,tbl_data[T3],$C$3)</f>
        <v>0</v>
      </c>
      <c r="AF117" s="198">
        <f>COUNTIFS(tbl_data[12. Consultation Group of],$C$2,tbl_data[3:T3A],$A117,tbl_data[T3],$C$3)</f>
        <v>0</v>
      </c>
      <c r="AG117" s="198">
        <f t="shared" si="32"/>
        <v>0</v>
      </c>
      <c r="AH117" s="199" t="str">
        <f t="shared" si="33"/>
        <v>Awareness Raising  Education and Training (0)</v>
      </c>
      <c r="AI117" s="205">
        <f>COUNTIFS(tbl_data[12. Consultation Group of],$D$2,tbl_data[1:T1A],$A117,tbl_data[T1],$D$3)</f>
        <v>0</v>
      </c>
      <c r="AJ117" s="198">
        <f>COUNTIFS(tbl_data[12. Consultation Group of],$D$2,tbl_data[2:T1A],$A117,tbl_data[T1],$D$3)</f>
        <v>0</v>
      </c>
      <c r="AK117" s="198">
        <f>COUNTIFS(tbl_data[12. Consultation Group of],$D$2,tbl_data[3:T1A],$A117,tbl_data[T1],$D$3)</f>
        <v>0</v>
      </c>
      <c r="AL117" s="198">
        <f>COUNTIFS(tbl_data[12. Consultation Group of],$D$2,tbl_data[1:T2A],$A117,tbl_data[T2],$D$3)</f>
        <v>0</v>
      </c>
      <c r="AM117" s="198">
        <f>COUNTIFS(tbl_data[12. Consultation Group of],$D$2,tbl_data[2:T2A],$A117,tbl_data[T2],$D$3)</f>
        <v>0</v>
      </c>
      <c r="AN117" s="198">
        <f>COUNTIFS(tbl_data[12. Consultation Group of],$D$2,tbl_data[3:T2A],$A117,tbl_data[T2],$D$3)</f>
        <v>0</v>
      </c>
      <c r="AO117" s="198">
        <f>COUNTIFS(tbl_data[12. Consultation Group of],$D$2,tbl_data[1:T3A],$A117,tbl_data[T3],$D$3)</f>
        <v>0</v>
      </c>
      <c r="AP117" s="198">
        <f>COUNTIFS(tbl_data[12. Consultation Group of],$D$2,tbl_data[2:T3A],$A117,tbl_data[T3],$D$3)</f>
        <v>0</v>
      </c>
      <c r="AQ117" s="198">
        <f>COUNTIFS(tbl_data[12. Consultation Group of],$D$2,tbl_data[3:T3A],$A117,tbl_data[T3],$D$3)</f>
        <v>1</v>
      </c>
      <c r="AR117" s="198">
        <f t="shared" si="34"/>
        <v>1</v>
      </c>
      <c r="AS117" s="199" t="str">
        <f t="shared" si="35"/>
        <v>Awareness Raising  Education and Training (1)</v>
      </c>
      <c r="AT117" s="205">
        <f>COUNTIFS(tbl_data[12. Consultation Group of],$E$2,tbl_data[1:T1A],$A117,tbl_data[T1],$E$3)</f>
        <v>0</v>
      </c>
      <c r="AU117" s="198">
        <f>COUNTIFS(tbl_data[12. Consultation Group of],$E$2,tbl_data[2:T1A],$A117,tbl_data[T1],$E$3)</f>
        <v>0</v>
      </c>
      <c r="AV117" s="198">
        <f>COUNTIFS(tbl_data[12. Consultation Group of],$E$2,tbl_data[3:T1A],$A117,tbl_data[T1],$E$3)</f>
        <v>0</v>
      </c>
      <c r="AW117" s="198">
        <f>COUNTIFS(tbl_data[12. Consultation Group of],$E$2,tbl_data[1:T2A],$A117,tbl_data[T2],$E$3)</f>
        <v>0</v>
      </c>
      <c r="AX117" s="198">
        <f>COUNTIFS(tbl_data[12. Consultation Group of],$E$2,tbl_data[2:T2A],$A117,tbl_data[T2],$E$3)</f>
        <v>0</v>
      </c>
      <c r="AY117" s="198">
        <f>COUNTIFS(tbl_data[12. Consultation Group of],$E$2,tbl_data[3:T2A],$A117,tbl_data[T2],$E$3)</f>
        <v>0</v>
      </c>
      <c r="AZ117" s="198">
        <f>COUNTIFS(tbl_data[12. Consultation Group of],$E$2,tbl_data[1:T3A],$A117,tbl_data[T3],$E$3)</f>
        <v>0</v>
      </c>
      <c r="BA117" s="198">
        <f>COUNTIFS(tbl_data[12. Consultation Group of],$E$2,tbl_data[2:T3A],$A117,tbl_data[T3],$E$3)</f>
        <v>1</v>
      </c>
      <c r="BB117" s="198">
        <f>COUNTIFS(tbl_data[12. Consultation Group of],$E$2,tbl_data[3:T3A],$A117,tbl_data[T3],$E$3)</f>
        <v>0</v>
      </c>
      <c r="BC117" s="198">
        <f t="shared" si="36"/>
        <v>1</v>
      </c>
      <c r="BD117" s="199" t="str">
        <f t="shared" si="37"/>
        <v>Awareness Raising  Education and Training (1)</v>
      </c>
      <c r="BE117" s="205">
        <f>COUNTIFS(tbl_data[1:T1A],$A117,tbl_data[T1],$F$3)</f>
        <v>1</v>
      </c>
      <c r="BF117" s="198">
        <f>COUNTIFS(tbl_data[2:T1A],$A117,tbl_data[T1],$F$3)</f>
        <v>0</v>
      </c>
      <c r="BG117" s="198">
        <f>COUNTIFS(tbl_data[3:T1A],$A117,tbl_data[T1],$F$3)</f>
        <v>1</v>
      </c>
      <c r="BH117" s="198">
        <f>COUNTIFS(tbl_data[1:T2A],$A117,tbl_data[T2],$F$3)</f>
        <v>0</v>
      </c>
      <c r="BI117" s="198">
        <f>COUNTIFS(tbl_data[2:T2A],$A117,tbl_data[T2],$F$3)</f>
        <v>0</v>
      </c>
      <c r="BJ117" s="198">
        <f>COUNTIFS(tbl_data[3:T2A],$A117,tbl_data[T2],$F$3)</f>
        <v>0</v>
      </c>
      <c r="BK117" s="198">
        <f>COUNTIFS(tbl_data[1:T3A],$A117,tbl_data[T3],$F$3)</f>
        <v>0</v>
      </c>
      <c r="BL117" s="198">
        <f>COUNTIFS(tbl_data[2:T3A],$A117,tbl_data[T3],$F$3)</f>
        <v>0</v>
      </c>
      <c r="BM117" s="198">
        <f>COUNTIFS(tbl_data[3:T3A],$A117,tbl_data[T3],$F$3)</f>
        <v>1</v>
      </c>
      <c r="BN117" s="198">
        <f t="shared" si="38"/>
        <v>3</v>
      </c>
      <c r="BO117" s="199" t="str">
        <f t="shared" si="39"/>
        <v>Awareness Raising  Education and Training (3)</v>
      </c>
      <c r="BQ117" t="str">
        <f t="shared" si="40"/>
        <v>Awareness Raising  Education and Training</v>
      </c>
      <c r="BR117">
        <f t="shared" si="41"/>
        <v>8</v>
      </c>
      <c r="BS117" t="s">
        <v>929</v>
      </c>
      <c r="BT117" t="s">
        <v>929</v>
      </c>
      <c r="BU117" s="39" t="s">
        <v>929</v>
      </c>
    </row>
    <row r="118" spans="1:74" x14ac:dyDescent="0.25">
      <c r="A118" s="215" t="s">
        <v>199</v>
      </c>
      <c r="B118" s="205">
        <f>COUNTIFS(tbl_data[12. Consultation Group of],$A$2,tbl_data[1:T1A],$A118,tbl_data[T1],$A$3)</f>
        <v>0</v>
      </c>
      <c r="C118" s="198">
        <f>COUNTIFS(tbl_data[12. Consultation Group of],$A$2,tbl_data[2:T1A],$A118,tbl_data[T1],$A$3)</f>
        <v>0</v>
      </c>
      <c r="D118" s="198">
        <f>COUNTIFS(tbl_data[12. Consultation Group of],$A$2,tbl_data[3:T1A],$A118,tbl_data[T1],$A$3)</f>
        <v>0</v>
      </c>
      <c r="E118" s="198">
        <f>COUNTIFS(tbl_data[12. Consultation Group of],$A$2,tbl_data[1:T2A],$A118,tbl_data[T2],$A$3)</f>
        <v>0</v>
      </c>
      <c r="F118" s="198">
        <f>COUNTIFS(tbl_data[12. Consultation Group of],$A$2,tbl_data[2:T2A],$A118,tbl_data[T2],$A$3)</f>
        <v>0</v>
      </c>
      <c r="G118" s="198">
        <f>COUNTIFS(tbl_data[12. Consultation Group of],$A$2,tbl_data[3:T2A],$A118,tbl_data[T2],$A$3)</f>
        <v>0</v>
      </c>
      <c r="H118" s="198">
        <f>COUNTIFS(tbl_data[12. Consultation Group of],$A$2,tbl_data[1:T3A],$A118,tbl_data[T3],$A$3)</f>
        <v>0</v>
      </c>
      <c r="I118" s="198">
        <f>COUNTIFS(tbl_data[12. Consultation Group of],$A$2,tbl_data[2:T3A],$A118,tbl_data[T3],$A$3)</f>
        <v>0</v>
      </c>
      <c r="J118" s="198">
        <f>COUNTIFS(tbl_data[12. Consultation Group of],$A$2,tbl_data[3:T3A],$A118,tbl_data[T3],$A$3)</f>
        <v>0</v>
      </c>
      <c r="K118" s="198">
        <f t="shared" si="28"/>
        <v>0</v>
      </c>
      <c r="L118" s="199" t="str">
        <f t="shared" si="29"/>
        <v>Do Not Live In Risky Places (0)</v>
      </c>
      <c r="M118" s="205">
        <f>COUNTIFS(tbl_data[12. Consultation Group of],$B$2,tbl_data[1:T1A],$A118,tbl_data[T1],$B$3)</f>
        <v>0</v>
      </c>
      <c r="N118" s="198">
        <f>COUNTIFS(tbl_data[12. Consultation Group of],$B$2,tbl_data[2:T1A],$A118,tbl_data[T1],$B$3)</f>
        <v>0</v>
      </c>
      <c r="O118" s="198">
        <f>COUNTIFS(tbl_data[12. Consultation Group of],$B$2,tbl_data[3:T1A],$A118,tbl_data[T1],$B$3)</f>
        <v>0</v>
      </c>
      <c r="P118" s="198">
        <f>COUNTIFS(tbl_data[12. Consultation Group of],$B$2,tbl_data[1:T2A],$A118,tbl_data[T2],$B$3)</f>
        <v>0</v>
      </c>
      <c r="Q118" s="198">
        <f>COUNTIFS(tbl_data[12. Consultation Group of],$B$2,tbl_data[2:T2A],$A118,tbl_data[T2],$B$3)</f>
        <v>0</v>
      </c>
      <c r="R118" s="198">
        <f>COUNTIFS(tbl_data[12. Consultation Group of],$B$2,tbl_data[3:T2A],$A118,tbl_data[T2],$B$3)</f>
        <v>0</v>
      </c>
      <c r="S118" s="198">
        <f>COUNTIFS(tbl_data[12. Consultation Group of],$B$2,tbl_data[1:T3A],$A118,tbl_data[T3],$B$3)</f>
        <v>0</v>
      </c>
      <c r="T118" s="198">
        <f>COUNTIFS(tbl_data[12. Consultation Group of],$B$2,tbl_data[2:T3A],$A118,tbl_data[T3],$B$3)</f>
        <v>0</v>
      </c>
      <c r="U118" s="198">
        <f>COUNTIFS(tbl_data[12. Consultation Group of],$B$2,tbl_data[3:T3A],$A118,tbl_data[T3],$B$3)</f>
        <v>0</v>
      </c>
      <c r="V118" s="198">
        <f t="shared" si="30"/>
        <v>0</v>
      </c>
      <c r="W118" s="199" t="str">
        <f t="shared" si="31"/>
        <v>Do Not Live In Risky Places (0)</v>
      </c>
      <c r="X118" s="205">
        <f>COUNTIFS(tbl_data[12. Consultation Group of],$C$2,tbl_data[1:T1A],$A118,tbl_data[T1],$C$3)</f>
        <v>0</v>
      </c>
      <c r="Y118" s="198">
        <f>COUNTIFS(tbl_data[12. Consultation Group of],$C$2,tbl_data[2:T1A],$A118,tbl_data[T1],$C$3)</f>
        <v>0</v>
      </c>
      <c r="Z118" s="198">
        <f>COUNTIFS(tbl_data[12. Consultation Group of],$C$2,tbl_data[3:T1A],$A118,tbl_data[T1],$C$3)</f>
        <v>0</v>
      </c>
      <c r="AA118" s="198">
        <f>COUNTIFS(tbl_data[12. Consultation Group of],$C$2,tbl_data[1:T2A],$A118,tbl_data[T2],$C$3)</f>
        <v>0</v>
      </c>
      <c r="AB118" s="198">
        <f>COUNTIFS(tbl_data[12. Consultation Group of],$C$2,tbl_data[2:T2A],$A118,tbl_data[T2],$C$3)</f>
        <v>0</v>
      </c>
      <c r="AC118" s="198">
        <f>COUNTIFS(tbl_data[12. Consultation Group of],$C$2,tbl_data[3:T2A],$A118,tbl_data[T2],$C$3)</f>
        <v>0</v>
      </c>
      <c r="AD118" s="198">
        <f>COUNTIFS(tbl_data[12. Consultation Group of],$C$2,tbl_data[1:T3A],$A118,tbl_data[T3],$C$3)</f>
        <v>0</v>
      </c>
      <c r="AE118" s="198">
        <f>COUNTIFS(tbl_data[12. Consultation Group of],$C$2,tbl_data[2:T3A],$A118,tbl_data[T3],$C$3)</f>
        <v>0</v>
      </c>
      <c r="AF118" s="198">
        <f>COUNTIFS(tbl_data[12. Consultation Group of],$C$2,tbl_data[3:T3A],$A118,tbl_data[T3],$C$3)</f>
        <v>0</v>
      </c>
      <c r="AG118" s="198">
        <f t="shared" si="32"/>
        <v>0</v>
      </c>
      <c r="AH118" s="199" t="str">
        <f t="shared" si="33"/>
        <v>Do Not Live In Risky Places (0)</v>
      </c>
      <c r="AI118" s="205">
        <f>COUNTIFS(tbl_data[12. Consultation Group of],$D$2,tbl_data[1:T1A],$A118,tbl_data[T1],$D$3)</f>
        <v>0</v>
      </c>
      <c r="AJ118" s="198">
        <f>COUNTIFS(tbl_data[12. Consultation Group of],$D$2,tbl_data[2:T1A],$A118,tbl_data[T1],$D$3)</f>
        <v>0</v>
      </c>
      <c r="AK118" s="198">
        <f>COUNTIFS(tbl_data[12. Consultation Group of],$D$2,tbl_data[3:T1A],$A118,tbl_data[T1],$D$3)</f>
        <v>0</v>
      </c>
      <c r="AL118" s="198">
        <f>COUNTIFS(tbl_data[12. Consultation Group of],$D$2,tbl_data[1:T2A],$A118,tbl_data[T2],$D$3)</f>
        <v>0</v>
      </c>
      <c r="AM118" s="198">
        <f>COUNTIFS(tbl_data[12. Consultation Group of],$D$2,tbl_data[2:T2A],$A118,tbl_data[T2],$D$3)</f>
        <v>0</v>
      </c>
      <c r="AN118" s="198">
        <f>COUNTIFS(tbl_data[12. Consultation Group of],$D$2,tbl_data[3:T2A],$A118,tbl_data[T2],$D$3)</f>
        <v>0</v>
      </c>
      <c r="AO118" s="198">
        <f>COUNTIFS(tbl_data[12. Consultation Group of],$D$2,tbl_data[1:T3A],$A118,tbl_data[T3],$D$3)</f>
        <v>0</v>
      </c>
      <c r="AP118" s="198">
        <f>COUNTIFS(tbl_data[12. Consultation Group of],$D$2,tbl_data[2:T3A],$A118,tbl_data[T3],$D$3)</f>
        <v>0</v>
      </c>
      <c r="AQ118" s="198">
        <f>COUNTIFS(tbl_data[12. Consultation Group of],$D$2,tbl_data[3:T3A],$A118,tbl_data[T3],$D$3)</f>
        <v>0</v>
      </c>
      <c r="AR118" s="198">
        <f t="shared" si="34"/>
        <v>0</v>
      </c>
      <c r="AS118" s="199" t="str">
        <f t="shared" si="35"/>
        <v>Do Not Live In Risky Places (0)</v>
      </c>
      <c r="AT118" s="205">
        <f>COUNTIFS(tbl_data[12. Consultation Group of],$E$2,tbl_data[1:T1A],$A118,tbl_data[T1],$E$3)</f>
        <v>0</v>
      </c>
      <c r="AU118" s="198">
        <f>COUNTIFS(tbl_data[12. Consultation Group of],$E$2,tbl_data[2:T1A],$A118,tbl_data[T1],$E$3)</f>
        <v>0</v>
      </c>
      <c r="AV118" s="198">
        <f>COUNTIFS(tbl_data[12. Consultation Group of],$E$2,tbl_data[3:T1A],$A118,tbl_data[T1],$E$3)</f>
        <v>0</v>
      </c>
      <c r="AW118" s="198">
        <f>COUNTIFS(tbl_data[12. Consultation Group of],$E$2,tbl_data[1:T2A],$A118,tbl_data[T2],$E$3)</f>
        <v>0</v>
      </c>
      <c r="AX118" s="198">
        <f>COUNTIFS(tbl_data[12. Consultation Group of],$E$2,tbl_data[2:T2A],$A118,tbl_data[T2],$E$3)</f>
        <v>0</v>
      </c>
      <c r="AY118" s="198">
        <f>COUNTIFS(tbl_data[12. Consultation Group of],$E$2,tbl_data[3:T2A],$A118,tbl_data[T2],$E$3)</f>
        <v>0</v>
      </c>
      <c r="AZ118" s="198">
        <f>COUNTIFS(tbl_data[12. Consultation Group of],$E$2,tbl_data[1:T3A],$A118,tbl_data[T3],$E$3)</f>
        <v>0</v>
      </c>
      <c r="BA118" s="198">
        <f>COUNTIFS(tbl_data[12. Consultation Group of],$E$2,tbl_data[2:T3A],$A118,tbl_data[T3],$E$3)</f>
        <v>0</v>
      </c>
      <c r="BB118" s="198">
        <f>COUNTIFS(tbl_data[12. Consultation Group of],$E$2,tbl_data[3:T3A],$A118,tbl_data[T3],$E$3)</f>
        <v>0</v>
      </c>
      <c r="BC118" s="198">
        <f t="shared" si="36"/>
        <v>0</v>
      </c>
      <c r="BD118" s="199" t="str">
        <f t="shared" si="37"/>
        <v>Do Not Live In Risky Places (0)</v>
      </c>
      <c r="BE118" s="205">
        <f>COUNTIFS(tbl_data[1:T1A],$A118,tbl_data[T1],$F$3)</f>
        <v>0</v>
      </c>
      <c r="BF118" s="198">
        <f>COUNTIFS(tbl_data[2:T1A],$A118,tbl_data[T1],$F$3)</f>
        <v>0</v>
      </c>
      <c r="BG118" s="198">
        <f>COUNTIFS(tbl_data[3:T1A],$A118,tbl_data[T1],$F$3)</f>
        <v>0</v>
      </c>
      <c r="BH118" s="198">
        <f>COUNTIFS(tbl_data[1:T2A],$A118,tbl_data[T2],$F$3)</f>
        <v>0</v>
      </c>
      <c r="BI118" s="198">
        <f>COUNTIFS(tbl_data[2:T2A],$A118,tbl_data[T2],$F$3)</f>
        <v>0</v>
      </c>
      <c r="BJ118" s="198">
        <f>COUNTIFS(tbl_data[3:T2A],$A118,tbl_data[T2],$F$3)</f>
        <v>0</v>
      </c>
      <c r="BK118" s="198">
        <f>COUNTIFS(tbl_data[1:T3A],$A118,tbl_data[T3],$F$3)</f>
        <v>0</v>
      </c>
      <c r="BL118" s="198">
        <f>COUNTIFS(tbl_data[2:T3A],$A118,tbl_data[T3],$F$3)</f>
        <v>0</v>
      </c>
      <c r="BM118" s="198">
        <f>COUNTIFS(tbl_data[3:T3A],$A118,tbl_data[T3],$F$3)</f>
        <v>0</v>
      </c>
      <c r="BN118" s="198">
        <f t="shared" si="38"/>
        <v>0</v>
      </c>
      <c r="BO118" s="199" t="str">
        <f t="shared" si="39"/>
        <v>Do Not Live In Risky Places (0)</v>
      </c>
      <c r="BQ118" t="str">
        <f t="shared" si="40"/>
        <v>Do Not Live In Risky Places</v>
      </c>
      <c r="BR118">
        <f t="shared" si="41"/>
        <v>0</v>
      </c>
    </row>
    <row r="119" spans="1:74" x14ac:dyDescent="0.25">
      <c r="A119" s="215" t="s">
        <v>169</v>
      </c>
      <c r="B119" s="205">
        <f>COUNTIFS(tbl_data[12. Consultation Group of],$A$2,tbl_data[1:T1A],$A119,tbl_data[T1],$A$3)</f>
        <v>0</v>
      </c>
      <c r="C119" s="198">
        <f>COUNTIFS(tbl_data[12. Consultation Group of],$A$2,tbl_data[2:T1A],$A119,tbl_data[T1],$A$3)</f>
        <v>0</v>
      </c>
      <c r="D119" s="198">
        <f>COUNTIFS(tbl_data[12. Consultation Group of],$A$2,tbl_data[3:T1A],$A119,tbl_data[T1],$A$3)</f>
        <v>0</v>
      </c>
      <c r="E119" s="198">
        <f>COUNTIFS(tbl_data[12. Consultation Group of],$A$2,tbl_data[1:T2A],$A119,tbl_data[T2],$A$3)</f>
        <v>0</v>
      </c>
      <c r="F119" s="198">
        <f>COUNTIFS(tbl_data[12. Consultation Group of],$A$2,tbl_data[2:T2A],$A119,tbl_data[T2],$A$3)</f>
        <v>0</v>
      </c>
      <c r="G119" s="198">
        <f>COUNTIFS(tbl_data[12. Consultation Group of],$A$2,tbl_data[3:T2A],$A119,tbl_data[T2],$A$3)</f>
        <v>0</v>
      </c>
      <c r="H119" s="198">
        <f>COUNTIFS(tbl_data[12. Consultation Group of],$A$2,tbl_data[1:T3A],$A119,tbl_data[T3],$A$3)</f>
        <v>0</v>
      </c>
      <c r="I119" s="198">
        <f>COUNTIFS(tbl_data[12. Consultation Group of],$A$2,tbl_data[2:T3A],$A119,tbl_data[T3],$A$3)</f>
        <v>0</v>
      </c>
      <c r="J119" s="198">
        <f>COUNTIFS(tbl_data[12. Consultation Group of],$A$2,tbl_data[3:T3A],$A119,tbl_data[T3],$A$3)</f>
        <v>0</v>
      </c>
      <c r="K119" s="198">
        <f t="shared" si="28"/>
        <v>0</v>
      </c>
      <c r="L119" s="199" t="str">
        <f t="shared" si="29"/>
        <v>Resilience Building (0)</v>
      </c>
      <c r="M119" s="205">
        <f>COUNTIFS(tbl_data[12. Consultation Group of],$B$2,tbl_data[1:T1A],$A119,tbl_data[T1],$B$3)</f>
        <v>1</v>
      </c>
      <c r="N119" s="198">
        <f>COUNTIFS(tbl_data[12. Consultation Group of],$B$2,tbl_data[2:T1A],$A119,tbl_data[T1],$B$3)</f>
        <v>0</v>
      </c>
      <c r="O119" s="198">
        <f>COUNTIFS(tbl_data[12. Consultation Group of],$B$2,tbl_data[3:T1A],$A119,tbl_data[T1],$B$3)</f>
        <v>0</v>
      </c>
      <c r="P119" s="198">
        <f>COUNTIFS(tbl_data[12. Consultation Group of],$B$2,tbl_data[1:T2A],$A119,tbl_data[T2],$B$3)</f>
        <v>0</v>
      </c>
      <c r="Q119" s="198">
        <f>COUNTIFS(tbl_data[12. Consultation Group of],$B$2,tbl_data[2:T2A],$A119,tbl_data[T2],$B$3)</f>
        <v>0</v>
      </c>
      <c r="R119" s="198">
        <f>COUNTIFS(tbl_data[12. Consultation Group of],$B$2,tbl_data[3:T2A],$A119,tbl_data[T2],$B$3)</f>
        <v>0</v>
      </c>
      <c r="S119" s="198">
        <f>COUNTIFS(tbl_data[12. Consultation Group of],$B$2,tbl_data[1:T3A],$A119,tbl_data[T3],$B$3)</f>
        <v>0</v>
      </c>
      <c r="T119" s="198">
        <f>COUNTIFS(tbl_data[12. Consultation Group of],$B$2,tbl_data[2:T3A],$A119,tbl_data[T3],$B$3)</f>
        <v>0</v>
      </c>
      <c r="U119" s="198">
        <f>COUNTIFS(tbl_data[12. Consultation Group of],$B$2,tbl_data[3:T3A],$A119,tbl_data[T3],$B$3)</f>
        <v>0</v>
      </c>
      <c r="V119" s="198">
        <f t="shared" si="30"/>
        <v>1</v>
      </c>
      <c r="W119" s="199" t="str">
        <f t="shared" si="31"/>
        <v>Resilience Building (1)</v>
      </c>
      <c r="X119" s="205">
        <f>COUNTIFS(tbl_data[12. Consultation Group of],$C$2,tbl_data[1:T1A],$A119,tbl_data[T1],$C$3)</f>
        <v>0</v>
      </c>
      <c r="Y119" s="198">
        <f>COUNTIFS(tbl_data[12. Consultation Group of],$C$2,tbl_data[2:T1A],$A119,tbl_data[T1],$C$3)</f>
        <v>0</v>
      </c>
      <c r="Z119" s="198">
        <f>COUNTIFS(tbl_data[12. Consultation Group of],$C$2,tbl_data[3:T1A],$A119,tbl_data[T1],$C$3)</f>
        <v>0</v>
      </c>
      <c r="AA119" s="198">
        <f>COUNTIFS(tbl_data[12. Consultation Group of],$C$2,tbl_data[1:T2A],$A119,tbl_data[T2],$C$3)</f>
        <v>0</v>
      </c>
      <c r="AB119" s="198">
        <f>COUNTIFS(tbl_data[12. Consultation Group of],$C$2,tbl_data[2:T2A],$A119,tbl_data[T2],$C$3)</f>
        <v>0</v>
      </c>
      <c r="AC119" s="198">
        <f>COUNTIFS(tbl_data[12. Consultation Group of],$C$2,tbl_data[3:T2A],$A119,tbl_data[T2],$C$3)</f>
        <v>0</v>
      </c>
      <c r="AD119" s="198">
        <f>COUNTIFS(tbl_data[12. Consultation Group of],$C$2,tbl_data[1:T3A],$A119,tbl_data[T3],$C$3)</f>
        <v>0</v>
      </c>
      <c r="AE119" s="198">
        <f>COUNTIFS(tbl_data[12. Consultation Group of],$C$2,tbl_data[2:T3A],$A119,tbl_data[T3],$C$3)</f>
        <v>0</v>
      </c>
      <c r="AF119" s="198">
        <f>COUNTIFS(tbl_data[12. Consultation Group of],$C$2,tbl_data[3:T3A],$A119,tbl_data[T3],$C$3)</f>
        <v>0</v>
      </c>
      <c r="AG119" s="198">
        <f t="shared" si="32"/>
        <v>0</v>
      </c>
      <c r="AH119" s="199" t="str">
        <f t="shared" si="33"/>
        <v>Resilience Building (0)</v>
      </c>
      <c r="AI119" s="205">
        <f>COUNTIFS(tbl_data[12. Consultation Group of],$D$2,tbl_data[1:T1A],$A119,tbl_data[T1],$D$3)</f>
        <v>0</v>
      </c>
      <c r="AJ119" s="198">
        <f>COUNTIFS(tbl_data[12. Consultation Group of],$D$2,tbl_data[2:T1A],$A119,tbl_data[T1],$D$3)</f>
        <v>0</v>
      </c>
      <c r="AK119" s="198">
        <f>COUNTIFS(tbl_data[12. Consultation Group of],$D$2,tbl_data[3:T1A],$A119,tbl_data[T1],$D$3)</f>
        <v>1</v>
      </c>
      <c r="AL119" s="198">
        <f>COUNTIFS(tbl_data[12. Consultation Group of],$D$2,tbl_data[1:T2A],$A119,tbl_data[T2],$D$3)</f>
        <v>0</v>
      </c>
      <c r="AM119" s="198">
        <f>COUNTIFS(tbl_data[12. Consultation Group of],$D$2,tbl_data[2:T2A],$A119,tbl_data[T2],$D$3)</f>
        <v>0</v>
      </c>
      <c r="AN119" s="198">
        <f>COUNTIFS(tbl_data[12. Consultation Group of],$D$2,tbl_data[3:T2A],$A119,tbl_data[T2],$D$3)</f>
        <v>0</v>
      </c>
      <c r="AO119" s="198">
        <f>COUNTIFS(tbl_data[12. Consultation Group of],$D$2,tbl_data[1:T3A],$A119,tbl_data[T3],$D$3)</f>
        <v>0</v>
      </c>
      <c r="AP119" s="198">
        <f>COUNTIFS(tbl_data[12. Consultation Group of],$D$2,tbl_data[2:T3A],$A119,tbl_data[T3],$D$3)</f>
        <v>0</v>
      </c>
      <c r="AQ119" s="198">
        <f>COUNTIFS(tbl_data[12. Consultation Group of],$D$2,tbl_data[3:T3A],$A119,tbl_data[T3],$D$3)</f>
        <v>0</v>
      </c>
      <c r="AR119" s="198">
        <f t="shared" si="34"/>
        <v>1</v>
      </c>
      <c r="AS119" s="199" t="str">
        <f t="shared" si="35"/>
        <v>Resilience Building (1)</v>
      </c>
      <c r="AT119" s="205">
        <f>COUNTIFS(tbl_data[12. Consultation Group of],$E$2,tbl_data[1:T1A],$A119,tbl_data[T1],$E$3)</f>
        <v>0</v>
      </c>
      <c r="AU119" s="198">
        <f>COUNTIFS(tbl_data[12. Consultation Group of],$E$2,tbl_data[2:T1A],$A119,tbl_data[T1],$E$3)</f>
        <v>0</v>
      </c>
      <c r="AV119" s="198">
        <f>COUNTIFS(tbl_data[12. Consultation Group of],$E$2,tbl_data[3:T1A],$A119,tbl_data[T1],$E$3)</f>
        <v>0</v>
      </c>
      <c r="AW119" s="198">
        <f>COUNTIFS(tbl_data[12. Consultation Group of],$E$2,tbl_data[1:T2A],$A119,tbl_data[T2],$E$3)</f>
        <v>0</v>
      </c>
      <c r="AX119" s="198">
        <f>COUNTIFS(tbl_data[12. Consultation Group of],$E$2,tbl_data[2:T2A],$A119,tbl_data[T2],$E$3)</f>
        <v>0</v>
      </c>
      <c r="AY119" s="198">
        <f>COUNTIFS(tbl_data[12. Consultation Group of],$E$2,tbl_data[3:T2A],$A119,tbl_data[T2],$E$3)</f>
        <v>0</v>
      </c>
      <c r="AZ119" s="198">
        <f>COUNTIFS(tbl_data[12. Consultation Group of],$E$2,tbl_data[1:T3A],$A119,tbl_data[T3],$E$3)</f>
        <v>0</v>
      </c>
      <c r="BA119" s="198">
        <f>COUNTIFS(tbl_data[12. Consultation Group of],$E$2,tbl_data[2:T3A],$A119,tbl_data[T3],$E$3)</f>
        <v>0</v>
      </c>
      <c r="BB119" s="198">
        <f>COUNTIFS(tbl_data[12. Consultation Group of],$E$2,tbl_data[3:T3A],$A119,tbl_data[T3],$E$3)</f>
        <v>0</v>
      </c>
      <c r="BC119" s="198">
        <f t="shared" si="36"/>
        <v>0</v>
      </c>
      <c r="BD119" s="199" t="str">
        <f t="shared" si="37"/>
        <v>Resilience Building (0)</v>
      </c>
      <c r="BE119" s="205">
        <f>COUNTIFS(tbl_data[1:T1A],$A119,tbl_data[T1],$F$3)</f>
        <v>0</v>
      </c>
      <c r="BF119" s="198">
        <f>COUNTIFS(tbl_data[2:T1A],$A119,tbl_data[T1],$F$3)</f>
        <v>0</v>
      </c>
      <c r="BG119" s="198">
        <f>COUNTIFS(tbl_data[3:T1A],$A119,tbl_data[T1],$F$3)</f>
        <v>1</v>
      </c>
      <c r="BH119" s="198">
        <f>COUNTIFS(tbl_data[1:T2A],$A119,tbl_data[T2],$F$3)</f>
        <v>0</v>
      </c>
      <c r="BI119" s="198">
        <f>COUNTIFS(tbl_data[2:T2A],$A119,tbl_data[T2],$F$3)</f>
        <v>0</v>
      </c>
      <c r="BJ119" s="198">
        <f>COUNTIFS(tbl_data[3:T2A],$A119,tbl_data[T2],$F$3)</f>
        <v>0</v>
      </c>
      <c r="BK119" s="198">
        <f>COUNTIFS(tbl_data[1:T3A],$A119,tbl_data[T3],$F$3)</f>
        <v>0</v>
      </c>
      <c r="BL119" s="198">
        <f>COUNTIFS(tbl_data[2:T3A],$A119,tbl_data[T3],$F$3)</f>
        <v>0</v>
      </c>
      <c r="BM119" s="198">
        <f>COUNTIFS(tbl_data[3:T3A],$A119,tbl_data[T3],$F$3)</f>
        <v>0</v>
      </c>
      <c r="BN119" s="198">
        <f t="shared" si="38"/>
        <v>1</v>
      </c>
      <c r="BO119" s="199" t="str">
        <f t="shared" si="39"/>
        <v>Resilience Building (1)</v>
      </c>
      <c r="BQ119" t="str">
        <f t="shared" si="40"/>
        <v>Resilience Building</v>
      </c>
      <c r="BR119">
        <f t="shared" si="41"/>
        <v>3</v>
      </c>
      <c r="BS119" t="s">
        <v>927</v>
      </c>
      <c r="BT119" t="s">
        <v>927</v>
      </c>
      <c r="BU119" s="275" t="s">
        <v>940</v>
      </c>
      <c r="BV119" t="s">
        <v>941</v>
      </c>
    </row>
    <row r="120" spans="1:74" x14ac:dyDescent="0.25">
      <c r="A120" s="215" t="s">
        <v>230</v>
      </c>
      <c r="B120" s="205">
        <f>COUNTIFS(tbl_data[12. Consultation Group of],$A$2,tbl_data[1:T1A],$A120,tbl_data[T1],$A$3)</f>
        <v>0</v>
      </c>
      <c r="C120" s="198">
        <f>COUNTIFS(tbl_data[12. Consultation Group of],$A$2,tbl_data[2:T1A],$A120,tbl_data[T1],$A$3)</f>
        <v>0</v>
      </c>
      <c r="D120" s="198">
        <f>COUNTIFS(tbl_data[12. Consultation Group of],$A$2,tbl_data[3:T1A],$A120,tbl_data[T1],$A$3)</f>
        <v>0</v>
      </c>
      <c r="E120" s="198">
        <f>COUNTIFS(tbl_data[12. Consultation Group of],$A$2,tbl_data[1:T2A],$A120,tbl_data[T2],$A$3)</f>
        <v>0</v>
      </c>
      <c r="F120" s="198">
        <f>COUNTIFS(tbl_data[12. Consultation Group of],$A$2,tbl_data[2:T2A],$A120,tbl_data[T2],$A$3)</f>
        <v>0</v>
      </c>
      <c r="G120" s="198">
        <f>COUNTIFS(tbl_data[12. Consultation Group of],$A$2,tbl_data[3:T2A],$A120,tbl_data[T2],$A$3)</f>
        <v>0</v>
      </c>
      <c r="H120" s="198">
        <f>COUNTIFS(tbl_data[12. Consultation Group of],$A$2,tbl_data[1:T3A],$A120,tbl_data[T3],$A$3)</f>
        <v>0</v>
      </c>
      <c r="I120" s="198">
        <f>COUNTIFS(tbl_data[12. Consultation Group of],$A$2,tbl_data[2:T3A],$A120,tbl_data[T3],$A$3)</f>
        <v>0</v>
      </c>
      <c r="J120" s="198">
        <f>COUNTIFS(tbl_data[12. Consultation Group of],$A$2,tbl_data[3:T3A],$A120,tbl_data[T3],$A$3)</f>
        <v>0</v>
      </c>
      <c r="K120" s="198">
        <f t="shared" si="28"/>
        <v>0</v>
      </c>
      <c r="L120" s="199" t="str">
        <f t="shared" si="29"/>
        <v>Insurance (0)</v>
      </c>
      <c r="M120" s="205">
        <f>COUNTIFS(tbl_data[12. Consultation Group of],$B$2,tbl_data[1:T1A],$A120,tbl_data[T1],$B$3)</f>
        <v>0</v>
      </c>
      <c r="N120" s="198">
        <f>COUNTIFS(tbl_data[12. Consultation Group of],$B$2,tbl_data[2:T1A],$A120,tbl_data[T1],$B$3)</f>
        <v>0</v>
      </c>
      <c r="O120" s="198">
        <f>COUNTIFS(tbl_data[12. Consultation Group of],$B$2,tbl_data[3:T1A],$A120,tbl_data[T1],$B$3)</f>
        <v>0</v>
      </c>
      <c r="P120" s="198">
        <f>COUNTIFS(tbl_data[12. Consultation Group of],$B$2,tbl_data[1:T2A],$A120,tbl_data[T2],$B$3)</f>
        <v>0</v>
      </c>
      <c r="Q120" s="198">
        <f>COUNTIFS(tbl_data[12. Consultation Group of],$B$2,tbl_data[2:T2A],$A120,tbl_data[T2],$B$3)</f>
        <v>0</v>
      </c>
      <c r="R120" s="198">
        <f>COUNTIFS(tbl_data[12. Consultation Group of],$B$2,tbl_data[3:T2A],$A120,tbl_data[T2],$B$3)</f>
        <v>0</v>
      </c>
      <c r="S120" s="198">
        <f>COUNTIFS(tbl_data[12. Consultation Group of],$B$2,tbl_data[1:T3A],$A120,tbl_data[T3],$B$3)</f>
        <v>0</v>
      </c>
      <c r="T120" s="198">
        <f>COUNTIFS(tbl_data[12. Consultation Group of],$B$2,tbl_data[2:T3A],$A120,tbl_data[T3],$B$3)</f>
        <v>0</v>
      </c>
      <c r="U120" s="198">
        <f>COUNTIFS(tbl_data[12. Consultation Group of],$B$2,tbl_data[3:T3A],$A120,tbl_data[T3],$B$3)</f>
        <v>0</v>
      </c>
      <c r="V120" s="198">
        <f t="shared" si="30"/>
        <v>0</v>
      </c>
      <c r="W120" s="199" t="str">
        <f t="shared" si="31"/>
        <v>Insurance (0)</v>
      </c>
      <c r="X120" s="205">
        <f>COUNTIFS(tbl_data[12. Consultation Group of],$C$2,tbl_data[1:T1A],$A120,tbl_data[T1],$C$3)</f>
        <v>0</v>
      </c>
      <c r="Y120" s="198">
        <f>COUNTIFS(tbl_data[12. Consultation Group of],$C$2,tbl_data[2:T1A],$A120,tbl_data[T1],$C$3)</f>
        <v>0</v>
      </c>
      <c r="Z120" s="198">
        <f>COUNTIFS(tbl_data[12. Consultation Group of],$C$2,tbl_data[3:T1A],$A120,tbl_data[T1],$C$3)</f>
        <v>0</v>
      </c>
      <c r="AA120" s="198">
        <f>COUNTIFS(tbl_data[12. Consultation Group of],$C$2,tbl_data[1:T2A],$A120,tbl_data[T2],$C$3)</f>
        <v>0</v>
      </c>
      <c r="AB120" s="198">
        <f>COUNTIFS(tbl_data[12. Consultation Group of],$C$2,tbl_data[2:T2A],$A120,tbl_data[T2],$C$3)</f>
        <v>0</v>
      </c>
      <c r="AC120" s="198">
        <f>COUNTIFS(tbl_data[12. Consultation Group of],$C$2,tbl_data[3:T2A],$A120,tbl_data[T2],$C$3)</f>
        <v>0</v>
      </c>
      <c r="AD120" s="198">
        <f>COUNTIFS(tbl_data[12. Consultation Group of],$C$2,tbl_data[1:T3A],$A120,tbl_data[T3],$C$3)</f>
        <v>0</v>
      </c>
      <c r="AE120" s="198">
        <f>COUNTIFS(tbl_data[12. Consultation Group of],$C$2,tbl_data[2:T3A],$A120,tbl_data[T3],$C$3)</f>
        <v>0</v>
      </c>
      <c r="AF120" s="198">
        <f>COUNTIFS(tbl_data[12. Consultation Group of],$C$2,tbl_data[3:T3A],$A120,tbl_data[T3],$C$3)</f>
        <v>0</v>
      </c>
      <c r="AG120" s="198">
        <f t="shared" si="32"/>
        <v>0</v>
      </c>
      <c r="AH120" s="199" t="str">
        <f t="shared" si="33"/>
        <v>Insurance (0)</v>
      </c>
      <c r="AI120" s="205">
        <f>COUNTIFS(tbl_data[12. Consultation Group of],$D$2,tbl_data[1:T1A],$A120,tbl_data[T1],$D$3)</f>
        <v>0</v>
      </c>
      <c r="AJ120" s="198">
        <f>COUNTIFS(tbl_data[12. Consultation Group of],$D$2,tbl_data[2:T1A],$A120,tbl_data[T1],$D$3)</f>
        <v>0</v>
      </c>
      <c r="AK120" s="198">
        <f>COUNTIFS(tbl_data[12. Consultation Group of],$D$2,tbl_data[3:T1A],$A120,tbl_data[T1],$D$3)</f>
        <v>0</v>
      </c>
      <c r="AL120" s="198">
        <f>COUNTIFS(tbl_data[12. Consultation Group of],$D$2,tbl_data[1:T2A],$A120,tbl_data[T2],$D$3)</f>
        <v>0</v>
      </c>
      <c r="AM120" s="198">
        <f>COUNTIFS(tbl_data[12. Consultation Group of],$D$2,tbl_data[2:T2A],$A120,tbl_data[T2],$D$3)</f>
        <v>0</v>
      </c>
      <c r="AN120" s="198">
        <f>COUNTIFS(tbl_data[12. Consultation Group of],$D$2,tbl_data[3:T2A],$A120,tbl_data[T2],$D$3)</f>
        <v>0</v>
      </c>
      <c r="AO120" s="198">
        <f>COUNTIFS(tbl_data[12. Consultation Group of],$D$2,tbl_data[1:T3A],$A120,tbl_data[T3],$D$3)</f>
        <v>0</v>
      </c>
      <c r="AP120" s="198">
        <f>COUNTIFS(tbl_data[12. Consultation Group of],$D$2,tbl_data[2:T3A],$A120,tbl_data[T3],$D$3)</f>
        <v>0</v>
      </c>
      <c r="AQ120" s="198">
        <f>COUNTIFS(tbl_data[12. Consultation Group of],$D$2,tbl_data[3:T3A],$A120,tbl_data[T3],$D$3)</f>
        <v>0</v>
      </c>
      <c r="AR120" s="198">
        <f t="shared" si="34"/>
        <v>0</v>
      </c>
      <c r="AS120" s="199" t="str">
        <f t="shared" si="35"/>
        <v>Insurance (0)</v>
      </c>
      <c r="AT120" s="205">
        <f>COUNTIFS(tbl_data[12. Consultation Group of],$E$2,tbl_data[1:T1A],$A120,tbl_data[T1],$E$3)</f>
        <v>0</v>
      </c>
      <c r="AU120" s="198">
        <f>COUNTIFS(tbl_data[12. Consultation Group of],$E$2,tbl_data[2:T1A],$A120,tbl_data[T1],$E$3)</f>
        <v>0</v>
      </c>
      <c r="AV120" s="198">
        <f>COUNTIFS(tbl_data[12. Consultation Group of],$E$2,tbl_data[3:T1A],$A120,tbl_data[T1],$E$3)</f>
        <v>0</v>
      </c>
      <c r="AW120" s="198">
        <f>COUNTIFS(tbl_data[12. Consultation Group of],$E$2,tbl_data[1:T2A],$A120,tbl_data[T2],$E$3)</f>
        <v>0</v>
      </c>
      <c r="AX120" s="198">
        <f>COUNTIFS(tbl_data[12. Consultation Group of],$E$2,tbl_data[2:T2A],$A120,tbl_data[T2],$E$3)</f>
        <v>0</v>
      </c>
      <c r="AY120" s="198">
        <f>COUNTIFS(tbl_data[12. Consultation Group of],$E$2,tbl_data[3:T2A],$A120,tbl_data[T2],$E$3)</f>
        <v>0</v>
      </c>
      <c r="AZ120" s="198">
        <f>COUNTIFS(tbl_data[12. Consultation Group of],$E$2,tbl_data[1:T3A],$A120,tbl_data[T3],$E$3)</f>
        <v>0</v>
      </c>
      <c r="BA120" s="198">
        <f>COUNTIFS(tbl_data[12. Consultation Group of],$E$2,tbl_data[2:T3A],$A120,tbl_data[T3],$E$3)</f>
        <v>0</v>
      </c>
      <c r="BB120" s="198">
        <f>COUNTIFS(tbl_data[12. Consultation Group of],$E$2,tbl_data[3:T3A],$A120,tbl_data[T3],$E$3)</f>
        <v>0</v>
      </c>
      <c r="BC120" s="198">
        <f t="shared" si="36"/>
        <v>0</v>
      </c>
      <c r="BD120" s="199" t="str">
        <f t="shared" si="37"/>
        <v>Insurance (0)</v>
      </c>
      <c r="BE120" s="205">
        <f>COUNTIFS(tbl_data[1:T1A],$A120,tbl_data[T1],$F$3)</f>
        <v>0</v>
      </c>
      <c r="BF120" s="198">
        <f>COUNTIFS(tbl_data[2:T1A],$A120,tbl_data[T1],$F$3)</f>
        <v>0</v>
      </c>
      <c r="BG120" s="198">
        <f>COUNTIFS(tbl_data[3:T1A],$A120,tbl_data[T1],$F$3)</f>
        <v>0</v>
      </c>
      <c r="BH120" s="198">
        <f>COUNTIFS(tbl_data[1:T2A],$A120,tbl_data[T2],$F$3)</f>
        <v>0</v>
      </c>
      <c r="BI120" s="198">
        <f>COUNTIFS(tbl_data[2:T2A],$A120,tbl_data[T2],$F$3)</f>
        <v>0</v>
      </c>
      <c r="BJ120" s="198">
        <f>COUNTIFS(tbl_data[3:T2A],$A120,tbl_data[T2],$F$3)</f>
        <v>0</v>
      </c>
      <c r="BK120" s="198">
        <f>COUNTIFS(tbl_data[1:T3A],$A120,tbl_data[T3],$F$3)</f>
        <v>0</v>
      </c>
      <c r="BL120" s="198">
        <f>COUNTIFS(tbl_data[2:T3A],$A120,tbl_data[T3],$F$3)</f>
        <v>0</v>
      </c>
      <c r="BM120" s="198">
        <f>COUNTIFS(tbl_data[3:T3A],$A120,tbl_data[T3],$F$3)</f>
        <v>0</v>
      </c>
      <c r="BN120" s="198">
        <f t="shared" si="38"/>
        <v>0</v>
      </c>
      <c r="BO120" s="199" t="str">
        <f t="shared" si="39"/>
        <v>Insurance (0)</v>
      </c>
      <c r="BQ120" t="str">
        <f t="shared" si="40"/>
        <v>Insurance</v>
      </c>
      <c r="BR120">
        <f t="shared" si="41"/>
        <v>0</v>
      </c>
    </row>
    <row r="121" spans="1:74" x14ac:dyDescent="0.25">
      <c r="A121" s="215" t="s">
        <v>231</v>
      </c>
      <c r="B121" s="205">
        <f>COUNTIFS(tbl_data[12. Consultation Group of],$A$2,tbl_data[1:T1A],$A121,tbl_data[T1],$A$3)</f>
        <v>0</v>
      </c>
      <c r="C121" s="198">
        <f>COUNTIFS(tbl_data[12. Consultation Group of],$A$2,tbl_data[2:T1A],$A121,tbl_data[T1],$A$3)</f>
        <v>0</v>
      </c>
      <c r="D121" s="198">
        <f>COUNTIFS(tbl_data[12. Consultation Group of],$A$2,tbl_data[3:T1A],$A121,tbl_data[T1],$A$3)</f>
        <v>0</v>
      </c>
      <c r="E121" s="198">
        <f>COUNTIFS(tbl_data[12. Consultation Group of],$A$2,tbl_data[1:T2A],$A121,tbl_data[T2],$A$3)</f>
        <v>0</v>
      </c>
      <c r="F121" s="198">
        <f>COUNTIFS(tbl_data[12. Consultation Group of],$A$2,tbl_data[2:T2A],$A121,tbl_data[T2],$A$3)</f>
        <v>0</v>
      </c>
      <c r="G121" s="198">
        <f>COUNTIFS(tbl_data[12. Consultation Group of],$A$2,tbl_data[3:T2A],$A121,tbl_data[T2],$A$3)</f>
        <v>0</v>
      </c>
      <c r="H121" s="198">
        <f>COUNTIFS(tbl_data[12. Consultation Group of],$A$2,tbl_data[1:T3A],$A121,tbl_data[T3],$A$3)</f>
        <v>0</v>
      </c>
      <c r="I121" s="198">
        <f>COUNTIFS(tbl_data[12. Consultation Group of],$A$2,tbl_data[2:T3A],$A121,tbl_data[T3],$A$3)</f>
        <v>0</v>
      </c>
      <c r="J121" s="198">
        <f>COUNTIFS(tbl_data[12. Consultation Group of],$A$2,tbl_data[3:T3A],$A121,tbl_data[T3],$A$3)</f>
        <v>0</v>
      </c>
      <c r="K121" s="198">
        <f t="shared" si="28"/>
        <v>0</v>
      </c>
      <c r="L121" s="199" t="str">
        <f t="shared" si="29"/>
        <v>Health Promotion (0)</v>
      </c>
      <c r="M121" s="205">
        <f>COUNTIFS(tbl_data[12. Consultation Group of],$B$2,tbl_data[1:T1A],$A121,tbl_data[T1],$B$3)</f>
        <v>0</v>
      </c>
      <c r="N121" s="198">
        <f>COUNTIFS(tbl_data[12. Consultation Group of],$B$2,tbl_data[2:T1A],$A121,tbl_data[T1],$B$3)</f>
        <v>0</v>
      </c>
      <c r="O121" s="198">
        <f>COUNTIFS(tbl_data[12. Consultation Group of],$B$2,tbl_data[3:T1A],$A121,tbl_data[T1],$B$3)</f>
        <v>0</v>
      </c>
      <c r="P121" s="198">
        <f>COUNTIFS(tbl_data[12. Consultation Group of],$B$2,tbl_data[1:T2A],$A121,tbl_data[T2],$B$3)</f>
        <v>0</v>
      </c>
      <c r="Q121" s="198">
        <f>COUNTIFS(tbl_data[12. Consultation Group of],$B$2,tbl_data[2:T2A],$A121,tbl_data[T2],$B$3)</f>
        <v>0</v>
      </c>
      <c r="R121" s="198">
        <f>COUNTIFS(tbl_data[12. Consultation Group of],$B$2,tbl_data[3:T2A],$A121,tbl_data[T2],$B$3)</f>
        <v>0</v>
      </c>
      <c r="S121" s="198">
        <f>COUNTIFS(tbl_data[12. Consultation Group of],$B$2,tbl_data[1:T3A],$A121,tbl_data[T3],$B$3)</f>
        <v>0</v>
      </c>
      <c r="T121" s="198">
        <f>COUNTIFS(tbl_data[12. Consultation Group of],$B$2,tbl_data[2:T3A],$A121,tbl_data[T3],$B$3)</f>
        <v>0</v>
      </c>
      <c r="U121" s="198">
        <f>COUNTIFS(tbl_data[12. Consultation Group of],$B$2,tbl_data[3:T3A],$A121,tbl_data[T3],$B$3)</f>
        <v>0</v>
      </c>
      <c r="V121" s="198">
        <f t="shared" si="30"/>
        <v>0</v>
      </c>
      <c r="W121" s="199" t="str">
        <f t="shared" si="31"/>
        <v>Health Promotion (0)</v>
      </c>
      <c r="X121" s="205">
        <f>COUNTIFS(tbl_data[12. Consultation Group of],$C$2,tbl_data[1:T1A],$A121,tbl_data[T1],$C$3)</f>
        <v>0</v>
      </c>
      <c r="Y121" s="198">
        <f>COUNTIFS(tbl_data[12. Consultation Group of],$C$2,tbl_data[2:T1A],$A121,tbl_data[T1],$C$3)</f>
        <v>0</v>
      </c>
      <c r="Z121" s="198">
        <f>COUNTIFS(tbl_data[12. Consultation Group of],$C$2,tbl_data[3:T1A],$A121,tbl_data[T1],$C$3)</f>
        <v>0</v>
      </c>
      <c r="AA121" s="198">
        <f>COUNTIFS(tbl_data[12. Consultation Group of],$C$2,tbl_data[1:T2A],$A121,tbl_data[T2],$C$3)</f>
        <v>0</v>
      </c>
      <c r="AB121" s="198">
        <f>COUNTIFS(tbl_data[12. Consultation Group of],$C$2,tbl_data[2:T2A],$A121,tbl_data[T2],$C$3)</f>
        <v>0</v>
      </c>
      <c r="AC121" s="198">
        <f>COUNTIFS(tbl_data[12. Consultation Group of],$C$2,tbl_data[3:T2A],$A121,tbl_data[T2],$C$3)</f>
        <v>0</v>
      </c>
      <c r="AD121" s="198">
        <f>COUNTIFS(tbl_data[12. Consultation Group of],$C$2,tbl_data[1:T3A],$A121,tbl_data[T3],$C$3)</f>
        <v>0</v>
      </c>
      <c r="AE121" s="198">
        <f>COUNTIFS(tbl_data[12. Consultation Group of],$C$2,tbl_data[2:T3A],$A121,tbl_data[T3],$C$3)</f>
        <v>0</v>
      </c>
      <c r="AF121" s="198">
        <f>COUNTIFS(tbl_data[12. Consultation Group of],$C$2,tbl_data[3:T3A],$A121,tbl_data[T3],$C$3)</f>
        <v>0</v>
      </c>
      <c r="AG121" s="198">
        <f t="shared" si="32"/>
        <v>0</v>
      </c>
      <c r="AH121" s="199" t="str">
        <f t="shared" si="33"/>
        <v>Health Promotion (0)</v>
      </c>
      <c r="AI121" s="205">
        <f>COUNTIFS(tbl_data[12. Consultation Group of],$D$2,tbl_data[1:T1A],$A121,tbl_data[T1],$D$3)</f>
        <v>0</v>
      </c>
      <c r="AJ121" s="198">
        <f>COUNTIFS(tbl_data[12. Consultation Group of],$D$2,tbl_data[2:T1A],$A121,tbl_data[T1],$D$3)</f>
        <v>0</v>
      </c>
      <c r="AK121" s="198">
        <f>COUNTIFS(tbl_data[12. Consultation Group of],$D$2,tbl_data[3:T1A],$A121,tbl_data[T1],$D$3)</f>
        <v>0</v>
      </c>
      <c r="AL121" s="198">
        <f>COUNTIFS(tbl_data[12. Consultation Group of],$D$2,tbl_data[1:T2A],$A121,tbl_data[T2],$D$3)</f>
        <v>0</v>
      </c>
      <c r="AM121" s="198">
        <f>COUNTIFS(tbl_data[12. Consultation Group of],$D$2,tbl_data[2:T2A],$A121,tbl_data[T2],$D$3)</f>
        <v>0</v>
      </c>
      <c r="AN121" s="198">
        <f>COUNTIFS(tbl_data[12. Consultation Group of],$D$2,tbl_data[3:T2A],$A121,tbl_data[T2],$D$3)</f>
        <v>0</v>
      </c>
      <c r="AO121" s="198">
        <f>COUNTIFS(tbl_data[12. Consultation Group of],$D$2,tbl_data[1:T3A],$A121,tbl_data[T3],$D$3)</f>
        <v>0</v>
      </c>
      <c r="AP121" s="198">
        <f>COUNTIFS(tbl_data[12. Consultation Group of],$D$2,tbl_data[2:T3A],$A121,tbl_data[T3],$D$3)</f>
        <v>0</v>
      </c>
      <c r="AQ121" s="198">
        <f>COUNTIFS(tbl_data[12. Consultation Group of],$D$2,tbl_data[3:T3A],$A121,tbl_data[T3],$D$3)</f>
        <v>0</v>
      </c>
      <c r="AR121" s="198">
        <f t="shared" si="34"/>
        <v>0</v>
      </c>
      <c r="AS121" s="199" t="str">
        <f t="shared" si="35"/>
        <v>Health Promotion (0)</v>
      </c>
      <c r="AT121" s="205">
        <f>COUNTIFS(tbl_data[12. Consultation Group of],$E$2,tbl_data[1:T1A],$A121,tbl_data[T1],$E$3)</f>
        <v>1</v>
      </c>
      <c r="AU121" s="198">
        <f>COUNTIFS(tbl_data[12. Consultation Group of],$E$2,tbl_data[2:T1A],$A121,tbl_data[T1],$E$3)</f>
        <v>0</v>
      </c>
      <c r="AV121" s="198">
        <f>COUNTIFS(tbl_data[12. Consultation Group of],$E$2,tbl_data[3:T1A],$A121,tbl_data[T1],$E$3)</f>
        <v>0</v>
      </c>
      <c r="AW121" s="198">
        <f>COUNTIFS(tbl_data[12. Consultation Group of],$E$2,tbl_data[1:T2A],$A121,tbl_data[T2],$E$3)</f>
        <v>0</v>
      </c>
      <c r="AX121" s="198">
        <f>COUNTIFS(tbl_data[12. Consultation Group of],$E$2,tbl_data[2:T2A],$A121,tbl_data[T2],$E$3)</f>
        <v>0</v>
      </c>
      <c r="AY121" s="198">
        <f>COUNTIFS(tbl_data[12. Consultation Group of],$E$2,tbl_data[3:T2A],$A121,tbl_data[T2],$E$3)</f>
        <v>0</v>
      </c>
      <c r="AZ121" s="198">
        <f>COUNTIFS(tbl_data[12. Consultation Group of],$E$2,tbl_data[1:T3A],$A121,tbl_data[T3],$E$3)</f>
        <v>0</v>
      </c>
      <c r="BA121" s="198">
        <f>COUNTIFS(tbl_data[12. Consultation Group of],$E$2,tbl_data[2:T3A],$A121,tbl_data[T3],$E$3)</f>
        <v>0</v>
      </c>
      <c r="BB121" s="198">
        <f>COUNTIFS(tbl_data[12. Consultation Group of],$E$2,tbl_data[3:T3A],$A121,tbl_data[T3],$E$3)</f>
        <v>0</v>
      </c>
      <c r="BC121" s="198">
        <f t="shared" si="36"/>
        <v>1</v>
      </c>
      <c r="BD121" s="199" t="str">
        <f t="shared" si="37"/>
        <v>Health Promotion (1)</v>
      </c>
      <c r="BE121" s="205">
        <f>COUNTIFS(tbl_data[1:T1A],$A121,tbl_data[T1],$F$3)</f>
        <v>0</v>
      </c>
      <c r="BF121" s="198">
        <f>COUNTIFS(tbl_data[2:T1A],$A121,tbl_data[T1],$F$3)</f>
        <v>0</v>
      </c>
      <c r="BG121" s="198">
        <f>COUNTIFS(tbl_data[3:T1A],$A121,tbl_data[T1],$F$3)</f>
        <v>0</v>
      </c>
      <c r="BH121" s="198">
        <f>COUNTIFS(tbl_data[1:T2A],$A121,tbl_data[T2],$F$3)</f>
        <v>0</v>
      </c>
      <c r="BI121" s="198">
        <f>COUNTIFS(tbl_data[2:T2A],$A121,tbl_data[T2],$F$3)</f>
        <v>0</v>
      </c>
      <c r="BJ121" s="198">
        <f>COUNTIFS(tbl_data[3:T2A],$A121,tbl_data[T2],$F$3)</f>
        <v>0</v>
      </c>
      <c r="BK121" s="198">
        <f>COUNTIFS(tbl_data[1:T3A],$A121,tbl_data[T3],$F$3)</f>
        <v>0</v>
      </c>
      <c r="BL121" s="198">
        <f>COUNTIFS(tbl_data[2:T3A],$A121,tbl_data[T3],$F$3)</f>
        <v>0</v>
      </c>
      <c r="BM121" s="198">
        <f>COUNTIFS(tbl_data[3:T3A],$A121,tbl_data[T3],$F$3)</f>
        <v>0</v>
      </c>
      <c r="BN121" s="198">
        <f t="shared" si="38"/>
        <v>0</v>
      </c>
      <c r="BO121" s="199" t="str">
        <f t="shared" si="39"/>
        <v>Health Promotion (0)</v>
      </c>
      <c r="BQ121" t="str">
        <f t="shared" si="40"/>
        <v>Health Promotion</v>
      </c>
      <c r="BR121">
        <f t="shared" si="41"/>
        <v>1</v>
      </c>
      <c r="BS121" t="s">
        <v>929</v>
      </c>
      <c r="BT121" t="s">
        <v>929</v>
      </c>
      <c r="BU121" s="39" t="s">
        <v>929</v>
      </c>
    </row>
    <row r="122" spans="1:74" x14ac:dyDescent="0.25">
      <c r="A122" s="215" t="s">
        <v>207</v>
      </c>
      <c r="B122" s="205">
        <f>COUNTIFS(tbl_data[12. Consultation Group of],$A$2,tbl_data[1:T1A],$A122,tbl_data[T1],$A$3)</f>
        <v>0</v>
      </c>
      <c r="C122" s="198">
        <f>COUNTIFS(tbl_data[12. Consultation Group of],$A$2,tbl_data[2:T1A],$A122,tbl_data[T1],$A$3)</f>
        <v>0</v>
      </c>
      <c r="D122" s="198">
        <f>COUNTIFS(tbl_data[12. Consultation Group of],$A$2,tbl_data[3:T1A],$A122,tbl_data[T1],$A$3)</f>
        <v>0</v>
      </c>
      <c r="E122" s="198">
        <f>COUNTIFS(tbl_data[12. Consultation Group of],$A$2,tbl_data[1:T2A],$A122,tbl_data[T2],$A$3)</f>
        <v>0</v>
      </c>
      <c r="F122" s="198">
        <f>COUNTIFS(tbl_data[12. Consultation Group of],$A$2,tbl_data[2:T2A],$A122,tbl_data[T2],$A$3)</f>
        <v>0</v>
      </c>
      <c r="G122" s="198">
        <f>COUNTIFS(tbl_data[12. Consultation Group of],$A$2,tbl_data[3:T2A],$A122,tbl_data[T2],$A$3)</f>
        <v>0</v>
      </c>
      <c r="H122" s="198">
        <f>COUNTIFS(tbl_data[12. Consultation Group of],$A$2,tbl_data[1:T3A],$A122,tbl_data[T3],$A$3)</f>
        <v>0</v>
      </c>
      <c r="I122" s="198">
        <f>COUNTIFS(tbl_data[12. Consultation Group of],$A$2,tbl_data[2:T3A],$A122,tbl_data[T3],$A$3)</f>
        <v>0</v>
      </c>
      <c r="J122" s="198">
        <f>COUNTIFS(tbl_data[12. Consultation Group of],$A$2,tbl_data[3:T3A],$A122,tbl_data[T3],$A$3)</f>
        <v>0</v>
      </c>
      <c r="K122" s="198">
        <f t="shared" si="28"/>
        <v>0</v>
      </c>
      <c r="L122" s="199" t="str">
        <f t="shared" si="29"/>
        <v>Livelihood Diversification (0)</v>
      </c>
      <c r="M122" s="205">
        <f>COUNTIFS(tbl_data[12. Consultation Group of],$B$2,tbl_data[1:T1A],$A122,tbl_data[T1],$B$3)</f>
        <v>0</v>
      </c>
      <c r="N122" s="198">
        <f>COUNTIFS(tbl_data[12. Consultation Group of],$B$2,tbl_data[2:T1A],$A122,tbl_data[T1],$B$3)</f>
        <v>0</v>
      </c>
      <c r="O122" s="198">
        <f>COUNTIFS(tbl_data[12. Consultation Group of],$B$2,tbl_data[3:T1A],$A122,tbl_data[T1],$B$3)</f>
        <v>0</v>
      </c>
      <c r="P122" s="198">
        <f>COUNTIFS(tbl_data[12. Consultation Group of],$B$2,tbl_data[1:T2A],$A122,tbl_data[T2],$B$3)</f>
        <v>0</v>
      </c>
      <c r="Q122" s="198">
        <f>COUNTIFS(tbl_data[12. Consultation Group of],$B$2,tbl_data[2:T2A],$A122,tbl_data[T2],$B$3)</f>
        <v>0</v>
      </c>
      <c r="R122" s="198">
        <f>COUNTIFS(tbl_data[12. Consultation Group of],$B$2,tbl_data[3:T2A],$A122,tbl_data[T2],$B$3)</f>
        <v>0</v>
      </c>
      <c r="S122" s="198">
        <f>COUNTIFS(tbl_data[12. Consultation Group of],$B$2,tbl_data[1:T3A],$A122,tbl_data[T3],$B$3)</f>
        <v>0</v>
      </c>
      <c r="T122" s="198">
        <f>COUNTIFS(tbl_data[12. Consultation Group of],$B$2,tbl_data[2:T3A],$A122,tbl_data[T3],$B$3)</f>
        <v>0</v>
      </c>
      <c r="U122" s="198">
        <f>COUNTIFS(tbl_data[12. Consultation Group of],$B$2,tbl_data[3:T3A],$A122,tbl_data[T3],$B$3)</f>
        <v>0</v>
      </c>
      <c r="V122" s="198">
        <f t="shared" si="30"/>
        <v>0</v>
      </c>
      <c r="W122" s="199" t="str">
        <f t="shared" si="31"/>
        <v>Livelihood Diversification (0)</v>
      </c>
      <c r="X122" s="205">
        <f>COUNTIFS(tbl_data[12. Consultation Group of],$C$2,tbl_data[1:T1A],$A122,tbl_data[T1],$C$3)</f>
        <v>0</v>
      </c>
      <c r="Y122" s="198">
        <f>COUNTIFS(tbl_data[12. Consultation Group of],$C$2,tbl_data[2:T1A],$A122,tbl_data[T1],$C$3)</f>
        <v>0</v>
      </c>
      <c r="Z122" s="198">
        <f>COUNTIFS(tbl_data[12. Consultation Group of],$C$2,tbl_data[3:T1A],$A122,tbl_data[T1],$C$3)</f>
        <v>0</v>
      </c>
      <c r="AA122" s="198">
        <f>COUNTIFS(tbl_data[12. Consultation Group of],$C$2,tbl_data[1:T2A],$A122,tbl_data[T2],$C$3)</f>
        <v>0</v>
      </c>
      <c r="AB122" s="198">
        <f>COUNTIFS(tbl_data[12. Consultation Group of],$C$2,tbl_data[2:T2A],$A122,tbl_data[T2],$C$3)</f>
        <v>0</v>
      </c>
      <c r="AC122" s="198">
        <f>COUNTIFS(tbl_data[12. Consultation Group of],$C$2,tbl_data[3:T2A],$A122,tbl_data[T2],$C$3)</f>
        <v>0</v>
      </c>
      <c r="AD122" s="198">
        <f>COUNTIFS(tbl_data[12. Consultation Group of],$C$2,tbl_data[1:T3A],$A122,tbl_data[T3],$C$3)</f>
        <v>0</v>
      </c>
      <c r="AE122" s="198">
        <f>COUNTIFS(tbl_data[12. Consultation Group of],$C$2,tbl_data[2:T3A],$A122,tbl_data[T3],$C$3)</f>
        <v>0</v>
      </c>
      <c r="AF122" s="198">
        <f>COUNTIFS(tbl_data[12. Consultation Group of],$C$2,tbl_data[3:T3A],$A122,tbl_data[T3],$C$3)</f>
        <v>0</v>
      </c>
      <c r="AG122" s="198">
        <f t="shared" si="32"/>
        <v>0</v>
      </c>
      <c r="AH122" s="199" t="str">
        <f t="shared" si="33"/>
        <v>Livelihood Diversification (0)</v>
      </c>
      <c r="AI122" s="205">
        <f>COUNTIFS(tbl_data[12. Consultation Group of],$D$2,tbl_data[1:T1A],$A122,tbl_data[T1],$D$3)</f>
        <v>0</v>
      </c>
      <c r="AJ122" s="198">
        <f>COUNTIFS(tbl_data[12. Consultation Group of],$D$2,tbl_data[2:T1A],$A122,tbl_data[T1],$D$3)</f>
        <v>0</v>
      </c>
      <c r="AK122" s="198">
        <f>COUNTIFS(tbl_data[12. Consultation Group of],$D$2,tbl_data[3:T1A],$A122,tbl_data[T1],$D$3)</f>
        <v>0</v>
      </c>
      <c r="AL122" s="198">
        <f>COUNTIFS(tbl_data[12. Consultation Group of],$D$2,tbl_data[1:T2A],$A122,tbl_data[T2],$D$3)</f>
        <v>0</v>
      </c>
      <c r="AM122" s="198">
        <f>COUNTIFS(tbl_data[12. Consultation Group of],$D$2,tbl_data[2:T2A],$A122,tbl_data[T2],$D$3)</f>
        <v>0</v>
      </c>
      <c r="AN122" s="198">
        <f>COUNTIFS(tbl_data[12. Consultation Group of],$D$2,tbl_data[3:T2A],$A122,tbl_data[T2],$D$3)</f>
        <v>0</v>
      </c>
      <c r="AO122" s="198">
        <f>COUNTIFS(tbl_data[12. Consultation Group of],$D$2,tbl_data[1:T3A],$A122,tbl_data[T3],$D$3)</f>
        <v>0</v>
      </c>
      <c r="AP122" s="198">
        <f>COUNTIFS(tbl_data[12. Consultation Group of],$D$2,tbl_data[2:T3A],$A122,tbl_data[T3],$D$3)</f>
        <v>0</v>
      </c>
      <c r="AQ122" s="198">
        <f>COUNTIFS(tbl_data[12. Consultation Group of],$D$2,tbl_data[3:T3A],$A122,tbl_data[T3],$D$3)</f>
        <v>0</v>
      </c>
      <c r="AR122" s="198">
        <f t="shared" si="34"/>
        <v>0</v>
      </c>
      <c r="AS122" s="199" t="str">
        <f t="shared" si="35"/>
        <v>Livelihood Diversification (0)</v>
      </c>
      <c r="AT122" s="205">
        <f>COUNTIFS(tbl_data[12. Consultation Group of],$E$2,tbl_data[1:T1A],$A122,tbl_data[T1],$E$3)</f>
        <v>0</v>
      </c>
      <c r="AU122" s="198">
        <f>COUNTIFS(tbl_data[12. Consultation Group of],$E$2,tbl_data[2:T1A],$A122,tbl_data[T1],$E$3)</f>
        <v>0</v>
      </c>
      <c r="AV122" s="198">
        <f>COUNTIFS(tbl_data[12. Consultation Group of],$E$2,tbl_data[3:T1A],$A122,tbl_data[T1],$E$3)</f>
        <v>0</v>
      </c>
      <c r="AW122" s="198">
        <f>COUNTIFS(tbl_data[12. Consultation Group of],$E$2,tbl_data[1:T2A],$A122,tbl_data[T2],$E$3)</f>
        <v>0</v>
      </c>
      <c r="AX122" s="198">
        <f>COUNTIFS(tbl_data[12. Consultation Group of],$E$2,tbl_data[2:T2A],$A122,tbl_data[T2],$E$3)</f>
        <v>0</v>
      </c>
      <c r="AY122" s="198">
        <f>COUNTIFS(tbl_data[12. Consultation Group of],$E$2,tbl_data[3:T2A],$A122,tbl_data[T2],$E$3)</f>
        <v>0</v>
      </c>
      <c r="AZ122" s="198">
        <f>COUNTIFS(tbl_data[12. Consultation Group of],$E$2,tbl_data[1:T3A],$A122,tbl_data[T3],$E$3)</f>
        <v>0</v>
      </c>
      <c r="BA122" s="198">
        <f>COUNTIFS(tbl_data[12. Consultation Group of],$E$2,tbl_data[2:T3A],$A122,tbl_data[T3],$E$3)</f>
        <v>0</v>
      </c>
      <c r="BB122" s="198">
        <f>COUNTIFS(tbl_data[12. Consultation Group of],$E$2,tbl_data[3:T3A],$A122,tbl_data[T3],$E$3)</f>
        <v>0</v>
      </c>
      <c r="BC122" s="198">
        <f t="shared" si="36"/>
        <v>0</v>
      </c>
      <c r="BD122" s="199" t="str">
        <f t="shared" si="37"/>
        <v>Livelihood Diversification (0)</v>
      </c>
      <c r="BE122" s="205">
        <f>COUNTIFS(tbl_data[1:T1A],$A122,tbl_data[T1],$F$3)</f>
        <v>0</v>
      </c>
      <c r="BF122" s="198">
        <f>COUNTIFS(tbl_data[2:T1A],$A122,tbl_data[T1],$F$3)</f>
        <v>1</v>
      </c>
      <c r="BG122" s="198">
        <f>COUNTIFS(tbl_data[3:T1A],$A122,tbl_data[T1],$F$3)</f>
        <v>0</v>
      </c>
      <c r="BH122" s="198">
        <f>COUNTIFS(tbl_data[1:T2A],$A122,tbl_data[T2],$F$3)</f>
        <v>0</v>
      </c>
      <c r="BI122" s="198">
        <f>COUNTIFS(tbl_data[2:T2A],$A122,tbl_data[T2],$F$3)</f>
        <v>0</v>
      </c>
      <c r="BJ122" s="198">
        <f>COUNTIFS(tbl_data[3:T2A],$A122,tbl_data[T2],$F$3)</f>
        <v>0</v>
      </c>
      <c r="BK122" s="198">
        <f>COUNTIFS(tbl_data[1:T3A],$A122,tbl_data[T3],$F$3)</f>
        <v>0</v>
      </c>
      <c r="BL122" s="198">
        <f>COUNTIFS(tbl_data[2:T3A],$A122,tbl_data[T3],$F$3)</f>
        <v>0</v>
      </c>
      <c r="BM122" s="198">
        <f>COUNTIFS(tbl_data[3:T3A],$A122,tbl_data[T3],$F$3)</f>
        <v>0</v>
      </c>
      <c r="BN122" s="198">
        <f t="shared" si="38"/>
        <v>1</v>
      </c>
      <c r="BO122" s="199" t="str">
        <f t="shared" si="39"/>
        <v>Livelihood Diversification (1)</v>
      </c>
      <c r="BQ122" t="str">
        <f t="shared" si="40"/>
        <v>Livelihood Diversification</v>
      </c>
      <c r="BR122">
        <f t="shared" si="41"/>
        <v>1</v>
      </c>
      <c r="BS122" t="s">
        <v>927</v>
      </c>
      <c r="BT122" t="s">
        <v>927</v>
      </c>
      <c r="BU122" s="275" t="s">
        <v>940</v>
      </c>
      <c r="BV122" t="s">
        <v>941</v>
      </c>
    </row>
    <row r="123" spans="1:74" x14ac:dyDescent="0.25">
      <c r="A123" s="215" t="s">
        <v>255</v>
      </c>
      <c r="B123" s="205">
        <f>COUNTIFS(tbl_data[12. Consultation Group of],$A$2,tbl_data[1:T1A],$A123,tbl_data[T1],$A$3)</f>
        <v>0</v>
      </c>
      <c r="C123" s="198">
        <f>COUNTIFS(tbl_data[12. Consultation Group of],$A$2,tbl_data[2:T1A],$A123,tbl_data[T1],$A$3)</f>
        <v>0</v>
      </c>
      <c r="D123" s="198">
        <f>COUNTIFS(tbl_data[12. Consultation Group of],$A$2,tbl_data[3:T1A],$A123,tbl_data[T1],$A$3)</f>
        <v>0</v>
      </c>
      <c r="E123" s="198">
        <f>COUNTIFS(tbl_data[12. Consultation Group of],$A$2,tbl_data[1:T2A],$A123,tbl_data[T2],$A$3)</f>
        <v>0</v>
      </c>
      <c r="F123" s="198">
        <f>COUNTIFS(tbl_data[12. Consultation Group of],$A$2,tbl_data[2:T2A],$A123,tbl_data[T2],$A$3)</f>
        <v>0</v>
      </c>
      <c r="G123" s="198">
        <f>COUNTIFS(tbl_data[12. Consultation Group of],$A$2,tbl_data[3:T2A],$A123,tbl_data[T2],$A$3)</f>
        <v>0</v>
      </c>
      <c r="H123" s="198">
        <f>COUNTIFS(tbl_data[12. Consultation Group of],$A$2,tbl_data[1:T3A],$A123,tbl_data[T3],$A$3)</f>
        <v>0</v>
      </c>
      <c r="I123" s="198">
        <f>COUNTIFS(tbl_data[12. Consultation Group of],$A$2,tbl_data[2:T3A],$A123,tbl_data[T3],$A$3)</f>
        <v>0</v>
      </c>
      <c r="J123" s="198">
        <f>COUNTIFS(tbl_data[12. Consultation Group of],$A$2,tbl_data[3:T3A],$A123,tbl_data[T3],$A$3)</f>
        <v>0</v>
      </c>
      <c r="K123" s="198">
        <f t="shared" si="28"/>
        <v>0</v>
      </c>
      <c r="L123" s="199" t="str">
        <f t="shared" si="29"/>
        <v>Food Security Actions (0)</v>
      </c>
      <c r="M123" s="205">
        <f>COUNTIFS(tbl_data[12. Consultation Group of],$B$2,tbl_data[1:T1A],$A123,tbl_data[T1],$B$3)</f>
        <v>0</v>
      </c>
      <c r="N123" s="198">
        <f>COUNTIFS(tbl_data[12. Consultation Group of],$B$2,tbl_data[2:T1A],$A123,tbl_data[T1],$B$3)</f>
        <v>0</v>
      </c>
      <c r="O123" s="198">
        <f>COUNTIFS(tbl_data[12. Consultation Group of],$B$2,tbl_data[3:T1A],$A123,tbl_data[T1],$B$3)</f>
        <v>0</v>
      </c>
      <c r="P123" s="198">
        <f>COUNTIFS(tbl_data[12. Consultation Group of],$B$2,tbl_data[1:T2A],$A123,tbl_data[T2],$B$3)</f>
        <v>0</v>
      </c>
      <c r="Q123" s="198">
        <f>COUNTIFS(tbl_data[12. Consultation Group of],$B$2,tbl_data[2:T2A],$A123,tbl_data[T2],$B$3)</f>
        <v>0</v>
      </c>
      <c r="R123" s="198">
        <f>COUNTIFS(tbl_data[12. Consultation Group of],$B$2,tbl_data[3:T2A],$A123,tbl_data[T2],$B$3)</f>
        <v>0</v>
      </c>
      <c r="S123" s="198">
        <f>COUNTIFS(tbl_data[12. Consultation Group of],$B$2,tbl_data[1:T3A],$A123,tbl_data[T3],$B$3)</f>
        <v>0</v>
      </c>
      <c r="T123" s="198">
        <f>COUNTIFS(tbl_data[12. Consultation Group of],$B$2,tbl_data[2:T3A],$A123,tbl_data[T3],$B$3)</f>
        <v>0</v>
      </c>
      <c r="U123" s="198">
        <f>COUNTIFS(tbl_data[12. Consultation Group of],$B$2,tbl_data[3:T3A],$A123,tbl_data[T3],$B$3)</f>
        <v>0</v>
      </c>
      <c r="V123" s="198">
        <f t="shared" si="30"/>
        <v>0</v>
      </c>
      <c r="W123" s="199" t="str">
        <f t="shared" si="31"/>
        <v>Food Security Actions (0)</v>
      </c>
      <c r="X123" s="205">
        <f>COUNTIFS(tbl_data[12. Consultation Group of],$C$2,tbl_data[1:T1A],$A123,tbl_data[T1],$C$3)</f>
        <v>0</v>
      </c>
      <c r="Y123" s="198">
        <f>COUNTIFS(tbl_data[12. Consultation Group of],$C$2,tbl_data[2:T1A],$A123,tbl_data[T1],$C$3)</f>
        <v>0</v>
      </c>
      <c r="Z123" s="198">
        <f>COUNTIFS(tbl_data[12. Consultation Group of],$C$2,tbl_data[3:T1A],$A123,tbl_data[T1],$C$3)</f>
        <v>0</v>
      </c>
      <c r="AA123" s="198">
        <f>COUNTIFS(tbl_data[12. Consultation Group of],$C$2,tbl_data[1:T2A],$A123,tbl_data[T2],$C$3)</f>
        <v>0</v>
      </c>
      <c r="AB123" s="198">
        <f>COUNTIFS(tbl_data[12. Consultation Group of],$C$2,tbl_data[2:T2A],$A123,tbl_data[T2],$C$3)</f>
        <v>0</v>
      </c>
      <c r="AC123" s="198">
        <f>COUNTIFS(tbl_data[12. Consultation Group of],$C$2,tbl_data[3:T2A],$A123,tbl_data[T2],$C$3)</f>
        <v>0</v>
      </c>
      <c r="AD123" s="198">
        <f>COUNTIFS(tbl_data[12. Consultation Group of],$C$2,tbl_data[1:T3A],$A123,tbl_data[T3],$C$3)</f>
        <v>0</v>
      </c>
      <c r="AE123" s="198">
        <f>COUNTIFS(tbl_data[12. Consultation Group of],$C$2,tbl_data[2:T3A],$A123,tbl_data[T3],$C$3)</f>
        <v>0</v>
      </c>
      <c r="AF123" s="198">
        <f>COUNTIFS(tbl_data[12. Consultation Group of],$C$2,tbl_data[3:T3A],$A123,tbl_data[T3],$C$3)</f>
        <v>0</v>
      </c>
      <c r="AG123" s="198">
        <f t="shared" si="32"/>
        <v>0</v>
      </c>
      <c r="AH123" s="199" t="str">
        <f t="shared" si="33"/>
        <v>Food Security Actions (0)</v>
      </c>
      <c r="AI123" s="205">
        <f>COUNTIFS(tbl_data[12. Consultation Group of],$D$2,tbl_data[1:T1A],$A123,tbl_data[T1],$D$3)</f>
        <v>0</v>
      </c>
      <c r="AJ123" s="198">
        <f>COUNTIFS(tbl_data[12. Consultation Group of],$D$2,tbl_data[2:T1A],$A123,tbl_data[T1],$D$3)</f>
        <v>0</v>
      </c>
      <c r="AK123" s="198">
        <f>COUNTIFS(tbl_data[12. Consultation Group of],$D$2,tbl_data[3:T1A],$A123,tbl_data[T1],$D$3)</f>
        <v>0</v>
      </c>
      <c r="AL123" s="198">
        <f>COUNTIFS(tbl_data[12. Consultation Group of],$D$2,tbl_data[1:T2A],$A123,tbl_data[T2],$D$3)</f>
        <v>0</v>
      </c>
      <c r="AM123" s="198">
        <f>COUNTIFS(tbl_data[12. Consultation Group of],$D$2,tbl_data[2:T2A],$A123,tbl_data[T2],$D$3)</f>
        <v>0</v>
      </c>
      <c r="AN123" s="198">
        <f>COUNTIFS(tbl_data[12. Consultation Group of],$D$2,tbl_data[3:T2A],$A123,tbl_data[T2],$D$3)</f>
        <v>0</v>
      </c>
      <c r="AO123" s="198">
        <f>COUNTIFS(tbl_data[12. Consultation Group of],$D$2,tbl_data[1:T3A],$A123,tbl_data[T3],$D$3)</f>
        <v>0</v>
      </c>
      <c r="AP123" s="198">
        <f>COUNTIFS(tbl_data[12. Consultation Group of],$D$2,tbl_data[2:T3A],$A123,tbl_data[T3],$D$3)</f>
        <v>0</v>
      </c>
      <c r="AQ123" s="198">
        <f>COUNTIFS(tbl_data[12. Consultation Group of],$D$2,tbl_data[3:T3A],$A123,tbl_data[T3],$D$3)</f>
        <v>0</v>
      </c>
      <c r="AR123" s="198">
        <f t="shared" si="34"/>
        <v>0</v>
      </c>
      <c r="AS123" s="199" t="str">
        <f t="shared" si="35"/>
        <v>Food Security Actions (0)</v>
      </c>
      <c r="AT123" s="205">
        <f>COUNTIFS(tbl_data[12. Consultation Group of],$E$2,tbl_data[1:T1A],$A123,tbl_data[T1],$E$3)</f>
        <v>0</v>
      </c>
      <c r="AU123" s="198">
        <f>COUNTIFS(tbl_data[12. Consultation Group of],$E$2,tbl_data[2:T1A],$A123,tbl_data[T1],$E$3)</f>
        <v>0</v>
      </c>
      <c r="AV123" s="198">
        <f>COUNTIFS(tbl_data[12. Consultation Group of],$E$2,tbl_data[3:T1A],$A123,tbl_data[T1],$E$3)</f>
        <v>0</v>
      </c>
      <c r="AW123" s="198">
        <f>COUNTIFS(tbl_data[12. Consultation Group of],$E$2,tbl_data[1:T2A],$A123,tbl_data[T2],$E$3)</f>
        <v>0</v>
      </c>
      <c r="AX123" s="198">
        <f>COUNTIFS(tbl_data[12. Consultation Group of],$E$2,tbl_data[2:T2A],$A123,tbl_data[T2],$E$3)</f>
        <v>0</v>
      </c>
      <c r="AY123" s="198">
        <f>COUNTIFS(tbl_data[12. Consultation Group of],$E$2,tbl_data[3:T2A],$A123,tbl_data[T2],$E$3)</f>
        <v>0</v>
      </c>
      <c r="AZ123" s="198">
        <f>COUNTIFS(tbl_data[12. Consultation Group of],$E$2,tbl_data[1:T3A],$A123,tbl_data[T3],$E$3)</f>
        <v>0</v>
      </c>
      <c r="BA123" s="198">
        <f>COUNTIFS(tbl_data[12. Consultation Group of],$E$2,tbl_data[2:T3A],$A123,tbl_data[T3],$E$3)</f>
        <v>0</v>
      </c>
      <c r="BB123" s="198">
        <f>COUNTIFS(tbl_data[12. Consultation Group of],$E$2,tbl_data[3:T3A],$A123,tbl_data[T3],$E$3)</f>
        <v>0</v>
      </c>
      <c r="BC123" s="198">
        <f t="shared" si="36"/>
        <v>0</v>
      </c>
      <c r="BD123" s="199" t="str">
        <f t="shared" si="37"/>
        <v>Food Security Actions (0)</v>
      </c>
      <c r="BE123" s="205">
        <f>COUNTIFS(tbl_data[1:T1A],$A123,tbl_data[T1],$F$3)</f>
        <v>0</v>
      </c>
      <c r="BF123" s="198">
        <f>COUNTIFS(tbl_data[2:T1A],$A123,tbl_data[T1],$F$3)</f>
        <v>0</v>
      </c>
      <c r="BG123" s="198">
        <f>COUNTIFS(tbl_data[3:T1A],$A123,tbl_data[T1],$F$3)</f>
        <v>0</v>
      </c>
      <c r="BH123" s="198">
        <f>COUNTIFS(tbl_data[1:T2A],$A123,tbl_data[T2],$F$3)</f>
        <v>0</v>
      </c>
      <c r="BI123" s="198">
        <f>COUNTIFS(tbl_data[2:T2A],$A123,tbl_data[T2],$F$3)</f>
        <v>0</v>
      </c>
      <c r="BJ123" s="198">
        <f>COUNTIFS(tbl_data[3:T2A],$A123,tbl_data[T2],$F$3)</f>
        <v>0</v>
      </c>
      <c r="BK123" s="198">
        <f>COUNTIFS(tbl_data[1:T3A],$A123,tbl_data[T3],$F$3)</f>
        <v>0</v>
      </c>
      <c r="BL123" s="198">
        <f>COUNTIFS(tbl_data[2:T3A],$A123,tbl_data[T3],$F$3)</f>
        <v>0</v>
      </c>
      <c r="BM123" s="198">
        <f>COUNTIFS(tbl_data[3:T3A],$A123,tbl_data[T3],$F$3)</f>
        <v>0</v>
      </c>
      <c r="BN123" s="198">
        <f t="shared" si="38"/>
        <v>0</v>
      </c>
      <c r="BO123" s="199" t="str">
        <f t="shared" si="39"/>
        <v>Food Security Actions (0)</v>
      </c>
      <c r="BQ123" t="str">
        <f t="shared" si="40"/>
        <v>Food Security Actions</v>
      </c>
      <c r="BR123">
        <f t="shared" si="41"/>
        <v>0</v>
      </c>
    </row>
    <row r="124" spans="1:74" x14ac:dyDescent="0.25">
      <c r="A124" s="215" t="s">
        <v>256</v>
      </c>
      <c r="B124" s="205">
        <f>COUNTIFS(tbl_data[12. Consultation Group of],$A$2,tbl_data[1:T1A],$A124,tbl_data[T1],$A$3)</f>
        <v>0</v>
      </c>
      <c r="C124" s="198">
        <f>COUNTIFS(tbl_data[12. Consultation Group of],$A$2,tbl_data[2:T1A],$A124,tbl_data[T1],$A$3)</f>
        <v>0</v>
      </c>
      <c r="D124" s="198">
        <f>COUNTIFS(tbl_data[12. Consultation Group of],$A$2,tbl_data[3:T1A],$A124,tbl_data[T1],$A$3)</f>
        <v>0</v>
      </c>
      <c r="E124" s="198">
        <f>COUNTIFS(tbl_data[12. Consultation Group of],$A$2,tbl_data[1:T2A],$A124,tbl_data[T2],$A$3)</f>
        <v>0</v>
      </c>
      <c r="F124" s="198">
        <f>COUNTIFS(tbl_data[12. Consultation Group of],$A$2,tbl_data[2:T2A],$A124,tbl_data[T2],$A$3)</f>
        <v>0</v>
      </c>
      <c r="G124" s="198">
        <f>COUNTIFS(tbl_data[12. Consultation Group of],$A$2,tbl_data[3:T2A],$A124,tbl_data[T2],$A$3)</f>
        <v>0</v>
      </c>
      <c r="H124" s="198">
        <f>COUNTIFS(tbl_data[12. Consultation Group of],$A$2,tbl_data[1:T3A],$A124,tbl_data[T3],$A$3)</f>
        <v>0</v>
      </c>
      <c r="I124" s="198">
        <f>COUNTIFS(tbl_data[12. Consultation Group of],$A$2,tbl_data[2:T3A],$A124,tbl_data[T3],$A$3)</f>
        <v>0</v>
      </c>
      <c r="J124" s="198">
        <f>COUNTIFS(tbl_data[12. Consultation Group of],$A$2,tbl_data[3:T3A],$A124,tbl_data[T3],$A$3)</f>
        <v>0</v>
      </c>
      <c r="K124" s="198">
        <f t="shared" si="28"/>
        <v>0</v>
      </c>
      <c r="L124" s="199" t="str">
        <f t="shared" si="29"/>
        <v>Raising Homes (0)</v>
      </c>
      <c r="M124" s="205">
        <f>COUNTIFS(tbl_data[12. Consultation Group of],$B$2,tbl_data[1:T1A],$A124,tbl_data[T1],$B$3)</f>
        <v>0</v>
      </c>
      <c r="N124" s="198">
        <f>COUNTIFS(tbl_data[12. Consultation Group of],$B$2,tbl_data[2:T1A],$A124,tbl_data[T1],$B$3)</f>
        <v>0</v>
      </c>
      <c r="O124" s="198">
        <f>COUNTIFS(tbl_data[12. Consultation Group of],$B$2,tbl_data[3:T1A],$A124,tbl_data[T1],$B$3)</f>
        <v>0</v>
      </c>
      <c r="P124" s="198">
        <f>COUNTIFS(tbl_data[12. Consultation Group of],$B$2,tbl_data[1:T2A],$A124,tbl_data[T2],$B$3)</f>
        <v>0</v>
      </c>
      <c r="Q124" s="198">
        <f>COUNTIFS(tbl_data[12. Consultation Group of],$B$2,tbl_data[2:T2A],$A124,tbl_data[T2],$B$3)</f>
        <v>0</v>
      </c>
      <c r="R124" s="198">
        <f>COUNTIFS(tbl_data[12. Consultation Group of],$B$2,tbl_data[3:T2A],$A124,tbl_data[T2],$B$3)</f>
        <v>0</v>
      </c>
      <c r="S124" s="198">
        <f>COUNTIFS(tbl_data[12. Consultation Group of],$B$2,tbl_data[1:T3A],$A124,tbl_data[T3],$B$3)</f>
        <v>0</v>
      </c>
      <c r="T124" s="198">
        <f>COUNTIFS(tbl_data[12. Consultation Group of],$B$2,tbl_data[2:T3A],$A124,tbl_data[T3],$B$3)</f>
        <v>0</v>
      </c>
      <c r="U124" s="198">
        <f>COUNTIFS(tbl_data[12. Consultation Group of],$B$2,tbl_data[3:T3A],$A124,tbl_data[T3],$B$3)</f>
        <v>0</v>
      </c>
      <c r="V124" s="198">
        <f t="shared" si="30"/>
        <v>0</v>
      </c>
      <c r="W124" s="199" t="str">
        <f t="shared" si="31"/>
        <v>Raising Homes (0)</v>
      </c>
      <c r="X124" s="205">
        <f>COUNTIFS(tbl_data[12. Consultation Group of],$C$2,tbl_data[1:T1A],$A124,tbl_data[T1],$C$3)</f>
        <v>0</v>
      </c>
      <c r="Y124" s="198">
        <f>COUNTIFS(tbl_data[12. Consultation Group of],$C$2,tbl_data[2:T1A],$A124,tbl_data[T1],$C$3)</f>
        <v>0</v>
      </c>
      <c r="Z124" s="198">
        <f>COUNTIFS(tbl_data[12. Consultation Group of],$C$2,tbl_data[3:T1A],$A124,tbl_data[T1],$C$3)</f>
        <v>0</v>
      </c>
      <c r="AA124" s="198">
        <f>COUNTIFS(tbl_data[12. Consultation Group of],$C$2,tbl_data[1:T2A],$A124,tbl_data[T2],$C$3)</f>
        <v>0</v>
      </c>
      <c r="AB124" s="198">
        <f>COUNTIFS(tbl_data[12. Consultation Group of],$C$2,tbl_data[2:T2A],$A124,tbl_data[T2],$C$3)</f>
        <v>0</v>
      </c>
      <c r="AC124" s="198">
        <f>COUNTIFS(tbl_data[12. Consultation Group of],$C$2,tbl_data[3:T2A],$A124,tbl_data[T2],$C$3)</f>
        <v>0</v>
      </c>
      <c r="AD124" s="198">
        <f>COUNTIFS(tbl_data[12. Consultation Group of],$C$2,tbl_data[1:T3A],$A124,tbl_data[T3],$C$3)</f>
        <v>0</v>
      </c>
      <c r="AE124" s="198">
        <f>COUNTIFS(tbl_data[12. Consultation Group of],$C$2,tbl_data[2:T3A],$A124,tbl_data[T3],$C$3)</f>
        <v>0</v>
      </c>
      <c r="AF124" s="198">
        <f>COUNTIFS(tbl_data[12. Consultation Group of],$C$2,tbl_data[3:T3A],$A124,tbl_data[T3],$C$3)</f>
        <v>0</v>
      </c>
      <c r="AG124" s="198">
        <f t="shared" si="32"/>
        <v>0</v>
      </c>
      <c r="AH124" s="199" t="str">
        <f t="shared" si="33"/>
        <v>Raising Homes (0)</v>
      </c>
      <c r="AI124" s="205">
        <f>COUNTIFS(tbl_data[12. Consultation Group of],$D$2,tbl_data[1:T1A],$A124,tbl_data[T1],$D$3)</f>
        <v>0</v>
      </c>
      <c r="AJ124" s="198">
        <f>COUNTIFS(tbl_data[12. Consultation Group of],$D$2,tbl_data[2:T1A],$A124,tbl_data[T1],$D$3)</f>
        <v>0</v>
      </c>
      <c r="AK124" s="198">
        <f>COUNTIFS(tbl_data[12. Consultation Group of],$D$2,tbl_data[3:T1A],$A124,tbl_data[T1],$D$3)</f>
        <v>0</v>
      </c>
      <c r="AL124" s="198">
        <f>COUNTIFS(tbl_data[12. Consultation Group of],$D$2,tbl_data[1:T2A],$A124,tbl_data[T2],$D$3)</f>
        <v>0</v>
      </c>
      <c r="AM124" s="198">
        <f>COUNTIFS(tbl_data[12. Consultation Group of],$D$2,tbl_data[2:T2A],$A124,tbl_data[T2],$D$3)</f>
        <v>0</v>
      </c>
      <c r="AN124" s="198">
        <f>COUNTIFS(tbl_data[12. Consultation Group of],$D$2,tbl_data[3:T2A],$A124,tbl_data[T2],$D$3)</f>
        <v>0</v>
      </c>
      <c r="AO124" s="198">
        <f>COUNTIFS(tbl_data[12. Consultation Group of],$D$2,tbl_data[1:T3A],$A124,tbl_data[T3],$D$3)</f>
        <v>0</v>
      </c>
      <c r="AP124" s="198">
        <f>COUNTIFS(tbl_data[12. Consultation Group of],$D$2,tbl_data[2:T3A],$A124,tbl_data[T3],$D$3)</f>
        <v>0</v>
      </c>
      <c r="AQ124" s="198">
        <f>COUNTIFS(tbl_data[12. Consultation Group of],$D$2,tbl_data[3:T3A],$A124,tbl_data[T3],$D$3)</f>
        <v>0</v>
      </c>
      <c r="AR124" s="198">
        <f t="shared" si="34"/>
        <v>0</v>
      </c>
      <c r="AS124" s="199" t="str">
        <f t="shared" si="35"/>
        <v>Raising Homes (0)</v>
      </c>
      <c r="AT124" s="205">
        <f>COUNTIFS(tbl_data[12. Consultation Group of],$E$2,tbl_data[1:T1A],$A124,tbl_data[T1],$E$3)</f>
        <v>0</v>
      </c>
      <c r="AU124" s="198">
        <f>COUNTIFS(tbl_data[12. Consultation Group of],$E$2,tbl_data[2:T1A],$A124,tbl_data[T1],$E$3)</f>
        <v>0</v>
      </c>
      <c r="AV124" s="198">
        <f>COUNTIFS(tbl_data[12. Consultation Group of],$E$2,tbl_data[3:T1A],$A124,tbl_data[T1],$E$3)</f>
        <v>0</v>
      </c>
      <c r="AW124" s="198">
        <f>COUNTIFS(tbl_data[12. Consultation Group of],$E$2,tbl_data[1:T2A],$A124,tbl_data[T2],$E$3)</f>
        <v>0</v>
      </c>
      <c r="AX124" s="198">
        <f>COUNTIFS(tbl_data[12. Consultation Group of],$E$2,tbl_data[2:T2A],$A124,tbl_data[T2],$E$3)</f>
        <v>0</v>
      </c>
      <c r="AY124" s="198">
        <f>COUNTIFS(tbl_data[12. Consultation Group of],$E$2,tbl_data[3:T2A],$A124,tbl_data[T2],$E$3)</f>
        <v>0</v>
      </c>
      <c r="AZ124" s="198">
        <f>COUNTIFS(tbl_data[12. Consultation Group of],$E$2,tbl_data[1:T3A],$A124,tbl_data[T3],$E$3)</f>
        <v>0</v>
      </c>
      <c r="BA124" s="198">
        <f>COUNTIFS(tbl_data[12. Consultation Group of],$E$2,tbl_data[2:T3A],$A124,tbl_data[T3],$E$3)</f>
        <v>0</v>
      </c>
      <c r="BB124" s="198">
        <f>COUNTIFS(tbl_data[12. Consultation Group of],$E$2,tbl_data[3:T3A],$A124,tbl_data[T3],$E$3)</f>
        <v>0</v>
      </c>
      <c r="BC124" s="198">
        <f t="shared" si="36"/>
        <v>0</v>
      </c>
      <c r="BD124" s="199" t="str">
        <f t="shared" si="37"/>
        <v>Raising Homes (0)</v>
      </c>
      <c r="BE124" s="205">
        <f>COUNTIFS(tbl_data[1:T1A],$A124,tbl_data[T1],$F$3)</f>
        <v>0</v>
      </c>
      <c r="BF124" s="198">
        <f>COUNTIFS(tbl_data[2:T1A],$A124,tbl_data[T1],$F$3)</f>
        <v>0</v>
      </c>
      <c r="BG124" s="198">
        <f>COUNTIFS(tbl_data[3:T1A],$A124,tbl_data[T1],$F$3)</f>
        <v>1</v>
      </c>
      <c r="BH124" s="198">
        <f>COUNTIFS(tbl_data[1:T2A],$A124,tbl_data[T2],$F$3)</f>
        <v>0</v>
      </c>
      <c r="BI124" s="198">
        <f>COUNTIFS(tbl_data[2:T2A],$A124,tbl_data[T2],$F$3)</f>
        <v>0</v>
      </c>
      <c r="BJ124" s="198">
        <f>COUNTIFS(tbl_data[3:T2A],$A124,tbl_data[T2],$F$3)</f>
        <v>0</v>
      </c>
      <c r="BK124" s="198">
        <f>COUNTIFS(tbl_data[1:T3A],$A124,tbl_data[T3],$F$3)</f>
        <v>0</v>
      </c>
      <c r="BL124" s="198">
        <f>COUNTIFS(tbl_data[2:T3A],$A124,tbl_data[T3],$F$3)</f>
        <v>0</v>
      </c>
      <c r="BM124" s="198">
        <f>COUNTIFS(tbl_data[3:T3A],$A124,tbl_data[T3],$F$3)</f>
        <v>0</v>
      </c>
      <c r="BN124" s="198">
        <f t="shared" si="38"/>
        <v>1</v>
      </c>
      <c r="BO124" s="199" t="str">
        <f t="shared" si="39"/>
        <v>Raising Homes (1)</v>
      </c>
      <c r="BQ124" t="str">
        <f t="shared" si="40"/>
        <v>Raising Homes</v>
      </c>
      <c r="BR124">
        <f t="shared" si="41"/>
        <v>1</v>
      </c>
      <c r="BS124" t="s">
        <v>927</v>
      </c>
      <c r="BT124" t="s">
        <v>927</v>
      </c>
      <c r="BU124" s="275" t="s">
        <v>940</v>
      </c>
      <c r="BV124" t="s">
        <v>941</v>
      </c>
    </row>
    <row r="125" spans="1:74" x14ac:dyDescent="0.25">
      <c r="A125" s="215" t="s">
        <v>239</v>
      </c>
      <c r="B125" s="205">
        <f>COUNTIFS(tbl_data[12. Consultation Group of],$A$2,tbl_data[1:T1A],$A125,tbl_data[T1],$A$3)</f>
        <v>0</v>
      </c>
      <c r="C125" s="198">
        <f>COUNTIFS(tbl_data[12. Consultation Group of],$A$2,tbl_data[2:T1A],$A125,tbl_data[T1],$A$3)</f>
        <v>0</v>
      </c>
      <c r="D125" s="198">
        <f>COUNTIFS(tbl_data[12. Consultation Group of],$A$2,tbl_data[3:T1A],$A125,tbl_data[T1],$A$3)</f>
        <v>0</v>
      </c>
      <c r="E125" s="198">
        <f>COUNTIFS(tbl_data[12. Consultation Group of],$A$2,tbl_data[1:T2A],$A125,tbl_data[T2],$A$3)</f>
        <v>0</v>
      </c>
      <c r="F125" s="198">
        <f>COUNTIFS(tbl_data[12. Consultation Group of],$A$2,tbl_data[2:T2A],$A125,tbl_data[T2],$A$3)</f>
        <v>0</v>
      </c>
      <c r="G125" s="198">
        <f>COUNTIFS(tbl_data[12. Consultation Group of],$A$2,tbl_data[3:T2A],$A125,tbl_data[T2],$A$3)</f>
        <v>0</v>
      </c>
      <c r="H125" s="198">
        <f>COUNTIFS(tbl_data[12. Consultation Group of],$A$2,tbl_data[1:T3A],$A125,tbl_data[T3],$A$3)</f>
        <v>0</v>
      </c>
      <c r="I125" s="198">
        <f>COUNTIFS(tbl_data[12. Consultation Group of],$A$2,tbl_data[2:T3A],$A125,tbl_data[T3],$A$3)</f>
        <v>0</v>
      </c>
      <c r="J125" s="198">
        <f>COUNTIFS(tbl_data[12. Consultation Group of],$A$2,tbl_data[3:T3A],$A125,tbl_data[T3],$A$3)</f>
        <v>0</v>
      </c>
      <c r="K125" s="198">
        <f t="shared" si="28"/>
        <v>0</v>
      </c>
      <c r="L125" s="199" t="str">
        <f t="shared" si="29"/>
        <v>Risk Assessment (0)</v>
      </c>
      <c r="M125" s="205">
        <f>COUNTIFS(tbl_data[12. Consultation Group of],$B$2,tbl_data[1:T1A],$A125,tbl_data[T1],$B$3)</f>
        <v>0</v>
      </c>
      <c r="N125" s="198">
        <f>COUNTIFS(tbl_data[12. Consultation Group of],$B$2,tbl_data[2:T1A],$A125,tbl_data[T1],$B$3)</f>
        <v>0</v>
      </c>
      <c r="O125" s="198">
        <f>COUNTIFS(tbl_data[12. Consultation Group of],$B$2,tbl_data[3:T1A],$A125,tbl_data[T1],$B$3)</f>
        <v>0</v>
      </c>
      <c r="P125" s="198">
        <f>COUNTIFS(tbl_data[12. Consultation Group of],$B$2,tbl_data[1:T2A],$A125,tbl_data[T2],$B$3)</f>
        <v>0</v>
      </c>
      <c r="Q125" s="198">
        <f>COUNTIFS(tbl_data[12. Consultation Group of],$B$2,tbl_data[2:T2A],$A125,tbl_data[T2],$B$3)</f>
        <v>0</v>
      </c>
      <c r="R125" s="198">
        <f>COUNTIFS(tbl_data[12. Consultation Group of],$B$2,tbl_data[3:T2A],$A125,tbl_data[T2],$B$3)</f>
        <v>0</v>
      </c>
      <c r="S125" s="198">
        <f>COUNTIFS(tbl_data[12. Consultation Group of],$B$2,tbl_data[1:T3A],$A125,tbl_data[T3],$B$3)</f>
        <v>0</v>
      </c>
      <c r="T125" s="198">
        <f>COUNTIFS(tbl_data[12. Consultation Group of],$B$2,tbl_data[2:T3A],$A125,tbl_data[T3],$B$3)</f>
        <v>0</v>
      </c>
      <c r="U125" s="198">
        <f>COUNTIFS(tbl_data[12. Consultation Group of],$B$2,tbl_data[3:T3A],$A125,tbl_data[T3],$B$3)</f>
        <v>0</v>
      </c>
      <c r="V125" s="198">
        <f t="shared" si="30"/>
        <v>0</v>
      </c>
      <c r="W125" s="199" t="str">
        <f t="shared" si="31"/>
        <v>Risk Assessment (0)</v>
      </c>
      <c r="X125" s="205">
        <f>COUNTIFS(tbl_data[12. Consultation Group of],$C$2,tbl_data[1:T1A],$A125,tbl_data[T1],$C$3)</f>
        <v>0</v>
      </c>
      <c r="Y125" s="198">
        <f>COUNTIFS(tbl_data[12. Consultation Group of],$C$2,tbl_data[2:T1A],$A125,tbl_data[T1],$C$3)</f>
        <v>0</v>
      </c>
      <c r="Z125" s="198">
        <f>COUNTIFS(tbl_data[12. Consultation Group of],$C$2,tbl_data[3:T1A],$A125,tbl_data[T1],$C$3)</f>
        <v>0</v>
      </c>
      <c r="AA125" s="198">
        <f>COUNTIFS(tbl_data[12. Consultation Group of],$C$2,tbl_data[1:T2A],$A125,tbl_data[T2],$C$3)</f>
        <v>0</v>
      </c>
      <c r="AB125" s="198">
        <f>COUNTIFS(tbl_data[12. Consultation Group of],$C$2,tbl_data[2:T2A],$A125,tbl_data[T2],$C$3)</f>
        <v>0</v>
      </c>
      <c r="AC125" s="198">
        <f>COUNTIFS(tbl_data[12. Consultation Group of],$C$2,tbl_data[3:T2A],$A125,tbl_data[T2],$C$3)</f>
        <v>0</v>
      </c>
      <c r="AD125" s="198">
        <f>COUNTIFS(tbl_data[12. Consultation Group of],$C$2,tbl_data[1:T3A],$A125,tbl_data[T3],$C$3)</f>
        <v>0</v>
      </c>
      <c r="AE125" s="198">
        <f>COUNTIFS(tbl_data[12. Consultation Group of],$C$2,tbl_data[2:T3A],$A125,tbl_data[T3],$C$3)</f>
        <v>0</v>
      </c>
      <c r="AF125" s="198">
        <f>COUNTIFS(tbl_data[12. Consultation Group of],$C$2,tbl_data[3:T3A],$A125,tbl_data[T3],$C$3)</f>
        <v>0</v>
      </c>
      <c r="AG125" s="198">
        <f t="shared" si="32"/>
        <v>0</v>
      </c>
      <c r="AH125" s="199" t="str">
        <f t="shared" si="33"/>
        <v>Risk Assessment (0)</v>
      </c>
      <c r="AI125" s="205">
        <f>COUNTIFS(tbl_data[12. Consultation Group of],$D$2,tbl_data[1:T1A],$A125,tbl_data[T1],$D$3)</f>
        <v>0</v>
      </c>
      <c r="AJ125" s="198">
        <f>COUNTIFS(tbl_data[12. Consultation Group of],$D$2,tbl_data[2:T1A],$A125,tbl_data[T1],$D$3)</f>
        <v>0</v>
      </c>
      <c r="AK125" s="198">
        <f>COUNTIFS(tbl_data[12. Consultation Group of],$D$2,tbl_data[3:T1A],$A125,tbl_data[T1],$D$3)</f>
        <v>0</v>
      </c>
      <c r="AL125" s="198">
        <f>COUNTIFS(tbl_data[12. Consultation Group of],$D$2,tbl_data[1:T2A],$A125,tbl_data[T2],$D$3)</f>
        <v>0</v>
      </c>
      <c r="AM125" s="198">
        <f>COUNTIFS(tbl_data[12. Consultation Group of],$D$2,tbl_data[2:T2A],$A125,tbl_data[T2],$D$3)</f>
        <v>0</v>
      </c>
      <c r="AN125" s="198">
        <f>COUNTIFS(tbl_data[12. Consultation Group of],$D$2,tbl_data[3:T2A],$A125,tbl_data[T2],$D$3)</f>
        <v>0</v>
      </c>
      <c r="AO125" s="198">
        <f>COUNTIFS(tbl_data[12. Consultation Group of],$D$2,tbl_data[1:T3A],$A125,tbl_data[T3],$D$3)</f>
        <v>0</v>
      </c>
      <c r="AP125" s="198">
        <f>COUNTIFS(tbl_data[12. Consultation Group of],$D$2,tbl_data[2:T3A],$A125,tbl_data[T3],$D$3)</f>
        <v>0</v>
      </c>
      <c r="AQ125" s="198">
        <f>COUNTIFS(tbl_data[12. Consultation Group of],$D$2,tbl_data[3:T3A],$A125,tbl_data[T3],$D$3)</f>
        <v>0</v>
      </c>
      <c r="AR125" s="198">
        <f t="shared" si="34"/>
        <v>0</v>
      </c>
      <c r="AS125" s="199" t="str">
        <f t="shared" si="35"/>
        <v>Risk Assessment (0)</v>
      </c>
      <c r="AT125" s="205">
        <f>COUNTIFS(tbl_data[12. Consultation Group of],$E$2,tbl_data[1:T1A],$A125,tbl_data[T1],$E$3)</f>
        <v>0</v>
      </c>
      <c r="AU125" s="198">
        <f>COUNTIFS(tbl_data[12. Consultation Group of],$E$2,tbl_data[2:T1A],$A125,tbl_data[T1],$E$3)</f>
        <v>0</v>
      </c>
      <c r="AV125" s="198">
        <f>COUNTIFS(tbl_data[12. Consultation Group of],$E$2,tbl_data[3:T1A],$A125,tbl_data[T1],$E$3)</f>
        <v>0</v>
      </c>
      <c r="AW125" s="198">
        <f>COUNTIFS(tbl_data[12. Consultation Group of],$E$2,tbl_data[1:T2A],$A125,tbl_data[T2],$E$3)</f>
        <v>0</v>
      </c>
      <c r="AX125" s="198">
        <f>COUNTIFS(tbl_data[12. Consultation Group of],$E$2,tbl_data[2:T2A],$A125,tbl_data[T2],$E$3)</f>
        <v>0</v>
      </c>
      <c r="AY125" s="198">
        <f>COUNTIFS(tbl_data[12. Consultation Group of],$E$2,tbl_data[3:T2A],$A125,tbl_data[T2],$E$3)</f>
        <v>0</v>
      </c>
      <c r="AZ125" s="198">
        <f>COUNTIFS(tbl_data[12. Consultation Group of],$E$2,tbl_data[1:T3A],$A125,tbl_data[T3],$E$3)</f>
        <v>0</v>
      </c>
      <c r="BA125" s="198">
        <f>COUNTIFS(tbl_data[12. Consultation Group of],$E$2,tbl_data[2:T3A],$A125,tbl_data[T3],$E$3)</f>
        <v>0</v>
      </c>
      <c r="BB125" s="198">
        <f>COUNTIFS(tbl_data[12. Consultation Group of],$E$2,tbl_data[3:T3A],$A125,tbl_data[T3],$E$3)</f>
        <v>0</v>
      </c>
      <c r="BC125" s="198">
        <f t="shared" si="36"/>
        <v>0</v>
      </c>
      <c r="BD125" s="199" t="str">
        <f t="shared" si="37"/>
        <v>Risk Assessment (0)</v>
      </c>
      <c r="BE125" s="205">
        <f>COUNTIFS(tbl_data[1:T1A],$A125,tbl_data[T1],$F$3)</f>
        <v>0</v>
      </c>
      <c r="BF125" s="198">
        <f>COUNTIFS(tbl_data[2:T1A],$A125,tbl_data[T1],$F$3)</f>
        <v>0</v>
      </c>
      <c r="BG125" s="198">
        <f>COUNTIFS(tbl_data[3:T1A],$A125,tbl_data[T1],$F$3)</f>
        <v>0</v>
      </c>
      <c r="BH125" s="198">
        <f>COUNTIFS(tbl_data[1:T2A],$A125,tbl_data[T2],$F$3)</f>
        <v>0</v>
      </c>
      <c r="BI125" s="198">
        <f>COUNTIFS(tbl_data[2:T2A],$A125,tbl_data[T2],$F$3)</f>
        <v>0</v>
      </c>
      <c r="BJ125" s="198">
        <f>COUNTIFS(tbl_data[3:T2A],$A125,tbl_data[T2],$F$3)</f>
        <v>0</v>
      </c>
      <c r="BK125" s="198">
        <f>COUNTIFS(tbl_data[1:T3A],$A125,tbl_data[T3],$F$3)</f>
        <v>0</v>
      </c>
      <c r="BL125" s="198">
        <f>COUNTIFS(tbl_data[2:T3A],$A125,tbl_data[T3],$F$3)</f>
        <v>0</v>
      </c>
      <c r="BM125" s="198">
        <f>COUNTIFS(tbl_data[3:T3A],$A125,tbl_data[T3],$F$3)</f>
        <v>0</v>
      </c>
      <c r="BN125" s="198">
        <f t="shared" si="38"/>
        <v>0</v>
      </c>
      <c r="BO125" s="199" t="str">
        <f t="shared" si="39"/>
        <v>Risk Assessment (0)</v>
      </c>
      <c r="BQ125" t="str">
        <f t="shared" si="40"/>
        <v>Risk Assessment</v>
      </c>
      <c r="BR125">
        <f t="shared" si="41"/>
        <v>0</v>
      </c>
      <c r="BT125" t="s">
        <v>928</v>
      </c>
      <c r="BU125" s="94"/>
      <c r="BV125" t="s">
        <v>937</v>
      </c>
    </row>
    <row r="126" spans="1:74" x14ac:dyDescent="0.25">
      <c r="A126" s="215" t="s">
        <v>205</v>
      </c>
      <c r="B126" s="205">
        <f>COUNTIFS(tbl_data[12. Consultation Group of],$A$2,tbl_data[1:T1A],$A126,tbl_data[T1],$A$3)</f>
        <v>0</v>
      </c>
      <c r="C126" s="198">
        <f>COUNTIFS(tbl_data[12. Consultation Group of],$A$2,tbl_data[2:T1A],$A126,tbl_data[T1],$A$3)</f>
        <v>0</v>
      </c>
      <c r="D126" s="198">
        <f>COUNTIFS(tbl_data[12. Consultation Group of],$A$2,tbl_data[3:T1A],$A126,tbl_data[T1],$A$3)</f>
        <v>0</v>
      </c>
      <c r="E126" s="198">
        <f>COUNTIFS(tbl_data[12. Consultation Group of],$A$2,tbl_data[1:T2A],$A126,tbl_data[T2],$A$3)</f>
        <v>0</v>
      </c>
      <c r="F126" s="198">
        <f>COUNTIFS(tbl_data[12. Consultation Group of],$A$2,tbl_data[2:T2A],$A126,tbl_data[T2],$A$3)</f>
        <v>0</v>
      </c>
      <c r="G126" s="198">
        <f>COUNTIFS(tbl_data[12. Consultation Group of],$A$2,tbl_data[3:T2A],$A126,tbl_data[T2],$A$3)</f>
        <v>0</v>
      </c>
      <c r="H126" s="198">
        <f>COUNTIFS(tbl_data[12. Consultation Group of],$A$2,tbl_data[1:T3A],$A126,tbl_data[T3],$A$3)</f>
        <v>0</v>
      </c>
      <c r="I126" s="198">
        <f>COUNTIFS(tbl_data[12. Consultation Group of],$A$2,tbl_data[2:T3A],$A126,tbl_data[T3],$A$3)</f>
        <v>0</v>
      </c>
      <c r="J126" s="198">
        <f>COUNTIFS(tbl_data[12. Consultation Group of],$A$2,tbl_data[3:T3A],$A126,tbl_data[T3],$A$3)</f>
        <v>0</v>
      </c>
      <c r="K126" s="198">
        <f t="shared" si="28"/>
        <v>0</v>
      </c>
      <c r="L126" s="199" t="str">
        <f t="shared" si="29"/>
        <v>Actions For Poverty Reduction And Employment (0)</v>
      </c>
      <c r="M126" s="205">
        <f>COUNTIFS(tbl_data[12. Consultation Group of],$B$2,tbl_data[1:T1A],$A126,tbl_data[T1],$B$3)</f>
        <v>1</v>
      </c>
      <c r="N126" s="198">
        <f>COUNTIFS(tbl_data[12. Consultation Group of],$B$2,tbl_data[2:T1A],$A126,tbl_data[T1],$B$3)</f>
        <v>0</v>
      </c>
      <c r="O126" s="198">
        <f>COUNTIFS(tbl_data[12. Consultation Group of],$B$2,tbl_data[3:T1A],$A126,tbl_data[T1],$B$3)</f>
        <v>0</v>
      </c>
      <c r="P126" s="198">
        <f>COUNTIFS(tbl_data[12. Consultation Group of],$B$2,tbl_data[1:T2A],$A126,tbl_data[T2],$B$3)</f>
        <v>0</v>
      </c>
      <c r="Q126" s="198">
        <f>COUNTIFS(tbl_data[12. Consultation Group of],$B$2,tbl_data[2:T2A],$A126,tbl_data[T2],$B$3)</f>
        <v>0</v>
      </c>
      <c r="R126" s="198">
        <f>COUNTIFS(tbl_data[12. Consultation Group of],$B$2,tbl_data[3:T2A],$A126,tbl_data[T2],$B$3)</f>
        <v>0</v>
      </c>
      <c r="S126" s="198">
        <f>COUNTIFS(tbl_data[12. Consultation Group of],$B$2,tbl_data[1:T3A],$A126,tbl_data[T3],$B$3)</f>
        <v>0</v>
      </c>
      <c r="T126" s="198">
        <f>COUNTIFS(tbl_data[12. Consultation Group of],$B$2,tbl_data[2:T3A],$A126,tbl_data[T3],$B$3)</f>
        <v>0</v>
      </c>
      <c r="U126" s="198">
        <f>COUNTIFS(tbl_data[12. Consultation Group of],$B$2,tbl_data[3:T3A],$A126,tbl_data[T3],$B$3)</f>
        <v>0</v>
      </c>
      <c r="V126" s="198">
        <f t="shared" si="30"/>
        <v>1</v>
      </c>
      <c r="W126" s="199" t="str">
        <f t="shared" si="31"/>
        <v>Actions For Poverty Reduction And Employment (1)</v>
      </c>
      <c r="X126" s="205">
        <f>COUNTIFS(tbl_data[12. Consultation Group of],$C$2,tbl_data[1:T1A],$A126,tbl_data[T1],$C$3)</f>
        <v>0</v>
      </c>
      <c r="Y126" s="198">
        <f>COUNTIFS(tbl_data[12. Consultation Group of],$C$2,tbl_data[2:T1A],$A126,tbl_data[T1],$C$3)</f>
        <v>0</v>
      </c>
      <c r="Z126" s="198">
        <f>COUNTIFS(tbl_data[12. Consultation Group of],$C$2,tbl_data[3:T1A],$A126,tbl_data[T1],$C$3)</f>
        <v>0</v>
      </c>
      <c r="AA126" s="198">
        <f>COUNTIFS(tbl_data[12. Consultation Group of],$C$2,tbl_data[1:T2A],$A126,tbl_data[T2],$C$3)</f>
        <v>0</v>
      </c>
      <c r="AB126" s="198">
        <f>COUNTIFS(tbl_data[12. Consultation Group of],$C$2,tbl_data[2:T2A],$A126,tbl_data[T2],$C$3)</f>
        <v>0</v>
      </c>
      <c r="AC126" s="198">
        <f>COUNTIFS(tbl_data[12. Consultation Group of],$C$2,tbl_data[3:T2A],$A126,tbl_data[T2],$C$3)</f>
        <v>0</v>
      </c>
      <c r="AD126" s="198">
        <f>COUNTIFS(tbl_data[12. Consultation Group of],$C$2,tbl_data[1:T3A],$A126,tbl_data[T3],$C$3)</f>
        <v>0</v>
      </c>
      <c r="AE126" s="198">
        <f>COUNTIFS(tbl_data[12. Consultation Group of],$C$2,tbl_data[2:T3A],$A126,tbl_data[T3],$C$3)</f>
        <v>0</v>
      </c>
      <c r="AF126" s="198">
        <f>COUNTIFS(tbl_data[12. Consultation Group of],$C$2,tbl_data[3:T3A],$A126,tbl_data[T3],$C$3)</f>
        <v>0</v>
      </c>
      <c r="AG126" s="198">
        <f t="shared" si="32"/>
        <v>0</v>
      </c>
      <c r="AH126" s="199" t="str">
        <f t="shared" si="33"/>
        <v>Actions For Poverty Reduction And Employment (0)</v>
      </c>
      <c r="AI126" s="205">
        <f>COUNTIFS(tbl_data[12. Consultation Group of],$D$2,tbl_data[1:T1A],$A126,tbl_data[T1],$D$3)</f>
        <v>0</v>
      </c>
      <c r="AJ126" s="198">
        <f>COUNTIFS(tbl_data[12. Consultation Group of],$D$2,tbl_data[2:T1A],$A126,tbl_data[T1],$D$3)</f>
        <v>0</v>
      </c>
      <c r="AK126" s="198">
        <f>COUNTIFS(tbl_data[12. Consultation Group of],$D$2,tbl_data[3:T1A],$A126,tbl_data[T1],$D$3)</f>
        <v>0</v>
      </c>
      <c r="AL126" s="198">
        <f>COUNTIFS(tbl_data[12. Consultation Group of],$D$2,tbl_data[1:T2A],$A126,tbl_data[T2],$D$3)</f>
        <v>0</v>
      </c>
      <c r="AM126" s="198">
        <f>COUNTIFS(tbl_data[12. Consultation Group of],$D$2,tbl_data[2:T2A],$A126,tbl_data[T2],$D$3)</f>
        <v>0</v>
      </c>
      <c r="AN126" s="198">
        <f>COUNTIFS(tbl_data[12. Consultation Group of],$D$2,tbl_data[3:T2A],$A126,tbl_data[T2],$D$3)</f>
        <v>0</v>
      </c>
      <c r="AO126" s="198">
        <f>COUNTIFS(tbl_data[12. Consultation Group of],$D$2,tbl_data[1:T3A],$A126,tbl_data[T3],$D$3)</f>
        <v>0</v>
      </c>
      <c r="AP126" s="198">
        <f>COUNTIFS(tbl_data[12. Consultation Group of],$D$2,tbl_data[2:T3A],$A126,tbl_data[T3],$D$3)</f>
        <v>0</v>
      </c>
      <c r="AQ126" s="198">
        <f>COUNTIFS(tbl_data[12. Consultation Group of],$D$2,tbl_data[3:T3A],$A126,tbl_data[T3],$D$3)</f>
        <v>0</v>
      </c>
      <c r="AR126" s="198">
        <f t="shared" si="34"/>
        <v>0</v>
      </c>
      <c r="AS126" s="199" t="str">
        <f t="shared" si="35"/>
        <v>Actions For Poverty Reduction And Employment (0)</v>
      </c>
      <c r="AT126" s="205">
        <f>COUNTIFS(tbl_data[12. Consultation Group of],$E$2,tbl_data[1:T1A],$A126,tbl_data[T1],$E$3)</f>
        <v>0</v>
      </c>
      <c r="AU126" s="198">
        <f>COUNTIFS(tbl_data[12. Consultation Group of],$E$2,tbl_data[2:T1A],$A126,tbl_data[T1],$E$3)</f>
        <v>0</v>
      </c>
      <c r="AV126" s="198">
        <f>COUNTIFS(tbl_data[12. Consultation Group of],$E$2,tbl_data[3:T1A],$A126,tbl_data[T1],$E$3)</f>
        <v>0</v>
      </c>
      <c r="AW126" s="198">
        <f>COUNTIFS(tbl_data[12. Consultation Group of],$E$2,tbl_data[1:T2A],$A126,tbl_data[T2],$E$3)</f>
        <v>0</v>
      </c>
      <c r="AX126" s="198">
        <f>COUNTIFS(tbl_data[12. Consultation Group of],$E$2,tbl_data[2:T2A],$A126,tbl_data[T2],$E$3)</f>
        <v>0</v>
      </c>
      <c r="AY126" s="198">
        <f>COUNTIFS(tbl_data[12. Consultation Group of],$E$2,tbl_data[3:T2A],$A126,tbl_data[T2],$E$3)</f>
        <v>0</v>
      </c>
      <c r="AZ126" s="198">
        <f>COUNTIFS(tbl_data[12. Consultation Group of],$E$2,tbl_data[1:T3A],$A126,tbl_data[T3],$E$3)</f>
        <v>0</v>
      </c>
      <c r="BA126" s="198">
        <f>COUNTIFS(tbl_data[12. Consultation Group of],$E$2,tbl_data[2:T3A],$A126,tbl_data[T3],$E$3)</f>
        <v>0</v>
      </c>
      <c r="BB126" s="198">
        <f>COUNTIFS(tbl_data[12. Consultation Group of],$E$2,tbl_data[3:T3A],$A126,tbl_data[T3],$E$3)</f>
        <v>0</v>
      </c>
      <c r="BC126" s="198">
        <f t="shared" si="36"/>
        <v>0</v>
      </c>
      <c r="BD126" s="199" t="str">
        <f t="shared" si="37"/>
        <v>Actions For Poverty Reduction And Employment (0)</v>
      </c>
      <c r="BE126" s="205">
        <f>COUNTIFS(tbl_data[1:T1A],$A126,tbl_data[T1],$F$3)</f>
        <v>0</v>
      </c>
      <c r="BF126" s="198">
        <f>COUNTIFS(tbl_data[2:T1A],$A126,tbl_data[T1],$F$3)</f>
        <v>0</v>
      </c>
      <c r="BG126" s="198">
        <f>COUNTIFS(tbl_data[3:T1A],$A126,tbl_data[T1],$F$3)</f>
        <v>0</v>
      </c>
      <c r="BH126" s="198">
        <f>COUNTIFS(tbl_data[1:T2A],$A126,tbl_data[T2],$F$3)</f>
        <v>0</v>
      </c>
      <c r="BI126" s="198">
        <f>COUNTIFS(tbl_data[2:T2A],$A126,tbl_data[T2],$F$3)</f>
        <v>0</v>
      </c>
      <c r="BJ126" s="198">
        <f>COUNTIFS(tbl_data[3:T2A],$A126,tbl_data[T2],$F$3)</f>
        <v>0</v>
      </c>
      <c r="BK126" s="198">
        <f>COUNTIFS(tbl_data[1:T3A],$A126,tbl_data[T3],$F$3)</f>
        <v>0</v>
      </c>
      <c r="BL126" s="198">
        <f>COUNTIFS(tbl_data[2:T3A],$A126,tbl_data[T3],$F$3)</f>
        <v>0</v>
      </c>
      <c r="BM126" s="198">
        <f>COUNTIFS(tbl_data[3:T3A],$A126,tbl_data[T3],$F$3)</f>
        <v>0</v>
      </c>
      <c r="BN126" s="198">
        <f t="shared" si="38"/>
        <v>0</v>
      </c>
      <c r="BO126" s="199" t="str">
        <f t="shared" si="39"/>
        <v>Actions For Poverty Reduction And Employment (0)</v>
      </c>
      <c r="BQ126" t="str">
        <f t="shared" si="40"/>
        <v>Actions For Poverty Reduction And Employment</v>
      </c>
      <c r="BR126">
        <f t="shared" si="41"/>
        <v>1</v>
      </c>
      <c r="BS126" t="s">
        <v>944</v>
      </c>
      <c r="BT126" t="s">
        <v>928</v>
      </c>
      <c r="BU126" s="274" t="s">
        <v>938</v>
      </c>
    </row>
    <row r="127" spans="1:74" x14ac:dyDescent="0.25">
      <c r="A127" s="215" t="s">
        <v>342</v>
      </c>
      <c r="B127" s="205">
        <f>COUNTIFS(tbl_data[12. Consultation Group of],$A$2,tbl_data[1:T1A],$A127,tbl_data[T1],$A$3)</f>
        <v>0</v>
      </c>
      <c r="C127" s="198">
        <f>COUNTIFS(tbl_data[12. Consultation Group of],$A$2,tbl_data[2:T1A],$A127,tbl_data[T1],$A$3)</f>
        <v>1</v>
      </c>
      <c r="D127" s="198">
        <f>COUNTIFS(tbl_data[12. Consultation Group of],$A$2,tbl_data[3:T1A],$A127,tbl_data[T1],$A$3)</f>
        <v>1</v>
      </c>
      <c r="E127" s="198">
        <f>COUNTIFS(tbl_data[12. Consultation Group of],$A$2,tbl_data[1:T2A],$A127,tbl_data[T2],$A$3)</f>
        <v>0</v>
      </c>
      <c r="F127" s="198">
        <f>COUNTIFS(tbl_data[12. Consultation Group of],$A$2,tbl_data[2:T2A],$A127,tbl_data[T2],$A$3)</f>
        <v>0</v>
      </c>
      <c r="G127" s="198">
        <f>COUNTIFS(tbl_data[12. Consultation Group of],$A$2,tbl_data[3:T2A],$A127,tbl_data[T2],$A$3)</f>
        <v>0</v>
      </c>
      <c r="H127" s="198">
        <f>COUNTIFS(tbl_data[12. Consultation Group of],$A$2,tbl_data[1:T3A],$A127,tbl_data[T3],$A$3)</f>
        <v>0</v>
      </c>
      <c r="I127" s="198">
        <f>COUNTIFS(tbl_data[12. Consultation Group of],$A$2,tbl_data[2:T3A],$A127,tbl_data[T3],$A$3)</f>
        <v>0</v>
      </c>
      <c r="J127" s="198">
        <f>COUNTIFS(tbl_data[12. Consultation Group of],$A$2,tbl_data[3:T3A],$A127,tbl_data[T3],$A$3)</f>
        <v>0</v>
      </c>
      <c r="K127" s="198">
        <f t="shared" si="28"/>
        <v>2</v>
      </c>
      <c r="L127" s="199" t="str">
        <f t="shared" si="29"/>
        <v>Reforestation (2)</v>
      </c>
      <c r="M127" s="205">
        <f>COUNTIFS(tbl_data[12. Consultation Group of],$B$2,tbl_data[1:T1A],$A127,tbl_data[T1],$B$3)</f>
        <v>0</v>
      </c>
      <c r="N127" s="198">
        <f>COUNTIFS(tbl_data[12. Consultation Group of],$B$2,tbl_data[2:T1A],$A127,tbl_data[T1],$B$3)</f>
        <v>0</v>
      </c>
      <c r="O127" s="198">
        <f>COUNTIFS(tbl_data[12. Consultation Group of],$B$2,tbl_data[3:T1A],$A127,tbl_data[T1],$B$3)</f>
        <v>0</v>
      </c>
      <c r="P127" s="198">
        <f>COUNTIFS(tbl_data[12. Consultation Group of],$B$2,tbl_data[1:T2A],$A127,tbl_data[T2],$B$3)</f>
        <v>0</v>
      </c>
      <c r="Q127" s="198">
        <f>COUNTIFS(tbl_data[12. Consultation Group of],$B$2,tbl_data[2:T2A],$A127,tbl_data[T2],$B$3)</f>
        <v>0</v>
      </c>
      <c r="R127" s="198">
        <f>COUNTIFS(tbl_data[12. Consultation Group of],$B$2,tbl_data[3:T2A],$A127,tbl_data[T2],$B$3)</f>
        <v>0</v>
      </c>
      <c r="S127" s="198">
        <f>COUNTIFS(tbl_data[12. Consultation Group of],$B$2,tbl_data[1:T3A],$A127,tbl_data[T3],$B$3)</f>
        <v>0</v>
      </c>
      <c r="T127" s="198">
        <f>COUNTIFS(tbl_data[12. Consultation Group of],$B$2,tbl_data[2:T3A],$A127,tbl_data[T3],$B$3)</f>
        <v>0</v>
      </c>
      <c r="U127" s="198">
        <f>COUNTIFS(tbl_data[12. Consultation Group of],$B$2,tbl_data[3:T3A],$A127,tbl_data[T3],$B$3)</f>
        <v>0</v>
      </c>
      <c r="V127" s="198">
        <f t="shared" si="30"/>
        <v>0</v>
      </c>
      <c r="W127" s="199" t="str">
        <f t="shared" si="31"/>
        <v>Reforestation (0)</v>
      </c>
      <c r="X127" s="205">
        <f>COUNTIFS(tbl_data[12. Consultation Group of],$C$2,tbl_data[1:T1A],$A127,tbl_data[T1],$C$3)</f>
        <v>0</v>
      </c>
      <c r="Y127" s="198">
        <f>COUNTIFS(tbl_data[12. Consultation Group of],$C$2,tbl_data[2:T1A],$A127,tbl_data[T1],$C$3)</f>
        <v>1</v>
      </c>
      <c r="Z127" s="198">
        <f>COUNTIFS(tbl_data[12. Consultation Group of],$C$2,tbl_data[3:T1A],$A127,tbl_data[T1],$C$3)</f>
        <v>1</v>
      </c>
      <c r="AA127" s="198">
        <f>COUNTIFS(tbl_data[12. Consultation Group of],$C$2,tbl_data[1:T2A],$A127,tbl_data[T2],$C$3)</f>
        <v>0</v>
      </c>
      <c r="AB127" s="198">
        <f>COUNTIFS(tbl_data[12. Consultation Group of],$C$2,tbl_data[2:T2A],$A127,tbl_data[T2],$C$3)</f>
        <v>0</v>
      </c>
      <c r="AC127" s="198">
        <f>COUNTIFS(tbl_data[12. Consultation Group of],$C$2,tbl_data[3:T2A],$A127,tbl_data[T2],$C$3)</f>
        <v>0</v>
      </c>
      <c r="AD127" s="198">
        <f>COUNTIFS(tbl_data[12. Consultation Group of],$C$2,tbl_data[1:T3A],$A127,tbl_data[T3],$C$3)</f>
        <v>0</v>
      </c>
      <c r="AE127" s="198">
        <f>COUNTIFS(tbl_data[12. Consultation Group of],$C$2,tbl_data[2:T3A],$A127,tbl_data[T3],$C$3)</f>
        <v>0</v>
      </c>
      <c r="AF127" s="198">
        <f>COUNTIFS(tbl_data[12. Consultation Group of],$C$2,tbl_data[3:T3A],$A127,tbl_data[T3],$C$3)</f>
        <v>0</v>
      </c>
      <c r="AG127" s="198">
        <f t="shared" si="32"/>
        <v>2</v>
      </c>
      <c r="AH127" s="199" t="str">
        <f t="shared" si="33"/>
        <v>Reforestation (2)</v>
      </c>
      <c r="AI127" s="205">
        <f>COUNTIFS(tbl_data[12. Consultation Group of],$D$2,tbl_data[1:T1A],$A127,tbl_data[T1],$D$3)</f>
        <v>0</v>
      </c>
      <c r="AJ127" s="198">
        <f>COUNTIFS(tbl_data[12. Consultation Group of],$D$2,tbl_data[2:T1A],$A127,tbl_data[T1],$D$3)</f>
        <v>1</v>
      </c>
      <c r="AK127" s="198">
        <f>COUNTIFS(tbl_data[12. Consultation Group of],$D$2,tbl_data[3:T1A],$A127,tbl_data[T1],$D$3)</f>
        <v>0</v>
      </c>
      <c r="AL127" s="198">
        <f>COUNTIFS(tbl_data[12. Consultation Group of],$D$2,tbl_data[1:T2A],$A127,tbl_data[T2],$D$3)</f>
        <v>0</v>
      </c>
      <c r="AM127" s="198">
        <f>COUNTIFS(tbl_data[12. Consultation Group of],$D$2,tbl_data[2:T2A],$A127,tbl_data[T2],$D$3)</f>
        <v>0</v>
      </c>
      <c r="AN127" s="198">
        <f>COUNTIFS(tbl_data[12. Consultation Group of],$D$2,tbl_data[3:T2A],$A127,tbl_data[T2],$D$3)</f>
        <v>0</v>
      </c>
      <c r="AO127" s="198">
        <f>COUNTIFS(tbl_data[12. Consultation Group of],$D$2,tbl_data[1:T3A],$A127,tbl_data[T3],$D$3)</f>
        <v>0</v>
      </c>
      <c r="AP127" s="198">
        <f>COUNTIFS(tbl_data[12. Consultation Group of],$D$2,tbl_data[2:T3A],$A127,tbl_data[T3],$D$3)</f>
        <v>1</v>
      </c>
      <c r="AQ127" s="198">
        <f>COUNTIFS(tbl_data[12. Consultation Group of],$D$2,tbl_data[3:T3A],$A127,tbl_data[T3],$D$3)</f>
        <v>0</v>
      </c>
      <c r="AR127" s="198">
        <f t="shared" si="34"/>
        <v>2</v>
      </c>
      <c r="AS127" s="199" t="str">
        <f t="shared" si="35"/>
        <v>Reforestation (2)</v>
      </c>
      <c r="AT127" s="205">
        <f>COUNTIFS(tbl_data[12. Consultation Group of],$E$2,tbl_data[1:T1A],$A127,tbl_data[T1],$E$3)</f>
        <v>0</v>
      </c>
      <c r="AU127" s="198">
        <f>COUNTIFS(tbl_data[12. Consultation Group of],$E$2,tbl_data[2:T1A],$A127,tbl_data[T1],$E$3)</f>
        <v>0</v>
      </c>
      <c r="AV127" s="198">
        <f>COUNTIFS(tbl_data[12. Consultation Group of],$E$2,tbl_data[3:T1A],$A127,tbl_data[T1],$E$3)</f>
        <v>0</v>
      </c>
      <c r="AW127" s="198">
        <f>COUNTIFS(tbl_data[12. Consultation Group of],$E$2,tbl_data[1:T2A],$A127,tbl_data[T2],$E$3)</f>
        <v>0</v>
      </c>
      <c r="AX127" s="198">
        <f>COUNTIFS(tbl_data[12. Consultation Group of],$E$2,tbl_data[2:T2A],$A127,tbl_data[T2],$E$3)</f>
        <v>0</v>
      </c>
      <c r="AY127" s="198">
        <f>COUNTIFS(tbl_data[12. Consultation Group of],$E$2,tbl_data[3:T2A],$A127,tbl_data[T2],$E$3)</f>
        <v>0</v>
      </c>
      <c r="AZ127" s="198">
        <f>COUNTIFS(tbl_data[12. Consultation Group of],$E$2,tbl_data[1:T3A],$A127,tbl_data[T3],$E$3)</f>
        <v>0</v>
      </c>
      <c r="BA127" s="198">
        <f>COUNTIFS(tbl_data[12. Consultation Group of],$E$2,tbl_data[2:T3A],$A127,tbl_data[T3],$E$3)</f>
        <v>0</v>
      </c>
      <c r="BB127" s="198">
        <f>COUNTIFS(tbl_data[12. Consultation Group of],$E$2,tbl_data[3:T3A],$A127,tbl_data[T3],$E$3)</f>
        <v>0</v>
      </c>
      <c r="BC127" s="198">
        <f t="shared" si="36"/>
        <v>0</v>
      </c>
      <c r="BD127" s="199" t="str">
        <f t="shared" si="37"/>
        <v>Reforestation (0)</v>
      </c>
      <c r="BE127" s="205">
        <f>COUNTIFS(tbl_data[1:T1A],$A127,tbl_data[T1],$F$3)</f>
        <v>0</v>
      </c>
      <c r="BF127" s="198">
        <f>COUNTIFS(tbl_data[2:T1A],$A127,tbl_data[T1],$F$3)</f>
        <v>2</v>
      </c>
      <c r="BG127" s="198">
        <f>COUNTIFS(tbl_data[3:T1A],$A127,tbl_data[T1],$F$3)</f>
        <v>4</v>
      </c>
      <c r="BH127" s="198">
        <f>COUNTIFS(tbl_data[1:T2A],$A127,tbl_data[T2],$F$3)</f>
        <v>0</v>
      </c>
      <c r="BI127" s="198">
        <f>COUNTIFS(tbl_data[2:T2A],$A127,tbl_data[T2],$F$3)</f>
        <v>1</v>
      </c>
      <c r="BJ127" s="198">
        <f>COUNTIFS(tbl_data[3:T2A],$A127,tbl_data[T2],$F$3)</f>
        <v>0</v>
      </c>
      <c r="BK127" s="198">
        <f>COUNTIFS(tbl_data[1:T3A],$A127,tbl_data[T3],$F$3)</f>
        <v>0</v>
      </c>
      <c r="BL127" s="198">
        <f>COUNTIFS(tbl_data[2:T3A],$A127,tbl_data[T3],$F$3)</f>
        <v>1</v>
      </c>
      <c r="BM127" s="198">
        <f>COUNTIFS(tbl_data[3:T3A],$A127,tbl_data[T3],$F$3)</f>
        <v>0</v>
      </c>
      <c r="BN127" s="198">
        <f t="shared" si="38"/>
        <v>8</v>
      </c>
      <c r="BO127" s="199" t="str">
        <f t="shared" si="39"/>
        <v>Reforestation (8)</v>
      </c>
      <c r="BQ127" t="str">
        <f t="shared" si="40"/>
        <v>Reforestation</v>
      </c>
      <c r="BR127">
        <f t="shared" si="41"/>
        <v>14</v>
      </c>
      <c r="BS127" t="s">
        <v>944</v>
      </c>
      <c r="BT127" t="s">
        <v>928</v>
      </c>
      <c r="BU127" s="274" t="s">
        <v>938</v>
      </c>
    </row>
    <row r="128" spans="1:74" x14ac:dyDescent="0.25">
      <c r="A128" s="215" t="s">
        <v>212</v>
      </c>
      <c r="B128" s="205">
        <f>COUNTIFS(tbl_data[12. Consultation Group of],$A$2,tbl_data[1:T1A],$A128,tbl_data[T1],$A$3)</f>
        <v>0</v>
      </c>
      <c r="C128" s="198">
        <f>COUNTIFS(tbl_data[12. Consultation Group of],$A$2,tbl_data[2:T1A],$A128,tbl_data[T1],$A$3)</f>
        <v>0</v>
      </c>
      <c r="D128" s="198">
        <f>COUNTIFS(tbl_data[12. Consultation Group of],$A$2,tbl_data[3:T1A],$A128,tbl_data[T1],$A$3)</f>
        <v>0</v>
      </c>
      <c r="E128" s="198">
        <f>COUNTIFS(tbl_data[12. Consultation Group of],$A$2,tbl_data[1:T2A],$A128,tbl_data[T2],$A$3)</f>
        <v>0</v>
      </c>
      <c r="F128" s="198">
        <f>COUNTIFS(tbl_data[12. Consultation Group of],$A$2,tbl_data[2:T2A],$A128,tbl_data[T2],$A$3)</f>
        <v>0</v>
      </c>
      <c r="G128" s="198">
        <f>COUNTIFS(tbl_data[12. Consultation Group of],$A$2,tbl_data[3:T2A],$A128,tbl_data[T2],$A$3)</f>
        <v>0</v>
      </c>
      <c r="H128" s="198">
        <f>COUNTIFS(tbl_data[12. Consultation Group of],$A$2,tbl_data[1:T3A],$A128,tbl_data[T3],$A$3)</f>
        <v>0</v>
      </c>
      <c r="I128" s="198">
        <f>COUNTIFS(tbl_data[12. Consultation Group of],$A$2,tbl_data[2:T3A],$A128,tbl_data[T3],$A$3)</f>
        <v>0</v>
      </c>
      <c r="J128" s="198">
        <f>COUNTIFS(tbl_data[12. Consultation Group of],$A$2,tbl_data[3:T3A],$A128,tbl_data[T3],$A$3)</f>
        <v>0</v>
      </c>
      <c r="K128" s="198">
        <f t="shared" si="28"/>
        <v>0</v>
      </c>
      <c r="L128" s="199" t="str">
        <f t="shared" si="29"/>
        <v>Disaster Preparedness (0)</v>
      </c>
      <c r="M128" s="205">
        <f>COUNTIFS(tbl_data[12. Consultation Group of],$B$2,tbl_data[1:T1A],$A128,tbl_data[T1],$B$3)</f>
        <v>0</v>
      </c>
      <c r="N128" s="198">
        <f>COUNTIFS(tbl_data[12. Consultation Group of],$B$2,tbl_data[2:T1A],$A128,tbl_data[T1],$B$3)</f>
        <v>0</v>
      </c>
      <c r="O128" s="198">
        <f>COUNTIFS(tbl_data[12. Consultation Group of],$B$2,tbl_data[3:T1A],$A128,tbl_data[T1],$B$3)</f>
        <v>0</v>
      </c>
      <c r="P128" s="198">
        <f>COUNTIFS(tbl_data[12. Consultation Group of],$B$2,tbl_data[1:T2A],$A128,tbl_data[T2],$B$3)</f>
        <v>0</v>
      </c>
      <c r="Q128" s="198">
        <f>COUNTIFS(tbl_data[12. Consultation Group of],$B$2,tbl_data[2:T2A],$A128,tbl_data[T2],$B$3)</f>
        <v>0</v>
      </c>
      <c r="R128" s="198">
        <f>COUNTIFS(tbl_data[12. Consultation Group of],$B$2,tbl_data[3:T2A],$A128,tbl_data[T2],$B$3)</f>
        <v>0</v>
      </c>
      <c r="S128" s="198">
        <f>COUNTIFS(tbl_data[12. Consultation Group of],$B$2,tbl_data[1:T3A],$A128,tbl_data[T3],$B$3)</f>
        <v>0</v>
      </c>
      <c r="T128" s="198">
        <f>COUNTIFS(tbl_data[12. Consultation Group of],$B$2,tbl_data[2:T3A],$A128,tbl_data[T3],$B$3)</f>
        <v>0</v>
      </c>
      <c r="U128" s="198">
        <f>COUNTIFS(tbl_data[12. Consultation Group of],$B$2,tbl_data[3:T3A],$A128,tbl_data[T3],$B$3)</f>
        <v>0</v>
      </c>
      <c r="V128" s="198">
        <f t="shared" si="30"/>
        <v>0</v>
      </c>
      <c r="W128" s="199" t="str">
        <f t="shared" si="31"/>
        <v>Disaster Preparedness (0)</v>
      </c>
      <c r="X128" s="205">
        <f>COUNTIFS(tbl_data[12. Consultation Group of],$C$2,tbl_data[1:T1A],$A128,tbl_data[T1],$C$3)</f>
        <v>0</v>
      </c>
      <c r="Y128" s="198">
        <f>COUNTIFS(tbl_data[12. Consultation Group of],$C$2,tbl_data[2:T1A],$A128,tbl_data[T1],$C$3)</f>
        <v>1</v>
      </c>
      <c r="Z128" s="198">
        <f>COUNTIFS(tbl_data[12. Consultation Group of],$C$2,tbl_data[3:T1A],$A128,tbl_data[T1],$C$3)</f>
        <v>0</v>
      </c>
      <c r="AA128" s="198">
        <f>COUNTIFS(tbl_data[12. Consultation Group of],$C$2,tbl_data[1:T2A],$A128,tbl_data[T2],$C$3)</f>
        <v>0</v>
      </c>
      <c r="AB128" s="198">
        <f>COUNTIFS(tbl_data[12. Consultation Group of],$C$2,tbl_data[2:T2A],$A128,tbl_data[T2],$C$3)</f>
        <v>0</v>
      </c>
      <c r="AC128" s="198">
        <f>COUNTIFS(tbl_data[12. Consultation Group of],$C$2,tbl_data[3:T2A],$A128,tbl_data[T2],$C$3)</f>
        <v>0</v>
      </c>
      <c r="AD128" s="198">
        <f>COUNTIFS(tbl_data[12. Consultation Group of],$C$2,tbl_data[1:T3A],$A128,tbl_data[T3],$C$3)</f>
        <v>0</v>
      </c>
      <c r="AE128" s="198">
        <f>COUNTIFS(tbl_data[12. Consultation Group of],$C$2,tbl_data[2:T3A],$A128,tbl_data[T3],$C$3)</f>
        <v>0</v>
      </c>
      <c r="AF128" s="198">
        <f>COUNTIFS(tbl_data[12. Consultation Group of],$C$2,tbl_data[3:T3A],$A128,tbl_data[T3],$C$3)</f>
        <v>0</v>
      </c>
      <c r="AG128" s="198">
        <f t="shared" si="32"/>
        <v>1</v>
      </c>
      <c r="AH128" s="199" t="str">
        <f t="shared" si="33"/>
        <v>Disaster Preparedness (1)</v>
      </c>
      <c r="AI128" s="205">
        <f>COUNTIFS(tbl_data[12. Consultation Group of],$D$2,tbl_data[1:T1A],$A128,tbl_data[T1],$D$3)</f>
        <v>0</v>
      </c>
      <c r="AJ128" s="198">
        <f>COUNTIFS(tbl_data[12. Consultation Group of],$D$2,tbl_data[2:T1A],$A128,tbl_data[T1],$D$3)</f>
        <v>0</v>
      </c>
      <c r="AK128" s="198">
        <f>COUNTIFS(tbl_data[12. Consultation Group of],$D$2,tbl_data[3:T1A],$A128,tbl_data[T1],$D$3)</f>
        <v>2</v>
      </c>
      <c r="AL128" s="198">
        <f>COUNTIFS(tbl_data[12. Consultation Group of],$D$2,tbl_data[1:T2A],$A128,tbl_data[T2],$D$3)</f>
        <v>0</v>
      </c>
      <c r="AM128" s="198">
        <f>COUNTIFS(tbl_data[12. Consultation Group of],$D$2,tbl_data[2:T2A],$A128,tbl_data[T2],$D$3)</f>
        <v>0</v>
      </c>
      <c r="AN128" s="198">
        <f>COUNTIFS(tbl_data[12. Consultation Group of],$D$2,tbl_data[3:T2A],$A128,tbl_data[T2],$D$3)</f>
        <v>0</v>
      </c>
      <c r="AO128" s="198">
        <f>COUNTIFS(tbl_data[12. Consultation Group of],$D$2,tbl_data[1:T3A],$A128,tbl_data[T3],$D$3)</f>
        <v>0</v>
      </c>
      <c r="AP128" s="198">
        <f>COUNTIFS(tbl_data[12. Consultation Group of],$D$2,tbl_data[2:T3A],$A128,tbl_data[T3],$D$3)</f>
        <v>0</v>
      </c>
      <c r="AQ128" s="198">
        <f>COUNTIFS(tbl_data[12. Consultation Group of],$D$2,tbl_data[3:T3A],$A128,tbl_data[T3],$D$3)</f>
        <v>0</v>
      </c>
      <c r="AR128" s="198">
        <f t="shared" si="34"/>
        <v>2</v>
      </c>
      <c r="AS128" s="199" t="str">
        <f t="shared" si="35"/>
        <v>Disaster Preparedness (2)</v>
      </c>
      <c r="AT128" s="205">
        <f>COUNTIFS(tbl_data[12. Consultation Group of],$E$2,tbl_data[1:T1A],$A128,tbl_data[T1],$E$3)</f>
        <v>0</v>
      </c>
      <c r="AU128" s="198">
        <f>COUNTIFS(tbl_data[12. Consultation Group of],$E$2,tbl_data[2:T1A],$A128,tbl_data[T1],$E$3)</f>
        <v>0</v>
      </c>
      <c r="AV128" s="198">
        <f>COUNTIFS(tbl_data[12. Consultation Group of],$E$2,tbl_data[3:T1A],$A128,tbl_data[T1],$E$3)</f>
        <v>0</v>
      </c>
      <c r="AW128" s="198">
        <f>COUNTIFS(tbl_data[12. Consultation Group of],$E$2,tbl_data[1:T2A],$A128,tbl_data[T2],$E$3)</f>
        <v>0</v>
      </c>
      <c r="AX128" s="198">
        <f>COUNTIFS(tbl_data[12. Consultation Group of],$E$2,tbl_data[2:T2A],$A128,tbl_data[T2],$E$3)</f>
        <v>0</v>
      </c>
      <c r="AY128" s="198">
        <f>COUNTIFS(tbl_data[12. Consultation Group of],$E$2,tbl_data[3:T2A],$A128,tbl_data[T2],$E$3)</f>
        <v>0</v>
      </c>
      <c r="AZ128" s="198">
        <f>COUNTIFS(tbl_data[12. Consultation Group of],$E$2,tbl_data[1:T3A],$A128,tbl_data[T3],$E$3)</f>
        <v>0</v>
      </c>
      <c r="BA128" s="198">
        <f>COUNTIFS(tbl_data[12. Consultation Group of],$E$2,tbl_data[2:T3A],$A128,tbl_data[T3],$E$3)</f>
        <v>0</v>
      </c>
      <c r="BB128" s="198">
        <f>COUNTIFS(tbl_data[12. Consultation Group of],$E$2,tbl_data[3:T3A],$A128,tbl_data[T3],$E$3)</f>
        <v>0</v>
      </c>
      <c r="BC128" s="198">
        <f t="shared" si="36"/>
        <v>0</v>
      </c>
      <c r="BD128" s="199" t="str">
        <f t="shared" si="37"/>
        <v>Disaster Preparedness (0)</v>
      </c>
      <c r="BE128" s="205">
        <f>COUNTIFS(tbl_data[1:T1A],$A128,tbl_data[T1],$F$3)</f>
        <v>0</v>
      </c>
      <c r="BF128" s="198">
        <f>COUNTIFS(tbl_data[2:T1A],$A128,tbl_data[T1],$F$3)</f>
        <v>2</v>
      </c>
      <c r="BG128" s="198">
        <f>COUNTIFS(tbl_data[3:T1A],$A128,tbl_data[T1],$F$3)</f>
        <v>2</v>
      </c>
      <c r="BH128" s="198">
        <f>COUNTIFS(tbl_data[1:T2A],$A128,tbl_data[T2],$F$3)</f>
        <v>0</v>
      </c>
      <c r="BI128" s="198">
        <f>COUNTIFS(tbl_data[2:T2A],$A128,tbl_data[T2],$F$3)</f>
        <v>0</v>
      </c>
      <c r="BJ128" s="198">
        <f>COUNTIFS(tbl_data[3:T2A],$A128,tbl_data[T2],$F$3)</f>
        <v>1</v>
      </c>
      <c r="BK128" s="198">
        <f>COUNTIFS(tbl_data[1:T3A],$A128,tbl_data[T3],$F$3)</f>
        <v>0</v>
      </c>
      <c r="BL128" s="198">
        <f>COUNTIFS(tbl_data[2:T3A],$A128,tbl_data[T3],$F$3)</f>
        <v>0</v>
      </c>
      <c r="BM128" s="198">
        <f>COUNTIFS(tbl_data[3:T3A],$A128,tbl_data[T3],$F$3)</f>
        <v>0</v>
      </c>
      <c r="BN128" s="198">
        <f t="shared" si="38"/>
        <v>5</v>
      </c>
      <c r="BO128" s="199" t="str">
        <f t="shared" si="39"/>
        <v>Disaster Preparedness (5)</v>
      </c>
      <c r="BQ128" t="str">
        <f t="shared" si="40"/>
        <v>Disaster Preparedness</v>
      </c>
      <c r="BR128">
        <f t="shared" si="41"/>
        <v>8</v>
      </c>
      <c r="BS128" t="s">
        <v>929</v>
      </c>
      <c r="BT128" t="s">
        <v>929</v>
      </c>
      <c r="BU128" s="39" t="s">
        <v>929</v>
      </c>
    </row>
    <row r="129" spans="1:74" x14ac:dyDescent="0.25">
      <c r="A129" s="215" t="s">
        <v>394</v>
      </c>
      <c r="B129" s="205">
        <f>COUNTIFS(tbl_data[12. Consultation Group of],$A$2,tbl_data[1:T1A],$A129,tbl_data[T1],$A$3)</f>
        <v>1</v>
      </c>
      <c r="C129" s="198">
        <f>COUNTIFS(tbl_data[12. Consultation Group of],$A$2,tbl_data[2:T1A],$A129,tbl_data[T1],$A$3)</f>
        <v>2</v>
      </c>
      <c r="D129" s="198">
        <f>COUNTIFS(tbl_data[12. Consultation Group of],$A$2,tbl_data[3:T1A],$A129,tbl_data[T1],$A$3)</f>
        <v>1</v>
      </c>
      <c r="E129" s="198">
        <f>COUNTIFS(tbl_data[12. Consultation Group of],$A$2,tbl_data[1:T2A],$A129,tbl_data[T2],$A$3)</f>
        <v>0</v>
      </c>
      <c r="F129" s="198">
        <f>COUNTIFS(tbl_data[12. Consultation Group of],$A$2,tbl_data[2:T2A],$A129,tbl_data[T2],$A$3)</f>
        <v>0</v>
      </c>
      <c r="G129" s="198">
        <f>COUNTIFS(tbl_data[12. Consultation Group of],$A$2,tbl_data[3:T2A],$A129,tbl_data[T2],$A$3)</f>
        <v>1</v>
      </c>
      <c r="H129" s="198">
        <f>COUNTIFS(tbl_data[12. Consultation Group of],$A$2,tbl_data[1:T3A],$A129,tbl_data[T3],$A$3)</f>
        <v>0</v>
      </c>
      <c r="I129" s="198">
        <f>COUNTIFS(tbl_data[12. Consultation Group of],$A$2,tbl_data[2:T3A],$A129,tbl_data[T3],$A$3)</f>
        <v>0</v>
      </c>
      <c r="J129" s="198">
        <f>COUNTIFS(tbl_data[12. Consultation Group of],$A$2,tbl_data[3:T3A],$A129,tbl_data[T3],$A$3)</f>
        <v>0</v>
      </c>
      <c r="K129" s="198">
        <f t="shared" si="28"/>
        <v>5</v>
      </c>
      <c r="L129" s="199" t="str">
        <f t="shared" si="29"/>
        <v>Protect Water Tanks (5)</v>
      </c>
      <c r="M129" s="205">
        <f>COUNTIFS(tbl_data[12. Consultation Group of],$B$2,tbl_data[1:T1A],$A129,tbl_data[T1],$B$3)</f>
        <v>0</v>
      </c>
      <c r="N129" s="198">
        <f>COUNTIFS(tbl_data[12. Consultation Group of],$B$2,tbl_data[2:T1A],$A129,tbl_data[T1],$B$3)</f>
        <v>0</v>
      </c>
      <c r="O129" s="198">
        <f>COUNTIFS(tbl_data[12. Consultation Group of],$B$2,tbl_data[3:T1A],$A129,tbl_data[T1],$B$3)</f>
        <v>0</v>
      </c>
      <c r="P129" s="198">
        <f>COUNTIFS(tbl_data[12. Consultation Group of],$B$2,tbl_data[1:T2A],$A129,tbl_data[T2],$B$3)</f>
        <v>0</v>
      </c>
      <c r="Q129" s="198">
        <f>COUNTIFS(tbl_data[12. Consultation Group of],$B$2,tbl_data[2:T2A],$A129,tbl_data[T2],$B$3)</f>
        <v>0</v>
      </c>
      <c r="R129" s="198">
        <f>COUNTIFS(tbl_data[12. Consultation Group of],$B$2,tbl_data[3:T2A],$A129,tbl_data[T2],$B$3)</f>
        <v>0</v>
      </c>
      <c r="S129" s="198">
        <f>COUNTIFS(tbl_data[12. Consultation Group of],$B$2,tbl_data[1:T3A],$A129,tbl_data[T3],$B$3)</f>
        <v>0</v>
      </c>
      <c r="T129" s="198">
        <f>COUNTIFS(tbl_data[12. Consultation Group of],$B$2,tbl_data[2:T3A],$A129,tbl_data[T3],$B$3)</f>
        <v>0</v>
      </c>
      <c r="U129" s="198">
        <f>COUNTIFS(tbl_data[12. Consultation Group of],$B$2,tbl_data[3:T3A],$A129,tbl_data[T3],$B$3)</f>
        <v>0</v>
      </c>
      <c r="V129" s="198">
        <f t="shared" si="30"/>
        <v>0</v>
      </c>
      <c r="W129" s="199" t="str">
        <f t="shared" si="31"/>
        <v>Protect Water Tanks (0)</v>
      </c>
      <c r="X129" s="205">
        <f>COUNTIFS(tbl_data[12. Consultation Group of],$C$2,tbl_data[1:T1A],$A129,tbl_data[T1],$C$3)</f>
        <v>0</v>
      </c>
      <c r="Y129" s="198">
        <f>COUNTIFS(tbl_data[12. Consultation Group of],$C$2,tbl_data[2:T1A],$A129,tbl_data[T1],$C$3)</f>
        <v>0</v>
      </c>
      <c r="Z129" s="198">
        <f>COUNTIFS(tbl_data[12. Consultation Group of],$C$2,tbl_data[3:T1A],$A129,tbl_data[T1],$C$3)</f>
        <v>0</v>
      </c>
      <c r="AA129" s="198">
        <f>COUNTIFS(tbl_data[12. Consultation Group of],$C$2,tbl_data[1:T2A],$A129,tbl_data[T2],$C$3)</f>
        <v>0</v>
      </c>
      <c r="AB129" s="198">
        <f>COUNTIFS(tbl_data[12. Consultation Group of],$C$2,tbl_data[2:T2A],$A129,tbl_data[T2],$C$3)</f>
        <v>0</v>
      </c>
      <c r="AC129" s="198">
        <f>COUNTIFS(tbl_data[12. Consultation Group of],$C$2,tbl_data[3:T2A],$A129,tbl_data[T2],$C$3)</f>
        <v>0</v>
      </c>
      <c r="AD129" s="198">
        <f>COUNTIFS(tbl_data[12. Consultation Group of],$C$2,tbl_data[1:T3A],$A129,tbl_data[T3],$C$3)</f>
        <v>0</v>
      </c>
      <c r="AE129" s="198">
        <f>COUNTIFS(tbl_data[12. Consultation Group of],$C$2,tbl_data[2:T3A],$A129,tbl_data[T3],$C$3)</f>
        <v>0</v>
      </c>
      <c r="AF129" s="198">
        <f>COUNTIFS(tbl_data[12. Consultation Group of],$C$2,tbl_data[3:T3A],$A129,tbl_data[T3],$C$3)</f>
        <v>0</v>
      </c>
      <c r="AG129" s="198">
        <f t="shared" si="32"/>
        <v>0</v>
      </c>
      <c r="AH129" s="199" t="str">
        <f t="shared" si="33"/>
        <v>Protect Water Tanks (0)</v>
      </c>
      <c r="AI129" s="205">
        <f>COUNTIFS(tbl_data[12. Consultation Group of],$D$2,tbl_data[1:T1A],$A129,tbl_data[T1],$D$3)</f>
        <v>0</v>
      </c>
      <c r="AJ129" s="198">
        <f>COUNTIFS(tbl_data[12. Consultation Group of],$D$2,tbl_data[2:T1A],$A129,tbl_data[T1],$D$3)</f>
        <v>0</v>
      </c>
      <c r="AK129" s="198">
        <f>COUNTIFS(tbl_data[12. Consultation Group of],$D$2,tbl_data[3:T1A],$A129,tbl_data[T1],$D$3)</f>
        <v>0</v>
      </c>
      <c r="AL129" s="198">
        <f>COUNTIFS(tbl_data[12. Consultation Group of],$D$2,tbl_data[1:T2A],$A129,tbl_data[T2],$D$3)</f>
        <v>0</v>
      </c>
      <c r="AM129" s="198">
        <f>COUNTIFS(tbl_data[12. Consultation Group of],$D$2,tbl_data[2:T2A],$A129,tbl_data[T2],$D$3)</f>
        <v>0</v>
      </c>
      <c r="AN129" s="198">
        <f>COUNTIFS(tbl_data[12. Consultation Group of],$D$2,tbl_data[3:T2A],$A129,tbl_data[T2],$D$3)</f>
        <v>0</v>
      </c>
      <c r="AO129" s="198">
        <f>COUNTIFS(tbl_data[12. Consultation Group of],$D$2,tbl_data[1:T3A],$A129,tbl_data[T3],$D$3)</f>
        <v>0</v>
      </c>
      <c r="AP129" s="198">
        <f>COUNTIFS(tbl_data[12. Consultation Group of],$D$2,tbl_data[2:T3A],$A129,tbl_data[T3],$D$3)</f>
        <v>0</v>
      </c>
      <c r="AQ129" s="198">
        <f>COUNTIFS(tbl_data[12. Consultation Group of],$D$2,tbl_data[3:T3A],$A129,tbl_data[T3],$D$3)</f>
        <v>0</v>
      </c>
      <c r="AR129" s="198">
        <f t="shared" si="34"/>
        <v>0</v>
      </c>
      <c r="AS129" s="199" t="str">
        <f t="shared" si="35"/>
        <v>Protect Water Tanks (0)</v>
      </c>
      <c r="AT129" s="205">
        <f>COUNTIFS(tbl_data[12. Consultation Group of],$E$2,tbl_data[1:T1A],$A129,tbl_data[T1],$E$3)</f>
        <v>0</v>
      </c>
      <c r="AU129" s="198">
        <f>COUNTIFS(tbl_data[12. Consultation Group of],$E$2,tbl_data[2:T1A],$A129,tbl_data[T1],$E$3)</f>
        <v>0</v>
      </c>
      <c r="AV129" s="198">
        <f>COUNTIFS(tbl_data[12. Consultation Group of],$E$2,tbl_data[3:T1A],$A129,tbl_data[T1],$E$3)</f>
        <v>0</v>
      </c>
      <c r="AW129" s="198">
        <f>COUNTIFS(tbl_data[12. Consultation Group of],$E$2,tbl_data[1:T2A],$A129,tbl_data[T2],$E$3)</f>
        <v>0</v>
      </c>
      <c r="AX129" s="198">
        <f>COUNTIFS(tbl_data[12. Consultation Group of],$E$2,tbl_data[2:T2A],$A129,tbl_data[T2],$E$3)</f>
        <v>0</v>
      </c>
      <c r="AY129" s="198">
        <f>COUNTIFS(tbl_data[12. Consultation Group of],$E$2,tbl_data[3:T2A],$A129,tbl_data[T2],$E$3)</f>
        <v>0</v>
      </c>
      <c r="AZ129" s="198">
        <f>COUNTIFS(tbl_data[12. Consultation Group of],$E$2,tbl_data[1:T3A],$A129,tbl_data[T3],$E$3)</f>
        <v>0</v>
      </c>
      <c r="BA129" s="198">
        <f>COUNTIFS(tbl_data[12. Consultation Group of],$E$2,tbl_data[2:T3A],$A129,tbl_data[T3],$E$3)</f>
        <v>0</v>
      </c>
      <c r="BB129" s="198">
        <f>COUNTIFS(tbl_data[12. Consultation Group of],$E$2,tbl_data[3:T3A],$A129,tbl_data[T3],$E$3)</f>
        <v>0</v>
      </c>
      <c r="BC129" s="198">
        <f t="shared" si="36"/>
        <v>0</v>
      </c>
      <c r="BD129" s="199" t="str">
        <f t="shared" si="37"/>
        <v>Protect Water Tanks (0)</v>
      </c>
      <c r="BE129" s="205">
        <f>COUNTIFS(tbl_data[1:T1A],$A129,tbl_data[T1],$F$3)</f>
        <v>0</v>
      </c>
      <c r="BF129" s="198">
        <f>COUNTIFS(tbl_data[2:T1A],$A129,tbl_data[T1],$F$3)</f>
        <v>0</v>
      </c>
      <c r="BG129" s="198">
        <f>COUNTIFS(tbl_data[3:T1A],$A129,tbl_data[T1],$F$3)</f>
        <v>0</v>
      </c>
      <c r="BH129" s="198">
        <f>COUNTIFS(tbl_data[1:T2A],$A129,tbl_data[T2],$F$3)</f>
        <v>0</v>
      </c>
      <c r="BI129" s="198">
        <f>COUNTIFS(tbl_data[2:T2A],$A129,tbl_data[T2],$F$3)</f>
        <v>0</v>
      </c>
      <c r="BJ129" s="198">
        <f>COUNTIFS(tbl_data[3:T2A],$A129,tbl_data[T2],$F$3)</f>
        <v>0</v>
      </c>
      <c r="BK129" s="198">
        <f>COUNTIFS(tbl_data[1:T3A],$A129,tbl_data[T3],$F$3)</f>
        <v>0</v>
      </c>
      <c r="BL129" s="198">
        <f>COUNTIFS(tbl_data[2:T3A],$A129,tbl_data[T3],$F$3)</f>
        <v>0</v>
      </c>
      <c r="BM129" s="198">
        <f>COUNTIFS(tbl_data[3:T3A],$A129,tbl_data[T3],$F$3)</f>
        <v>0</v>
      </c>
      <c r="BN129" s="198">
        <f t="shared" si="38"/>
        <v>0</v>
      </c>
      <c r="BO129" s="199" t="str">
        <f t="shared" si="39"/>
        <v>Protect Water Tanks (0)</v>
      </c>
      <c r="BQ129" t="str">
        <f t="shared" si="40"/>
        <v>Protect Water Tanks</v>
      </c>
      <c r="BR129">
        <f t="shared" si="41"/>
        <v>5</v>
      </c>
      <c r="BS129" t="s">
        <v>927</v>
      </c>
      <c r="BT129" t="s">
        <v>927</v>
      </c>
      <c r="BU129" s="275" t="s">
        <v>940</v>
      </c>
      <c r="BV129" t="s">
        <v>941</v>
      </c>
    </row>
    <row r="130" spans="1:74" x14ac:dyDescent="0.25">
      <c r="A130" s="215" t="s">
        <v>325</v>
      </c>
      <c r="B130" s="205">
        <f>COUNTIFS(tbl_data[12. Consultation Group of],$A$2,tbl_data[1:T1A],$A130,tbl_data[T1],$A$3)</f>
        <v>1</v>
      </c>
      <c r="C130" s="198">
        <f>COUNTIFS(tbl_data[12. Consultation Group of],$A$2,tbl_data[2:T1A],$A130,tbl_data[T1],$A$3)</f>
        <v>1</v>
      </c>
      <c r="D130" s="198">
        <f>COUNTIFS(tbl_data[12. Consultation Group of],$A$2,tbl_data[3:T1A],$A130,tbl_data[T1],$A$3)</f>
        <v>1</v>
      </c>
      <c r="E130" s="198">
        <f>COUNTIFS(tbl_data[12. Consultation Group of],$A$2,tbl_data[1:T2A],$A130,tbl_data[T2],$A$3)</f>
        <v>0</v>
      </c>
      <c r="F130" s="198">
        <f>COUNTIFS(tbl_data[12. Consultation Group of],$A$2,tbl_data[2:T2A],$A130,tbl_data[T2],$A$3)</f>
        <v>1</v>
      </c>
      <c r="G130" s="198">
        <f>COUNTIFS(tbl_data[12. Consultation Group of],$A$2,tbl_data[3:T2A],$A130,tbl_data[T2],$A$3)</f>
        <v>0</v>
      </c>
      <c r="H130" s="198">
        <f>COUNTIFS(tbl_data[12. Consultation Group of],$A$2,tbl_data[1:T3A],$A130,tbl_data[T3],$A$3)</f>
        <v>0</v>
      </c>
      <c r="I130" s="198">
        <f>COUNTIFS(tbl_data[12. Consultation Group of],$A$2,tbl_data[2:T3A],$A130,tbl_data[T3],$A$3)</f>
        <v>0</v>
      </c>
      <c r="J130" s="198">
        <f>COUNTIFS(tbl_data[12. Consultation Group of],$A$2,tbl_data[3:T3A],$A130,tbl_data[T3],$A$3)</f>
        <v>0</v>
      </c>
      <c r="K130" s="198">
        <f t="shared" si="28"/>
        <v>4</v>
      </c>
      <c r="L130" s="199" t="str">
        <f t="shared" si="29"/>
        <v>Water and Sanitation Programme (4)</v>
      </c>
      <c r="M130" s="205">
        <f>COUNTIFS(tbl_data[12. Consultation Group of],$B$2,tbl_data[1:T1A],$A130,tbl_data[T1],$B$3)</f>
        <v>0</v>
      </c>
      <c r="N130" s="198">
        <f>COUNTIFS(tbl_data[12. Consultation Group of],$B$2,tbl_data[2:T1A],$A130,tbl_data[T1],$B$3)</f>
        <v>0</v>
      </c>
      <c r="O130" s="198">
        <f>COUNTIFS(tbl_data[12. Consultation Group of],$B$2,tbl_data[3:T1A],$A130,tbl_data[T1],$B$3)</f>
        <v>0</v>
      </c>
      <c r="P130" s="198">
        <f>COUNTIFS(tbl_data[12. Consultation Group of],$B$2,tbl_data[1:T2A],$A130,tbl_data[T2],$B$3)</f>
        <v>0</v>
      </c>
      <c r="Q130" s="198">
        <f>COUNTIFS(tbl_data[12. Consultation Group of],$B$2,tbl_data[2:T2A],$A130,tbl_data[T2],$B$3)</f>
        <v>0</v>
      </c>
      <c r="R130" s="198">
        <f>COUNTIFS(tbl_data[12. Consultation Group of],$B$2,tbl_data[3:T2A],$A130,tbl_data[T2],$B$3)</f>
        <v>0</v>
      </c>
      <c r="S130" s="198">
        <f>COUNTIFS(tbl_data[12. Consultation Group of],$B$2,tbl_data[1:T3A],$A130,tbl_data[T3],$B$3)</f>
        <v>0</v>
      </c>
      <c r="T130" s="198">
        <f>COUNTIFS(tbl_data[12. Consultation Group of],$B$2,tbl_data[2:T3A],$A130,tbl_data[T3],$B$3)</f>
        <v>0</v>
      </c>
      <c r="U130" s="198">
        <f>COUNTIFS(tbl_data[12. Consultation Group of],$B$2,tbl_data[3:T3A],$A130,tbl_data[T3],$B$3)</f>
        <v>0</v>
      </c>
      <c r="V130" s="198">
        <f t="shared" si="30"/>
        <v>0</v>
      </c>
      <c r="W130" s="199" t="str">
        <f t="shared" si="31"/>
        <v>Water and Sanitation Programme (0)</v>
      </c>
      <c r="X130" s="205">
        <f>COUNTIFS(tbl_data[12. Consultation Group of],$C$2,tbl_data[1:T1A],$A130,tbl_data[T1],$C$3)</f>
        <v>0</v>
      </c>
      <c r="Y130" s="198">
        <f>COUNTIFS(tbl_data[12. Consultation Group of],$C$2,tbl_data[2:T1A],$A130,tbl_data[T1],$C$3)</f>
        <v>0</v>
      </c>
      <c r="Z130" s="198">
        <f>COUNTIFS(tbl_data[12. Consultation Group of],$C$2,tbl_data[3:T1A],$A130,tbl_data[T1],$C$3)</f>
        <v>0</v>
      </c>
      <c r="AA130" s="198">
        <f>COUNTIFS(tbl_data[12. Consultation Group of],$C$2,tbl_data[1:T2A],$A130,tbl_data[T2],$C$3)</f>
        <v>0</v>
      </c>
      <c r="AB130" s="198">
        <f>COUNTIFS(tbl_data[12. Consultation Group of],$C$2,tbl_data[2:T2A],$A130,tbl_data[T2],$C$3)</f>
        <v>0</v>
      </c>
      <c r="AC130" s="198">
        <f>COUNTIFS(tbl_data[12. Consultation Group of],$C$2,tbl_data[3:T2A],$A130,tbl_data[T2],$C$3)</f>
        <v>0</v>
      </c>
      <c r="AD130" s="198">
        <f>COUNTIFS(tbl_data[12. Consultation Group of],$C$2,tbl_data[1:T3A],$A130,tbl_data[T3],$C$3)</f>
        <v>0</v>
      </c>
      <c r="AE130" s="198">
        <f>COUNTIFS(tbl_data[12. Consultation Group of],$C$2,tbl_data[2:T3A],$A130,tbl_data[T3],$C$3)</f>
        <v>0</v>
      </c>
      <c r="AF130" s="198">
        <f>COUNTIFS(tbl_data[12. Consultation Group of],$C$2,tbl_data[3:T3A],$A130,tbl_data[T3],$C$3)</f>
        <v>0</v>
      </c>
      <c r="AG130" s="198">
        <f t="shared" si="32"/>
        <v>0</v>
      </c>
      <c r="AH130" s="199" t="str">
        <f t="shared" si="33"/>
        <v>Water and Sanitation Programme (0)</v>
      </c>
      <c r="AI130" s="205">
        <f>COUNTIFS(tbl_data[12. Consultation Group of],$D$2,tbl_data[1:T1A],$A130,tbl_data[T1],$D$3)</f>
        <v>0</v>
      </c>
      <c r="AJ130" s="198">
        <f>COUNTIFS(tbl_data[12. Consultation Group of],$D$2,tbl_data[2:T1A],$A130,tbl_data[T1],$D$3)</f>
        <v>0</v>
      </c>
      <c r="AK130" s="198">
        <f>COUNTIFS(tbl_data[12. Consultation Group of],$D$2,tbl_data[3:T1A],$A130,tbl_data[T1],$D$3)</f>
        <v>0</v>
      </c>
      <c r="AL130" s="198">
        <f>COUNTIFS(tbl_data[12. Consultation Group of],$D$2,tbl_data[1:T2A],$A130,tbl_data[T2],$D$3)</f>
        <v>0</v>
      </c>
      <c r="AM130" s="198">
        <f>COUNTIFS(tbl_data[12. Consultation Group of],$D$2,tbl_data[2:T2A],$A130,tbl_data[T2],$D$3)</f>
        <v>0</v>
      </c>
      <c r="AN130" s="198">
        <f>COUNTIFS(tbl_data[12. Consultation Group of],$D$2,tbl_data[3:T2A],$A130,tbl_data[T2],$D$3)</f>
        <v>0</v>
      </c>
      <c r="AO130" s="198">
        <f>COUNTIFS(tbl_data[12. Consultation Group of],$D$2,tbl_data[1:T3A],$A130,tbl_data[T3],$D$3)</f>
        <v>0</v>
      </c>
      <c r="AP130" s="198">
        <f>COUNTIFS(tbl_data[12. Consultation Group of],$D$2,tbl_data[2:T3A],$A130,tbl_data[T3],$D$3)</f>
        <v>0</v>
      </c>
      <c r="AQ130" s="198">
        <f>COUNTIFS(tbl_data[12. Consultation Group of],$D$2,tbl_data[3:T3A],$A130,tbl_data[T3],$D$3)</f>
        <v>0</v>
      </c>
      <c r="AR130" s="198">
        <f t="shared" si="34"/>
        <v>0</v>
      </c>
      <c r="AS130" s="199" t="str">
        <f t="shared" si="35"/>
        <v>Water and Sanitation Programme (0)</v>
      </c>
      <c r="AT130" s="205">
        <f>COUNTIFS(tbl_data[12. Consultation Group of],$E$2,tbl_data[1:T1A],$A130,tbl_data[T1],$E$3)</f>
        <v>0</v>
      </c>
      <c r="AU130" s="198">
        <f>COUNTIFS(tbl_data[12. Consultation Group of],$E$2,tbl_data[2:T1A],$A130,tbl_data[T1],$E$3)</f>
        <v>0</v>
      </c>
      <c r="AV130" s="198">
        <f>COUNTIFS(tbl_data[12. Consultation Group of],$E$2,tbl_data[3:T1A],$A130,tbl_data[T1],$E$3)</f>
        <v>0</v>
      </c>
      <c r="AW130" s="198">
        <f>COUNTIFS(tbl_data[12. Consultation Group of],$E$2,tbl_data[1:T2A],$A130,tbl_data[T2],$E$3)</f>
        <v>0</v>
      </c>
      <c r="AX130" s="198">
        <f>COUNTIFS(tbl_data[12. Consultation Group of],$E$2,tbl_data[2:T2A],$A130,tbl_data[T2],$E$3)</f>
        <v>0</v>
      </c>
      <c r="AY130" s="198">
        <f>COUNTIFS(tbl_data[12. Consultation Group of],$E$2,tbl_data[3:T2A],$A130,tbl_data[T2],$E$3)</f>
        <v>0</v>
      </c>
      <c r="AZ130" s="198">
        <f>COUNTIFS(tbl_data[12. Consultation Group of],$E$2,tbl_data[1:T3A],$A130,tbl_data[T3],$E$3)</f>
        <v>0</v>
      </c>
      <c r="BA130" s="198">
        <f>COUNTIFS(tbl_data[12. Consultation Group of],$E$2,tbl_data[2:T3A],$A130,tbl_data[T3],$E$3)</f>
        <v>0</v>
      </c>
      <c r="BB130" s="198">
        <f>COUNTIFS(tbl_data[12. Consultation Group of],$E$2,tbl_data[3:T3A],$A130,tbl_data[T3],$E$3)</f>
        <v>0</v>
      </c>
      <c r="BC130" s="198">
        <f t="shared" si="36"/>
        <v>0</v>
      </c>
      <c r="BD130" s="199" t="str">
        <f t="shared" si="37"/>
        <v>Water and Sanitation Programme (0)</v>
      </c>
      <c r="BE130" s="205">
        <f>COUNTIFS(tbl_data[1:T1A],$A130,tbl_data[T1],$F$3)</f>
        <v>0</v>
      </c>
      <c r="BF130" s="198">
        <f>COUNTIFS(tbl_data[2:T1A],$A130,tbl_data[T1],$F$3)</f>
        <v>1</v>
      </c>
      <c r="BG130" s="198">
        <f>COUNTIFS(tbl_data[3:T1A],$A130,tbl_data[T1],$F$3)</f>
        <v>0</v>
      </c>
      <c r="BH130" s="198">
        <f>COUNTIFS(tbl_data[1:T2A],$A130,tbl_data[T2],$F$3)</f>
        <v>0</v>
      </c>
      <c r="BI130" s="198">
        <f>COUNTIFS(tbl_data[2:T2A],$A130,tbl_data[T2],$F$3)</f>
        <v>0</v>
      </c>
      <c r="BJ130" s="198">
        <f>COUNTIFS(tbl_data[3:T2A],$A130,tbl_data[T2],$F$3)</f>
        <v>0</v>
      </c>
      <c r="BK130" s="198">
        <f>COUNTIFS(tbl_data[1:T3A],$A130,tbl_data[T3],$F$3)</f>
        <v>0</v>
      </c>
      <c r="BL130" s="198">
        <f>COUNTIFS(tbl_data[2:T3A],$A130,tbl_data[T3],$F$3)</f>
        <v>0</v>
      </c>
      <c r="BM130" s="198">
        <f>COUNTIFS(tbl_data[3:T3A],$A130,tbl_data[T3],$F$3)</f>
        <v>0</v>
      </c>
      <c r="BN130" s="198">
        <f t="shared" si="38"/>
        <v>1</v>
      </c>
      <c r="BO130" s="199" t="str">
        <f t="shared" si="39"/>
        <v>Water and Sanitation Programme (1)</v>
      </c>
      <c r="BQ130" t="str">
        <f t="shared" si="40"/>
        <v>Water and Sanitation Programme</v>
      </c>
      <c r="BR130">
        <f t="shared" si="41"/>
        <v>5</v>
      </c>
      <c r="BS130" t="s">
        <v>929</v>
      </c>
      <c r="BT130" t="s">
        <v>929</v>
      </c>
      <c r="BU130" s="39" t="s">
        <v>929</v>
      </c>
    </row>
    <row r="131" spans="1:74" x14ac:dyDescent="0.25">
      <c r="A131" s="215" t="s">
        <v>416</v>
      </c>
      <c r="B131" s="205">
        <f>COUNTIFS(tbl_data[12. Consultation Group of],$A$2,tbl_data[1:T1A],$A131,tbl_data[T1],$A$3)</f>
        <v>0</v>
      </c>
      <c r="C131" s="198">
        <f>COUNTIFS(tbl_data[12. Consultation Group of],$A$2,tbl_data[2:T1A],$A131,tbl_data[T1],$A$3)</f>
        <v>0</v>
      </c>
      <c r="D131" s="198">
        <f>COUNTIFS(tbl_data[12. Consultation Group of],$A$2,tbl_data[3:T1A],$A131,tbl_data[T1],$A$3)</f>
        <v>0</v>
      </c>
      <c r="E131" s="198">
        <f>COUNTIFS(tbl_data[12. Consultation Group of],$A$2,tbl_data[1:T2A],$A131,tbl_data[T2],$A$3)</f>
        <v>0</v>
      </c>
      <c r="F131" s="198">
        <f>COUNTIFS(tbl_data[12. Consultation Group of],$A$2,tbl_data[2:T2A],$A131,tbl_data[T2],$A$3)</f>
        <v>0</v>
      </c>
      <c r="G131" s="198">
        <f>COUNTIFS(tbl_data[12. Consultation Group of],$A$2,tbl_data[3:T2A],$A131,tbl_data[T2],$A$3)</f>
        <v>0</v>
      </c>
      <c r="H131" s="198">
        <f>COUNTIFS(tbl_data[12. Consultation Group of],$A$2,tbl_data[1:T3A],$A131,tbl_data[T3],$A$3)</f>
        <v>0</v>
      </c>
      <c r="I131" s="198">
        <f>COUNTIFS(tbl_data[12. Consultation Group of],$A$2,tbl_data[2:T3A],$A131,tbl_data[T3],$A$3)</f>
        <v>0</v>
      </c>
      <c r="J131" s="198">
        <f>COUNTIFS(tbl_data[12. Consultation Group of],$A$2,tbl_data[3:T3A],$A131,tbl_data[T3],$A$3)</f>
        <v>0</v>
      </c>
      <c r="K131" s="198">
        <f t="shared" si="28"/>
        <v>0</v>
      </c>
      <c r="L131" s="199" t="str">
        <f t="shared" si="29"/>
        <v>Early Warning Systems (EWS) (0)</v>
      </c>
      <c r="M131" s="205">
        <f>COUNTIFS(tbl_data[12. Consultation Group of],$B$2,tbl_data[1:T1A],$A131,tbl_data[T1],$B$3)</f>
        <v>0</v>
      </c>
      <c r="N131" s="198">
        <f>COUNTIFS(tbl_data[12. Consultation Group of],$B$2,tbl_data[2:T1A],$A131,tbl_data[T1],$B$3)</f>
        <v>0</v>
      </c>
      <c r="O131" s="198">
        <f>COUNTIFS(tbl_data[12. Consultation Group of],$B$2,tbl_data[3:T1A],$A131,tbl_data[T1],$B$3)</f>
        <v>0</v>
      </c>
      <c r="P131" s="198">
        <f>COUNTIFS(tbl_data[12. Consultation Group of],$B$2,tbl_data[1:T2A],$A131,tbl_data[T2],$B$3)</f>
        <v>0</v>
      </c>
      <c r="Q131" s="198">
        <f>COUNTIFS(tbl_data[12. Consultation Group of],$B$2,tbl_data[2:T2A],$A131,tbl_data[T2],$B$3)</f>
        <v>0</v>
      </c>
      <c r="R131" s="198">
        <f>COUNTIFS(tbl_data[12. Consultation Group of],$B$2,tbl_data[3:T2A],$A131,tbl_data[T2],$B$3)</f>
        <v>0</v>
      </c>
      <c r="S131" s="198">
        <f>COUNTIFS(tbl_data[12. Consultation Group of],$B$2,tbl_data[1:T3A],$A131,tbl_data[T3],$B$3)</f>
        <v>0</v>
      </c>
      <c r="T131" s="198">
        <f>COUNTIFS(tbl_data[12. Consultation Group of],$B$2,tbl_data[2:T3A],$A131,tbl_data[T3],$B$3)</f>
        <v>0</v>
      </c>
      <c r="U131" s="198">
        <f>COUNTIFS(tbl_data[12. Consultation Group of],$B$2,tbl_data[3:T3A],$A131,tbl_data[T3],$B$3)</f>
        <v>0</v>
      </c>
      <c r="V131" s="198">
        <f t="shared" si="30"/>
        <v>0</v>
      </c>
      <c r="W131" s="199" t="str">
        <f t="shared" si="31"/>
        <v>Early Warning Systems (EWS) (0)</v>
      </c>
      <c r="X131" s="205">
        <f>COUNTIFS(tbl_data[12. Consultation Group of],$C$2,tbl_data[1:T1A],$A131,tbl_data[T1],$C$3)</f>
        <v>0</v>
      </c>
      <c r="Y131" s="198">
        <f>COUNTIFS(tbl_data[12. Consultation Group of],$C$2,tbl_data[2:T1A],$A131,tbl_data[T1],$C$3)</f>
        <v>0</v>
      </c>
      <c r="Z131" s="198">
        <f>COUNTIFS(tbl_data[12. Consultation Group of],$C$2,tbl_data[3:T1A],$A131,tbl_data[T1],$C$3)</f>
        <v>0</v>
      </c>
      <c r="AA131" s="198">
        <f>COUNTIFS(tbl_data[12. Consultation Group of],$C$2,tbl_data[1:T2A],$A131,tbl_data[T2],$C$3)</f>
        <v>0</v>
      </c>
      <c r="AB131" s="198">
        <f>COUNTIFS(tbl_data[12. Consultation Group of],$C$2,tbl_data[2:T2A],$A131,tbl_data[T2],$C$3)</f>
        <v>0</v>
      </c>
      <c r="AC131" s="198">
        <f>COUNTIFS(tbl_data[12. Consultation Group of],$C$2,tbl_data[3:T2A],$A131,tbl_data[T2],$C$3)</f>
        <v>0</v>
      </c>
      <c r="AD131" s="198">
        <f>COUNTIFS(tbl_data[12. Consultation Group of],$C$2,tbl_data[1:T3A],$A131,tbl_data[T3],$C$3)</f>
        <v>0</v>
      </c>
      <c r="AE131" s="198">
        <f>COUNTIFS(tbl_data[12. Consultation Group of],$C$2,tbl_data[2:T3A],$A131,tbl_data[T3],$C$3)</f>
        <v>0</v>
      </c>
      <c r="AF131" s="198">
        <f>COUNTIFS(tbl_data[12. Consultation Group of],$C$2,tbl_data[3:T3A],$A131,tbl_data[T3],$C$3)</f>
        <v>0</v>
      </c>
      <c r="AG131" s="198">
        <f t="shared" si="32"/>
        <v>0</v>
      </c>
      <c r="AH131" s="199" t="str">
        <f t="shared" si="33"/>
        <v>Early Warning Systems (EWS) (0)</v>
      </c>
      <c r="AI131" s="205">
        <f>COUNTIFS(tbl_data[12. Consultation Group of],$D$2,tbl_data[1:T1A],$A131,tbl_data[T1],$D$3)</f>
        <v>0</v>
      </c>
      <c r="AJ131" s="198">
        <f>COUNTIFS(tbl_data[12. Consultation Group of],$D$2,tbl_data[2:T1A],$A131,tbl_data[T1],$D$3)</f>
        <v>1</v>
      </c>
      <c r="AK131" s="198">
        <f>COUNTIFS(tbl_data[12. Consultation Group of],$D$2,tbl_data[3:T1A],$A131,tbl_data[T1],$D$3)</f>
        <v>0</v>
      </c>
      <c r="AL131" s="198">
        <f>COUNTIFS(tbl_data[12. Consultation Group of],$D$2,tbl_data[1:T2A],$A131,tbl_data[T2],$D$3)</f>
        <v>0</v>
      </c>
      <c r="AM131" s="198">
        <f>COUNTIFS(tbl_data[12. Consultation Group of],$D$2,tbl_data[2:T2A],$A131,tbl_data[T2],$D$3)</f>
        <v>0</v>
      </c>
      <c r="AN131" s="198">
        <f>COUNTIFS(tbl_data[12. Consultation Group of],$D$2,tbl_data[3:T2A],$A131,tbl_data[T2],$D$3)</f>
        <v>0</v>
      </c>
      <c r="AO131" s="198">
        <f>COUNTIFS(tbl_data[12. Consultation Group of],$D$2,tbl_data[1:T3A],$A131,tbl_data[T3],$D$3)</f>
        <v>0</v>
      </c>
      <c r="AP131" s="198">
        <f>COUNTIFS(tbl_data[12. Consultation Group of],$D$2,tbl_data[2:T3A],$A131,tbl_data[T3],$D$3)</f>
        <v>0</v>
      </c>
      <c r="AQ131" s="198">
        <f>COUNTIFS(tbl_data[12. Consultation Group of],$D$2,tbl_data[3:T3A],$A131,tbl_data[T3],$D$3)</f>
        <v>0</v>
      </c>
      <c r="AR131" s="198">
        <f t="shared" si="34"/>
        <v>1</v>
      </c>
      <c r="AS131" s="199" t="str">
        <f t="shared" si="35"/>
        <v>Early Warning Systems (EWS) (1)</v>
      </c>
      <c r="AT131" s="205">
        <f>COUNTIFS(tbl_data[12. Consultation Group of],$E$2,tbl_data[1:T1A],$A131,tbl_data[T1],$E$3)</f>
        <v>0</v>
      </c>
      <c r="AU131" s="198">
        <f>COUNTIFS(tbl_data[12. Consultation Group of],$E$2,tbl_data[2:T1A],$A131,tbl_data[T1],$E$3)</f>
        <v>0</v>
      </c>
      <c r="AV131" s="198">
        <f>COUNTIFS(tbl_data[12. Consultation Group of],$E$2,tbl_data[3:T1A],$A131,tbl_data[T1],$E$3)</f>
        <v>0</v>
      </c>
      <c r="AW131" s="198">
        <f>COUNTIFS(tbl_data[12. Consultation Group of],$E$2,tbl_data[1:T2A],$A131,tbl_data[T2],$E$3)</f>
        <v>0</v>
      </c>
      <c r="AX131" s="198">
        <f>COUNTIFS(tbl_data[12. Consultation Group of],$E$2,tbl_data[2:T2A],$A131,tbl_data[T2],$E$3)</f>
        <v>0</v>
      </c>
      <c r="AY131" s="198">
        <f>COUNTIFS(tbl_data[12. Consultation Group of],$E$2,tbl_data[3:T2A],$A131,tbl_data[T2],$E$3)</f>
        <v>0</v>
      </c>
      <c r="AZ131" s="198">
        <f>COUNTIFS(tbl_data[12. Consultation Group of],$E$2,tbl_data[1:T3A],$A131,tbl_data[T3],$E$3)</f>
        <v>0</v>
      </c>
      <c r="BA131" s="198">
        <f>COUNTIFS(tbl_data[12. Consultation Group of],$E$2,tbl_data[2:T3A],$A131,tbl_data[T3],$E$3)</f>
        <v>0</v>
      </c>
      <c r="BB131" s="198">
        <f>COUNTIFS(tbl_data[12. Consultation Group of],$E$2,tbl_data[3:T3A],$A131,tbl_data[T3],$E$3)</f>
        <v>0</v>
      </c>
      <c r="BC131" s="198">
        <f t="shared" si="36"/>
        <v>0</v>
      </c>
      <c r="BD131" s="199" t="str">
        <f t="shared" si="37"/>
        <v>Early Warning Systems (EWS) (0)</v>
      </c>
      <c r="BE131" s="205">
        <f>COUNTIFS(tbl_data[1:T1A],$A131,tbl_data[T1],$F$3)</f>
        <v>0</v>
      </c>
      <c r="BF131" s="198">
        <f>COUNTIFS(tbl_data[2:T1A],$A131,tbl_data[T1],$F$3)</f>
        <v>1</v>
      </c>
      <c r="BG131" s="198">
        <f>COUNTIFS(tbl_data[3:T1A],$A131,tbl_data[T1],$F$3)</f>
        <v>0</v>
      </c>
      <c r="BH131" s="198">
        <f>COUNTIFS(tbl_data[1:T2A],$A131,tbl_data[T2],$F$3)</f>
        <v>0</v>
      </c>
      <c r="BI131" s="198">
        <f>COUNTIFS(tbl_data[2:T2A],$A131,tbl_data[T2],$F$3)</f>
        <v>0</v>
      </c>
      <c r="BJ131" s="198">
        <f>COUNTIFS(tbl_data[3:T2A],$A131,tbl_data[T2],$F$3)</f>
        <v>0</v>
      </c>
      <c r="BK131" s="198">
        <f>COUNTIFS(tbl_data[1:T3A],$A131,tbl_data[T3],$F$3)</f>
        <v>0</v>
      </c>
      <c r="BL131" s="198">
        <f>COUNTIFS(tbl_data[2:T3A],$A131,tbl_data[T3],$F$3)</f>
        <v>0</v>
      </c>
      <c r="BM131" s="198">
        <f>COUNTIFS(tbl_data[3:T3A],$A131,tbl_data[T3],$F$3)</f>
        <v>0</v>
      </c>
      <c r="BN131" s="198">
        <f t="shared" si="38"/>
        <v>1</v>
      </c>
      <c r="BO131" s="199" t="str">
        <f t="shared" si="39"/>
        <v>Early Warning Systems (EWS) (1)</v>
      </c>
      <c r="BQ131" t="str">
        <f t="shared" si="40"/>
        <v>Early Warning Systems (EWS)</v>
      </c>
      <c r="BR131">
        <f t="shared" si="41"/>
        <v>2</v>
      </c>
      <c r="BS131" t="s">
        <v>927</v>
      </c>
      <c r="BT131" t="s">
        <v>927</v>
      </c>
      <c r="BU131" s="275" t="s">
        <v>940</v>
      </c>
      <c r="BV131" t="s">
        <v>941</v>
      </c>
    </row>
    <row r="132" spans="1:74" x14ac:dyDescent="0.25">
      <c r="A132" s="215" t="s">
        <v>423</v>
      </c>
      <c r="B132" s="205">
        <f>COUNTIFS(tbl_data[12. Consultation Group of],$A$2,tbl_data[1:T1A],$A132,tbl_data[T1],$A$3)</f>
        <v>0</v>
      </c>
      <c r="C132" s="198">
        <f>COUNTIFS(tbl_data[12. Consultation Group of],$A$2,tbl_data[2:T1A],$A132,tbl_data[T1],$A$3)</f>
        <v>0</v>
      </c>
      <c r="D132" s="198">
        <f>COUNTIFS(tbl_data[12. Consultation Group of],$A$2,tbl_data[3:T1A],$A132,tbl_data[T1],$A$3)</f>
        <v>0</v>
      </c>
      <c r="E132" s="198">
        <f>COUNTIFS(tbl_data[12. Consultation Group of],$A$2,tbl_data[1:T2A],$A132,tbl_data[T2],$A$3)</f>
        <v>0</v>
      </c>
      <c r="F132" s="198">
        <f>COUNTIFS(tbl_data[12. Consultation Group of],$A$2,tbl_data[2:T2A],$A132,tbl_data[T2],$A$3)</f>
        <v>0</v>
      </c>
      <c r="G132" s="198">
        <f>COUNTIFS(tbl_data[12. Consultation Group of],$A$2,tbl_data[3:T2A],$A132,tbl_data[T2],$A$3)</f>
        <v>0</v>
      </c>
      <c r="H132" s="198">
        <f>COUNTIFS(tbl_data[12. Consultation Group of],$A$2,tbl_data[1:T3A],$A132,tbl_data[T3],$A$3)</f>
        <v>0</v>
      </c>
      <c r="I132" s="198">
        <f>COUNTIFS(tbl_data[12. Consultation Group of],$A$2,tbl_data[2:T3A],$A132,tbl_data[T3],$A$3)</f>
        <v>0</v>
      </c>
      <c r="J132" s="198">
        <f>COUNTIFS(tbl_data[12. Consultation Group of],$A$2,tbl_data[3:T3A],$A132,tbl_data[T3],$A$3)</f>
        <v>0</v>
      </c>
      <c r="K132" s="198">
        <f t="shared" si="28"/>
        <v>0</v>
      </c>
      <c r="L132" s="199" t="str">
        <f t="shared" si="29"/>
        <v>Implementation of policies (0)</v>
      </c>
      <c r="M132" s="205">
        <f>COUNTIFS(tbl_data[12. Consultation Group of],$B$2,tbl_data[1:T1A],$A132,tbl_data[T1],$B$3)</f>
        <v>0</v>
      </c>
      <c r="N132" s="198">
        <f>COUNTIFS(tbl_data[12. Consultation Group of],$B$2,tbl_data[2:T1A],$A132,tbl_data[T1],$B$3)</f>
        <v>0</v>
      </c>
      <c r="O132" s="198">
        <f>COUNTIFS(tbl_data[12. Consultation Group of],$B$2,tbl_data[3:T1A],$A132,tbl_data[T1],$B$3)</f>
        <v>0</v>
      </c>
      <c r="P132" s="198">
        <f>COUNTIFS(tbl_data[12. Consultation Group of],$B$2,tbl_data[1:T2A],$A132,tbl_data[T2],$B$3)</f>
        <v>0</v>
      </c>
      <c r="Q132" s="198">
        <f>COUNTIFS(tbl_data[12. Consultation Group of],$B$2,tbl_data[2:T2A],$A132,tbl_data[T2],$B$3)</f>
        <v>0</v>
      </c>
      <c r="R132" s="198">
        <f>COUNTIFS(tbl_data[12. Consultation Group of],$B$2,tbl_data[3:T2A],$A132,tbl_data[T2],$B$3)</f>
        <v>0</v>
      </c>
      <c r="S132" s="198">
        <f>COUNTIFS(tbl_data[12. Consultation Group of],$B$2,tbl_data[1:T3A],$A132,tbl_data[T3],$B$3)</f>
        <v>0</v>
      </c>
      <c r="T132" s="198">
        <f>COUNTIFS(tbl_data[12. Consultation Group of],$B$2,tbl_data[2:T3A],$A132,tbl_data[T3],$B$3)</f>
        <v>0</v>
      </c>
      <c r="U132" s="198">
        <f>COUNTIFS(tbl_data[12. Consultation Group of],$B$2,tbl_data[3:T3A],$A132,tbl_data[T3],$B$3)</f>
        <v>0</v>
      </c>
      <c r="V132" s="198">
        <f t="shared" si="30"/>
        <v>0</v>
      </c>
      <c r="W132" s="199" t="str">
        <f t="shared" si="31"/>
        <v>Implementation of policies (0)</v>
      </c>
      <c r="X132" s="205">
        <f>COUNTIFS(tbl_data[12. Consultation Group of],$C$2,tbl_data[1:T1A],$A132,tbl_data[T1],$C$3)</f>
        <v>0</v>
      </c>
      <c r="Y132" s="198">
        <f>COUNTIFS(tbl_data[12. Consultation Group of],$C$2,tbl_data[2:T1A],$A132,tbl_data[T1],$C$3)</f>
        <v>0</v>
      </c>
      <c r="Z132" s="198">
        <f>COUNTIFS(tbl_data[12. Consultation Group of],$C$2,tbl_data[3:T1A],$A132,tbl_data[T1],$C$3)</f>
        <v>1</v>
      </c>
      <c r="AA132" s="198">
        <f>COUNTIFS(tbl_data[12. Consultation Group of],$C$2,tbl_data[1:T2A],$A132,tbl_data[T2],$C$3)</f>
        <v>0</v>
      </c>
      <c r="AB132" s="198">
        <f>COUNTIFS(tbl_data[12. Consultation Group of],$C$2,tbl_data[2:T2A],$A132,tbl_data[T2],$C$3)</f>
        <v>0</v>
      </c>
      <c r="AC132" s="198">
        <f>COUNTIFS(tbl_data[12. Consultation Group of],$C$2,tbl_data[3:T2A],$A132,tbl_data[T2],$C$3)</f>
        <v>0</v>
      </c>
      <c r="AD132" s="198">
        <f>COUNTIFS(tbl_data[12. Consultation Group of],$C$2,tbl_data[1:T3A],$A132,tbl_data[T3],$C$3)</f>
        <v>0</v>
      </c>
      <c r="AE132" s="198">
        <f>COUNTIFS(tbl_data[12. Consultation Group of],$C$2,tbl_data[2:T3A],$A132,tbl_data[T3],$C$3)</f>
        <v>0</v>
      </c>
      <c r="AF132" s="198">
        <f>COUNTIFS(tbl_data[12. Consultation Group of],$C$2,tbl_data[3:T3A],$A132,tbl_data[T3],$C$3)</f>
        <v>0</v>
      </c>
      <c r="AG132" s="198">
        <f t="shared" si="32"/>
        <v>1</v>
      </c>
      <c r="AH132" s="199" t="str">
        <f t="shared" si="33"/>
        <v>Implementation of policies (1)</v>
      </c>
      <c r="AI132" s="205">
        <f>COUNTIFS(tbl_data[12. Consultation Group of],$D$2,tbl_data[1:T1A],$A132,tbl_data[T1],$D$3)</f>
        <v>0</v>
      </c>
      <c r="AJ132" s="198">
        <f>COUNTIFS(tbl_data[12. Consultation Group of],$D$2,tbl_data[2:T1A],$A132,tbl_data[T1],$D$3)</f>
        <v>0</v>
      </c>
      <c r="AK132" s="198">
        <f>COUNTIFS(tbl_data[12. Consultation Group of],$D$2,tbl_data[3:T1A],$A132,tbl_data[T1],$D$3)</f>
        <v>0</v>
      </c>
      <c r="AL132" s="198">
        <f>COUNTIFS(tbl_data[12. Consultation Group of],$D$2,tbl_data[1:T2A],$A132,tbl_data[T2],$D$3)</f>
        <v>0</v>
      </c>
      <c r="AM132" s="198">
        <f>COUNTIFS(tbl_data[12. Consultation Group of],$D$2,tbl_data[2:T2A],$A132,tbl_data[T2],$D$3)</f>
        <v>0</v>
      </c>
      <c r="AN132" s="198">
        <f>COUNTIFS(tbl_data[12. Consultation Group of],$D$2,tbl_data[3:T2A],$A132,tbl_data[T2],$D$3)</f>
        <v>0</v>
      </c>
      <c r="AO132" s="198">
        <f>COUNTIFS(tbl_data[12. Consultation Group of],$D$2,tbl_data[1:T3A],$A132,tbl_data[T3],$D$3)</f>
        <v>0</v>
      </c>
      <c r="AP132" s="198">
        <f>COUNTIFS(tbl_data[12. Consultation Group of],$D$2,tbl_data[2:T3A],$A132,tbl_data[T3],$D$3)</f>
        <v>0</v>
      </c>
      <c r="AQ132" s="198">
        <f>COUNTIFS(tbl_data[12. Consultation Group of],$D$2,tbl_data[3:T3A],$A132,tbl_data[T3],$D$3)</f>
        <v>0</v>
      </c>
      <c r="AR132" s="198">
        <f t="shared" si="34"/>
        <v>0</v>
      </c>
      <c r="AS132" s="199" t="str">
        <f t="shared" si="35"/>
        <v>Implementation of policies (0)</v>
      </c>
      <c r="AT132" s="205">
        <f>COUNTIFS(tbl_data[12. Consultation Group of],$E$2,tbl_data[1:T1A],$A132,tbl_data[T1],$E$3)</f>
        <v>0</v>
      </c>
      <c r="AU132" s="198">
        <f>COUNTIFS(tbl_data[12. Consultation Group of],$E$2,tbl_data[2:T1A],$A132,tbl_data[T1],$E$3)</f>
        <v>0</v>
      </c>
      <c r="AV132" s="198">
        <f>COUNTIFS(tbl_data[12. Consultation Group of],$E$2,tbl_data[3:T1A],$A132,tbl_data[T1],$E$3)</f>
        <v>0</v>
      </c>
      <c r="AW132" s="198">
        <f>COUNTIFS(tbl_data[12. Consultation Group of],$E$2,tbl_data[1:T2A],$A132,tbl_data[T2],$E$3)</f>
        <v>0</v>
      </c>
      <c r="AX132" s="198">
        <f>COUNTIFS(tbl_data[12. Consultation Group of],$E$2,tbl_data[2:T2A],$A132,tbl_data[T2],$E$3)</f>
        <v>0</v>
      </c>
      <c r="AY132" s="198">
        <f>COUNTIFS(tbl_data[12. Consultation Group of],$E$2,tbl_data[3:T2A],$A132,tbl_data[T2],$E$3)</f>
        <v>0</v>
      </c>
      <c r="AZ132" s="198">
        <f>COUNTIFS(tbl_data[12. Consultation Group of],$E$2,tbl_data[1:T3A],$A132,tbl_data[T3],$E$3)</f>
        <v>0</v>
      </c>
      <c r="BA132" s="198">
        <f>COUNTIFS(tbl_data[12. Consultation Group of],$E$2,tbl_data[2:T3A],$A132,tbl_data[T3],$E$3)</f>
        <v>0</v>
      </c>
      <c r="BB132" s="198">
        <f>COUNTIFS(tbl_data[12. Consultation Group of],$E$2,tbl_data[3:T3A],$A132,tbl_data[T3],$E$3)</f>
        <v>0</v>
      </c>
      <c r="BC132" s="198">
        <f t="shared" si="36"/>
        <v>0</v>
      </c>
      <c r="BD132" s="199" t="str">
        <f t="shared" si="37"/>
        <v>Implementation of policies (0)</v>
      </c>
      <c r="BE132" s="205">
        <f>COUNTIFS(tbl_data[1:T1A],$A132,tbl_data[T1],$F$3)</f>
        <v>0</v>
      </c>
      <c r="BF132" s="198">
        <f>COUNTIFS(tbl_data[2:T1A],$A132,tbl_data[T1],$F$3)</f>
        <v>0</v>
      </c>
      <c r="BG132" s="198">
        <f>COUNTIFS(tbl_data[3:T1A],$A132,tbl_data[T1],$F$3)</f>
        <v>1</v>
      </c>
      <c r="BH132" s="198">
        <f>COUNTIFS(tbl_data[1:T2A],$A132,tbl_data[T2],$F$3)</f>
        <v>0</v>
      </c>
      <c r="BI132" s="198">
        <f>COUNTIFS(tbl_data[2:T2A],$A132,tbl_data[T2],$F$3)</f>
        <v>0</v>
      </c>
      <c r="BJ132" s="198">
        <f>COUNTIFS(tbl_data[3:T2A],$A132,tbl_data[T2],$F$3)</f>
        <v>0</v>
      </c>
      <c r="BK132" s="198">
        <f>COUNTIFS(tbl_data[1:T3A],$A132,tbl_data[T3],$F$3)</f>
        <v>0</v>
      </c>
      <c r="BL132" s="198">
        <f>COUNTIFS(tbl_data[2:T3A],$A132,tbl_data[T3],$F$3)</f>
        <v>0</v>
      </c>
      <c r="BM132" s="198">
        <f>COUNTIFS(tbl_data[3:T3A],$A132,tbl_data[T3],$F$3)</f>
        <v>0</v>
      </c>
      <c r="BN132" s="198">
        <f t="shared" si="38"/>
        <v>1</v>
      </c>
      <c r="BO132" s="199" t="str">
        <f t="shared" si="39"/>
        <v>Implementation of policies (1)</v>
      </c>
      <c r="BQ132" t="str">
        <f t="shared" si="40"/>
        <v>Implementation of policies</v>
      </c>
      <c r="BR132">
        <f t="shared" si="41"/>
        <v>2</v>
      </c>
      <c r="BS132" t="s">
        <v>944</v>
      </c>
      <c r="BT132" t="s">
        <v>928</v>
      </c>
      <c r="BU132" s="274" t="s">
        <v>938</v>
      </c>
    </row>
    <row r="133" spans="1:74" x14ac:dyDescent="0.25">
      <c r="A133" s="215" t="s">
        <v>449</v>
      </c>
      <c r="B133" s="205">
        <f>COUNTIFS(tbl_data[12. Consultation Group of],$A$2,tbl_data[1:T1A],$A133,tbl_data[T1],$A$3)</f>
        <v>0</v>
      </c>
      <c r="C133" s="198">
        <f>COUNTIFS(tbl_data[12. Consultation Group of],$A$2,tbl_data[2:T1A],$A133,tbl_data[T1],$A$3)</f>
        <v>0</v>
      </c>
      <c r="D133" s="198">
        <f>COUNTIFS(tbl_data[12. Consultation Group of],$A$2,tbl_data[3:T1A],$A133,tbl_data[T1],$A$3)</f>
        <v>0</v>
      </c>
      <c r="E133" s="198">
        <f>COUNTIFS(tbl_data[12. Consultation Group of],$A$2,tbl_data[1:T2A],$A133,tbl_data[T2],$A$3)</f>
        <v>0</v>
      </c>
      <c r="F133" s="198">
        <f>COUNTIFS(tbl_data[12. Consultation Group of],$A$2,tbl_data[2:T2A],$A133,tbl_data[T2],$A$3)</f>
        <v>0</v>
      </c>
      <c r="G133" s="198">
        <f>COUNTIFS(tbl_data[12. Consultation Group of],$A$2,tbl_data[3:T2A],$A133,tbl_data[T2],$A$3)</f>
        <v>0</v>
      </c>
      <c r="H133" s="198">
        <f>COUNTIFS(tbl_data[12. Consultation Group of],$A$2,tbl_data[1:T3A],$A133,tbl_data[T3],$A$3)</f>
        <v>0</v>
      </c>
      <c r="I133" s="198">
        <f>COUNTIFS(tbl_data[12. Consultation Group of],$A$2,tbl_data[2:T3A],$A133,tbl_data[T3],$A$3)</f>
        <v>0</v>
      </c>
      <c r="J133" s="198">
        <f>COUNTIFS(tbl_data[12. Consultation Group of],$A$2,tbl_data[3:T3A],$A133,tbl_data[T3],$A$3)</f>
        <v>0</v>
      </c>
      <c r="K133" s="198">
        <f t="shared" si="28"/>
        <v>0</v>
      </c>
      <c r="L133" s="199" t="str">
        <f t="shared" si="29"/>
        <v>Evacuation/Drills/Simulations (0)</v>
      </c>
      <c r="M133" s="205">
        <f>COUNTIFS(tbl_data[12. Consultation Group of],$B$2,tbl_data[1:T1A],$A133,tbl_data[T1],$B$3)</f>
        <v>0</v>
      </c>
      <c r="N133" s="198">
        <f>COUNTIFS(tbl_data[12. Consultation Group of],$B$2,tbl_data[2:T1A],$A133,tbl_data[T1],$B$3)</f>
        <v>0</v>
      </c>
      <c r="O133" s="198">
        <f>COUNTIFS(tbl_data[12. Consultation Group of],$B$2,tbl_data[3:T1A],$A133,tbl_data[T1],$B$3)</f>
        <v>0</v>
      </c>
      <c r="P133" s="198">
        <f>COUNTIFS(tbl_data[12. Consultation Group of],$B$2,tbl_data[1:T2A],$A133,tbl_data[T2],$B$3)</f>
        <v>0</v>
      </c>
      <c r="Q133" s="198">
        <f>COUNTIFS(tbl_data[12. Consultation Group of],$B$2,tbl_data[2:T2A],$A133,tbl_data[T2],$B$3)</f>
        <v>0</v>
      </c>
      <c r="R133" s="198">
        <f>COUNTIFS(tbl_data[12. Consultation Group of],$B$2,tbl_data[3:T2A],$A133,tbl_data[T2],$B$3)</f>
        <v>0</v>
      </c>
      <c r="S133" s="198">
        <f>COUNTIFS(tbl_data[12. Consultation Group of],$B$2,tbl_data[1:T3A],$A133,tbl_data[T3],$B$3)</f>
        <v>0</v>
      </c>
      <c r="T133" s="198">
        <f>COUNTIFS(tbl_data[12. Consultation Group of],$B$2,tbl_data[2:T3A],$A133,tbl_data[T3],$B$3)</f>
        <v>0</v>
      </c>
      <c r="U133" s="198">
        <f>COUNTIFS(tbl_data[12. Consultation Group of],$B$2,tbl_data[3:T3A],$A133,tbl_data[T3],$B$3)</f>
        <v>0</v>
      </c>
      <c r="V133" s="198">
        <f t="shared" si="30"/>
        <v>0</v>
      </c>
      <c r="W133" s="199" t="str">
        <f t="shared" si="31"/>
        <v>Evacuation/Drills/Simulations (0)</v>
      </c>
      <c r="X133" s="205">
        <f>COUNTIFS(tbl_data[12. Consultation Group of],$C$2,tbl_data[1:T1A],$A133,tbl_data[T1],$C$3)</f>
        <v>0</v>
      </c>
      <c r="Y133" s="198">
        <f>COUNTIFS(tbl_data[12. Consultation Group of],$C$2,tbl_data[2:T1A],$A133,tbl_data[T1],$C$3)</f>
        <v>0</v>
      </c>
      <c r="Z133" s="198">
        <f>COUNTIFS(tbl_data[12. Consultation Group of],$C$2,tbl_data[3:T1A],$A133,tbl_data[T1],$C$3)</f>
        <v>0</v>
      </c>
      <c r="AA133" s="198">
        <f>COUNTIFS(tbl_data[12. Consultation Group of],$C$2,tbl_data[1:T2A],$A133,tbl_data[T2],$C$3)</f>
        <v>0</v>
      </c>
      <c r="AB133" s="198">
        <f>COUNTIFS(tbl_data[12. Consultation Group of],$C$2,tbl_data[2:T2A],$A133,tbl_data[T2],$C$3)</f>
        <v>0</v>
      </c>
      <c r="AC133" s="198">
        <f>COUNTIFS(tbl_data[12. Consultation Group of],$C$2,tbl_data[3:T2A],$A133,tbl_data[T2],$C$3)</f>
        <v>0</v>
      </c>
      <c r="AD133" s="198">
        <f>COUNTIFS(tbl_data[12. Consultation Group of],$C$2,tbl_data[1:T3A],$A133,tbl_data[T3],$C$3)</f>
        <v>0</v>
      </c>
      <c r="AE133" s="198">
        <f>COUNTIFS(tbl_data[12. Consultation Group of],$C$2,tbl_data[2:T3A],$A133,tbl_data[T3],$C$3)</f>
        <v>0</v>
      </c>
      <c r="AF133" s="198">
        <f>COUNTIFS(tbl_data[12. Consultation Group of],$C$2,tbl_data[3:T3A],$A133,tbl_data[T3],$C$3)</f>
        <v>0</v>
      </c>
      <c r="AG133" s="198">
        <f t="shared" si="32"/>
        <v>0</v>
      </c>
      <c r="AH133" s="199" t="str">
        <f t="shared" si="33"/>
        <v>Evacuation/Drills/Simulations (0)</v>
      </c>
      <c r="AI133" s="205">
        <f>COUNTIFS(tbl_data[12. Consultation Group of],$D$2,tbl_data[1:T1A],$A133,tbl_data[T1],$D$3)</f>
        <v>0</v>
      </c>
      <c r="AJ133" s="198">
        <f>COUNTIFS(tbl_data[12. Consultation Group of],$D$2,tbl_data[2:T1A],$A133,tbl_data[T1],$D$3)</f>
        <v>0</v>
      </c>
      <c r="AK133" s="198">
        <f>COUNTIFS(tbl_data[12. Consultation Group of],$D$2,tbl_data[3:T1A],$A133,tbl_data[T1],$D$3)</f>
        <v>0</v>
      </c>
      <c r="AL133" s="198">
        <f>COUNTIFS(tbl_data[12. Consultation Group of],$D$2,tbl_data[1:T2A],$A133,tbl_data[T2],$D$3)</f>
        <v>0</v>
      </c>
      <c r="AM133" s="198">
        <f>COUNTIFS(tbl_data[12. Consultation Group of],$D$2,tbl_data[2:T2A],$A133,tbl_data[T2],$D$3)</f>
        <v>0</v>
      </c>
      <c r="AN133" s="198">
        <f>COUNTIFS(tbl_data[12. Consultation Group of],$D$2,tbl_data[3:T2A],$A133,tbl_data[T2],$D$3)</f>
        <v>0</v>
      </c>
      <c r="AO133" s="198">
        <f>COUNTIFS(tbl_data[12. Consultation Group of],$D$2,tbl_data[1:T3A],$A133,tbl_data[T3],$D$3)</f>
        <v>0</v>
      </c>
      <c r="AP133" s="198">
        <f>COUNTIFS(tbl_data[12. Consultation Group of],$D$2,tbl_data[2:T3A],$A133,tbl_data[T3],$D$3)</f>
        <v>0</v>
      </c>
      <c r="AQ133" s="198">
        <f>COUNTIFS(tbl_data[12. Consultation Group of],$D$2,tbl_data[3:T3A],$A133,tbl_data[T3],$D$3)</f>
        <v>0</v>
      </c>
      <c r="AR133" s="198">
        <f t="shared" si="34"/>
        <v>0</v>
      </c>
      <c r="AS133" s="199" t="str">
        <f t="shared" si="35"/>
        <v>Evacuation/Drills/Simulations (0)</v>
      </c>
      <c r="AT133" s="205">
        <f>COUNTIFS(tbl_data[12. Consultation Group of],$E$2,tbl_data[1:T1A],$A133,tbl_data[T1],$E$3)</f>
        <v>0</v>
      </c>
      <c r="AU133" s="198">
        <f>COUNTIFS(tbl_data[12. Consultation Group of],$E$2,tbl_data[2:T1A],$A133,tbl_data[T1],$E$3)</f>
        <v>0</v>
      </c>
      <c r="AV133" s="198">
        <f>COUNTIFS(tbl_data[12. Consultation Group of],$E$2,tbl_data[3:T1A],$A133,tbl_data[T1],$E$3)</f>
        <v>0</v>
      </c>
      <c r="AW133" s="198">
        <f>COUNTIFS(tbl_data[12. Consultation Group of],$E$2,tbl_data[1:T2A],$A133,tbl_data[T2],$E$3)</f>
        <v>0</v>
      </c>
      <c r="AX133" s="198">
        <f>COUNTIFS(tbl_data[12. Consultation Group of],$E$2,tbl_data[2:T2A],$A133,tbl_data[T2],$E$3)</f>
        <v>0</v>
      </c>
      <c r="AY133" s="198">
        <f>COUNTIFS(tbl_data[12. Consultation Group of],$E$2,tbl_data[3:T2A],$A133,tbl_data[T2],$E$3)</f>
        <v>0</v>
      </c>
      <c r="AZ133" s="198">
        <f>COUNTIFS(tbl_data[12. Consultation Group of],$E$2,tbl_data[1:T3A],$A133,tbl_data[T3],$E$3)</f>
        <v>0</v>
      </c>
      <c r="BA133" s="198">
        <f>COUNTIFS(tbl_data[12. Consultation Group of],$E$2,tbl_data[2:T3A],$A133,tbl_data[T3],$E$3)</f>
        <v>0</v>
      </c>
      <c r="BB133" s="198">
        <f>COUNTIFS(tbl_data[12. Consultation Group of],$E$2,tbl_data[3:T3A],$A133,tbl_data[T3],$E$3)</f>
        <v>0</v>
      </c>
      <c r="BC133" s="198">
        <f t="shared" si="36"/>
        <v>0</v>
      </c>
      <c r="BD133" s="199" t="str">
        <f t="shared" si="37"/>
        <v>Evacuation/Drills/Simulations (0)</v>
      </c>
      <c r="BE133" s="205">
        <f>COUNTIFS(tbl_data[1:T1A],$A133,tbl_data[T1],$F$3)</f>
        <v>0</v>
      </c>
      <c r="BF133" s="198">
        <f>COUNTIFS(tbl_data[2:T1A],$A133,tbl_data[T1],$F$3)</f>
        <v>0</v>
      </c>
      <c r="BG133" s="198">
        <f>COUNTIFS(tbl_data[3:T1A],$A133,tbl_data[T1],$F$3)</f>
        <v>0</v>
      </c>
      <c r="BH133" s="198">
        <f>COUNTIFS(tbl_data[1:T2A],$A133,tbl_data[T2],$F$3)</f>
        <v>0</v>
      </c>
      <c r="BI133" s="198">
        <f>COUNTIFS(tbl_data[2:T2A],$A133,tbl_data[T2],$F$3)</f>
        <v>0</v>
      </c>
      <c r="BJ133" s="198">
        <f>COUNTIFS(tbl_data[3:T2A],$A133,tbl_data[T2],$F$3)</f>
        <v>0</v>
      </c>
      <c r="BK133" s="198">
        <f>COUNTIFS(tbl_data[1:T3A],$A133,tbl_data[T3],$F$3)</f>
        <v>0</v>
      </c>
      <c r="BL133" s="198">
        <f>COUNTIFS(tbl_data[2:T3A],$A133,tbl_data[T3],$F$3)</f>
        <v>0</v>
      </c>
      <c r="BM133" s="198">
        <f>COUNTIFS(tbl_data[3:T3A],$A133,tbl_data[T3],$F$3)</f>
        <v>0</v>
      </c>
      <c r="BN133" s="198">
        <f t="shared" si="38"/>
        <v>0</v>
      </c>
      <c r="BO133" s="199" t="str">
        <f t="shared" si="39"/>
        <v>Evacuation/Drills/Simulations (0)</v>
      </c>
      <c r="BQ133" t="str">
        <f t="shared" si="40"/>
        <v>Evacuation/Drills/Simulations</v>
      </c>
      <c r="BR133">
        <f t="shared" si="41"/>
        <v>0</v>
      </c>
    </row>
    <row r="134" spans="1:74" x14ac:dyDescent="0.25">
      <c r="A134" s="215" t="s">
        <v>206</v>
      </c>
      <c r="B134" s="205">
        <f>COUNTIFS(tbl_data[12. Consultation Group of],$A$2,tbl_data[1:T1A],$A134,tbl_data[T1],$A$3)</f>
        <v>0</v>
      </c>
      <c r="C134" s="198">
        <f>COUNTIFS(tbl_data[12. Consultation Group of],$A$2,tbl_data[2:T1A],$A134,tbl_data[T1],$A$3)</f>
        <v>0</v>
      </c>
      <c r="D134" s="198">
        <f>COUNTIFS(tbl_data[12. Consultation Group of],$A$2,tbl_data[3:T1A],$A134,tbl_data[T1],$A$3)</f>
        <v>0</v>
      </c>
      <c r="E134" s="198">
        <f>COUNTIFS(tbl_data[12. Consultation Group of],$A$2,tbl_data[1:T2A],$A134,tbl_data[T2],$A$3)</f>
        <v>0</v>
      </c>
      <c r="F134" s="198">
        <f>COUNTIFS(tbl_data[12. Consultation Group of],$A$2,tbl_data[2:T2A],$A134,tbl_data[T2],$A$3)</f>
        <v>0</v>
      </c>
      <c r="G134" s="198">
        <f>COUNTIFS(tbl_data[12. Consultation Group of],$A$2,tbl_data[3:T2A],$A134,tbl_data[T2],$A$3)</f>
        <v>0</v>
      </c>
      <c r="H134" s="198">
        <f>COUNTIFS(tbl_data[12. Consultation Group of],$A$2,tbl_data[1:T3A],$A134,tbl_data[T3],$A$3)</f>
        <v>0</v>
      </c>
      <c r="I134" s="198">
        <f>COUNTIFS(tbl_data[12. Consultation Group of],$A$2,tbl_data[2:T3A],$A134,tbl_data[T3],$A$3)</f>
        <v>0</v>
      </c>
      <c r="J134" s="198">
        <f>COUNTIFS(tbl_data[12. Consultation Group of],$A$2,tbl_data[3:T3A],$A134,tbl_data[T3],$A$3)</f>
        <v>0</v>
      </c>
      <c r="K134" s="198">
        <f t="shared" si="28"/>
        <v>0</v>
      </c>
      <c r="L134" s="199" t="str">
        <f t="shared" si="29"/>
        <v>Investment in Infrastructure Improvement and Mitigation Works (0)</v>
      </c>
      <c r="M134" s="205">
        <f>COUNTIFS(tbl_data[12. Consultation Group of],$B$2,tbl_data[1:T1A],$A134,tbl_data[T1],$B$3)</f>
        <v>0</v>
      </c>
      <c r="N134" s="198">
        <f>COUNTIFS(tbl_data[12. Consultation Group of],$B$2,tbl_data[2:T1A],$A134,tbl_data[T1],$B$3)</f>
        <v>0</v>
      </c>
      <c r="O134" s="198">
        <f>COUNTIFS(tbl_data[12. Consultation Group of],$B$2,tbl_data[3:T1A],$A134,tbl_data[T1],$B$3)</f>
        <v>1</v>
      </c>
      <c r="P134" s="198">
        <f>COUNTIFS(tbl_data[12. Consultation Group of],$B$2,tbl_data[1:T2A],$A134,tbl_data[T2],$B$3)</f>
        <v>0</v>
      </c>
      <c r="Q134" s="198">
        <f>COUNTIFS(tbl_data[12. Consultation Group of],$B$2,tbl_data[2:T2A],$A134,tbl_data[T2],$B$3)</f>
        <v>0</v>
      </c>
      <c r="R134" s="198">
        <f>COUNTIFS(tbl_data[12. Consultation Group of],$B$2,tbl_data[3:T2A],$A134,tbl_data[T2],$B$3)</f>
        <v>0</v>
      </c>
      <c r="S134" s="198">
        <f>COUNTIFS(tbl_data[12. Consultation Group of],$B$2,tbl_data[1:T3A],$A134,tbl_data[T3],$B$3)</f>
        <v>0</v>
      </c>
      <c r="T134" s="198">
        <f>COUNTIFS(tbl_data[12. Consultation Group of],$B$2,tbl_data[2:T3A],$A134,tbl_data[T3],$B$3)</f>
        <v>0</v>
      </c>
      <c r="U134" s="198">
        <f>COUNTIFS(tbl_data[12. Consultation Group of],$B$2,tbl_data[3:T3A],$A134,tbl_data[T3],$B$3)</f>
        <v>1</v>
      </c>
      <c r="V134" s="198">
        <f t="shared" si="30"/>
        <v>2</v>
      </c>
      <c r="W134" s="199" t="str">
        <f t="shared" si="31"/>
        <v>Investment in Infrastructure Improvement and Mitigation Works (2)</v>
      </c>
      <c r="X134" s="205">
        <f>COUNTIFS(tbl_data[12. Consultation Group of],$C$2,tbl_data[1:T1A],$A134,tbl_data[T1],$C$3)</f>
        <v>0</v>
      </c>
      <c r="Y134" s="198">
        <f>COUNTIFS(tbl_data[12. Consultation Group of],$C$2,tbl_data[2:T1A],$A134,tbl_data[T1],$C$3)</f>
        <v>1</v>
      </c>
      <c r="Z134" s="198">
        <f>COUNTIFS(tbl_data[12. Consultation Group of],$C$2,tbl_data[3:T1A],$A134,tbl_data[T1],$C$3)</f>
        <v>0</v>
      </c>
      <c r="AA134" s="198">
        <f>COUNTIFS(tbl_data[12. Consultation Group of],$C$2,tbl_data[1:T2A],$A134,tbl_data[T2],$C$3)</f>
        <v>0</v>
      </c>
      <c r="AB134" s="198">
        <f>COUNTIFS(tbl_data[12. Consultation Group of],$C$2,tbl_data[2:T2A],$A134,tbl_data[T2],$C$3)</f>
        <v>0</v>
      </c>
      <c r="AC134" s="198">
        <f>COUNTIFS(tbl_data[12. Consultation Group of],$C$2,tbl_data[3:T2A],$A134,tbl_data[T2],$C$3)</f>
        <v>0</v>
      </c>
      <c r="AD134" s="198">
        <f>COUNTIFS(tbl_data[12. Consultation Group of],$C$2,tbl_data[1:T3A],$A134,tbl_data[T3],$C$3)</f>
        <v>0</v>
      </c>
      <c r="AE134" s="198">
        <f>COUNTIFS(tbl_data[12. Consultation Group of],$C$2,tbl_data[2:T3A],$A134,tbl_data[T3],$C$3)</f>
        <v>0</v>
      </c>
      <c r="AF134" s="198">
        <f>COUNTIFS(tbl_data[12. Consultation Group of],$C$2,tbl_data[3:T3A],$A134,tbl_data[T3],$C$3)</f>
        <v>0</v>
      </c>
      <c r="AG134" s="198">
        <f t="shared" si="32"/>
        <v>1</v>
      </c>
      <c r="AH134" s="199" t="str">
        <f t="shared" si="33"/>
        <v>Investment in Infrastructure Improvement and Mitigation Works (1)</v>
      </c>
      <c r="AI134" s="205">
        <f>COUNTIFS(tbl_data[12. Consultation Group of],$D$2,tbl_data[1:T1A],$A134,tbl_data[T1],$D$3)</f>
        <v>0</v>
      </c>
      <c r="AJ134" s="198">
        <f>COUNTIFS(tbl_data[12. Consultation Group of],$D$2,tbl_data[2:T1A],$A134,tbl_data[T1],$D$3)</f>
        <v>1</v>
      </c>
      <c r="AK134" s="198">
        <f>COUNTIFS(tbl_data[12. Consultation Group of],$D$2,tbl_data[3:T1A],$A134,tbl_data[T1],$D$3)</f>
        <v>0</v>
      </c>
      <c r="AL134" s="198">
        <f>COUNTIFS(tbl_data[12. Consultation Group of],$D$2,tbl_data[1:T2A],$A134,tbl_data[T2],$D$3)</f>
        <v>0</v>
      </c>
      <c r="AM134" s="198">
        <f>COUNTIFS(tbl_data[12. Consultation Group of],$D$2,tbl_data[2:T2A],$A134,tbl_data[T2],$D$3)</f>
        <v>0</v>
      </c>
      <c r="AN134" s="198">
        <f>COUNTIFS(tbl_data[12. Consultation Group of],$D$2,tbl_data[3:T2A],$A134,tbl_data[T2],$D$3)</f>
        <v>0</v>
      </c>
      <c r="AO134" s="198">
        <f>COUNTIFS(tbl_data[12. Consultation Group of],$D$2,tbl_data[1:T3A],$A134,tbl_data[T3],$D$3)</f>
        <v>0</v>
      </c>
      <c r="AP134" s="198">
        <f>COUNTIFS(tbl_data[12. Consultation Group of],$D$2,tbl_data[2:T3A],$A134,tbl_data[T3],$D$3)</f>
        <v>0</v>
      </c>
      <c r="AQ134" s="198">
        <f>COUNTIFS(tbl_data[12. Consultation Group of],$D$2,tbl_data[3:T3A],$A134,tbl_data[T3],$D$3)</f>
        <v>0</v>
      </c>
      <c r="AR134" s="198">
        <f t="shared" si="34"/>
        <v>1</v>
      </c>
      <c r="AS134" s="199" t="str">
        <f t="shared" si="35"/>
        <v>Investment in Infrastructure Improvement and Mitigation Works (1)</v>
      </c>
      <c r="AT134" s="205">
        <f>COUNTIFS(tbl_data[12. Consultation Group of],$E$2,tbl_data[1:T1A],$A134,tbl_data[T1],$E$3)</f>
        <v>1</v>
      </c>
      <c r="AU134" s="198">
        <f>COUNTIFS(tbl_data[12. Consultation Group of],$E$2,tbl_data[2:T1A],$A134,tbl_data[T1],$E$3)</f>
        <v>1</v>
      </c>
      <c r="AV134" s="198">
        <f>COUNTIFS(tbl_data[12. Consultation Group of],$E$2,tbl_data[3:T1A],$A134,tbl_data[T1],$E$3)</f>
        <v>0</v>
      </c>
      <c r="AW134" s="198">
        <f>COUNTIFS(tbl_data[12. Consultation Group of],$E$2,tbl_data[1:T2A],$A134,tbl_data[T2],$E$3)</f>
        <v>0</v>
      </c>
      <c r="AX134" s="198">
        <f>COUNTIFS(tbl_data[12. Consultation Group of],$E$2,tbl_data[2:T2A],$A134,tbl_data[T2],$E$3)</f>
        <v>0</v>
      </c>
      <c r="AY134" s="198">
        <f>COUNTIFS(tbl_data[12. Consultation Group of],$E$2,tbl_data[3:T2A],$A134,tbl_data[T2],$E$3)</f>
        <v>0</v>
      </c>
      <c r="AZ134" s="198">
        <f>COUNTIFS(tbl_data[12. Consultation Group of],$E$2,tbl_data[1:T3A],$A134,tbl_data[T3],$E$3)</f>
        <v>1</v>
      </c>
      <c r="BA134" s="198">
        <f>COUNTIFS(tbl_data[12. Consultation Group of],$E$2,tbl_data[2:T3A],$A134,tbl_data[T3],$E$3)</f>
        <v>0</v>
      </c>
      <c r="BB134" s="198">
        <f>COUNTIFS(tbl_data[12. Consultation Group of],$E$2,tbl_data[3:T3A],$A134,tbl_data[T3],$E$3)</f>
        <v>0</v>
      </c>
      <c r="BC134" s="198">
        <f t="shared" si="36"/>
        <v>3</v>
      </c>
      <c r="BD134" s="199" t="str">
        <f t="shared" si="37"/>
        <v>Investment in Infrastructure Improvement and Mitigation Works (3)</v>
      </c>
      <c r="BE134" s="205">
        <f>COUNTIFS(tbl_data[1:T1A],$A134,tbl_data[T1],$F$3)</f>
        <v>0</v>
      </c>
      <c r="BF134" s="198">
        <f>COUNTIFS(tbl_data[2:T1A],$A134,tbl_data[T1],$F$3)</f>
        <v>3</v>
      </c>
      <c r="BG134" s="198">
        <f>COUNTIFS(tbl_data[3:T1A],$A134,tbl_data[T1],$F$3)</f>
        <v>0</v>
      </c>
      <c r="BH134" s="198">
        <f>COUNTIFS(tbl_data[1:T2A],$A134,tbl_data[T2],$F$3)</f>
        <v>0</v>
      </c>
      <c r="BI134" s="198">
        <f>COUNTIFS(tbl_data[2:T2A],$A134,tbl_data[T2],$F$3)</f>
        <v>0</v>
      </c>
      <c r="BJ134" s="198">
        <f>COUNTIFS(tbl_data[3:T2A],$A134,tbl_data[T2],$F$3)</f>
        <v>0</v>
      </c>
      <c r="BK134" s="198">
        <f>COUNTIFS(tbl_data[1:T3A],$A134,tbl_data[T3],$F$3)</f>
        <v>0</v>
      </c>
      <c r="BL134" s="198">
        <f>COUNTIFS(tbl_data[2:T3A],$A134,tbl_data[T3],$F$3)</f>
        <v>0</v>
      </c>
      <c r="BM134" s="198">
        <f>COUNTIFS(tbl_data[3:T3A],$A134,tbl_data[T3],$F$3)</f>
        <v>0</v>
      </c>
      <c r="BN134" s="198">
        <f t="shared" si="38"/>
        <v>3</v>
      </c>
      <c r="BO134" s="199" t="str">
        <f t="shared" si="39"/>
        <v>Investment in Infrastructure Improvement and Mitigation Works (3)</v>
      </c>
      <c r="BQ134" t="str">
        <f t="shared" si="40"/>
        <v>Investment in Infrastructure Improvement and Mitigation Works</v>
      </c>
      <c r="BR134">
        <f t="shared" si="41"/>
        <v>10</v>
      </c>
      <c r="BS134" t="s">
        <v>927</v>
      </c>
      <c r="BT134" t="s">
        <v>927</v>
      </c>
      <c r="BU134" s="275" t="s">
        <v>940</v>
      </c>
      <c r="BV134" t="s">
        <v>941</v>
      </c>
    </row>
    <row r="135" spans="1:74" x14ac:dyDescent="0.25">
      <c r="A135" s="215" t="s">
        <v>459</v>
      </c>
      <c r="B135" s="205">
        <f>COUNTIFS(tbl_data[12. Consultation Group of],$A$2,tbl_data[1:T1A],$A135,tbl_data[T1],$A$3)</f>
        <v>0</v>
      </c>
      <c r="C135" s="198">
        <f>COUNTIFS(tbl_data[12. Consultation Group of],$A$2,tbl_data[2:T1A],$A135,tbl_data[T1],$A$3)</f>
        <v>0</v>
      </c>
      <c r="D135" s="198">
        <f>COUNTIFS(tbl_data[12. Consultation Group of],$A$2,tbl_data[3:T1A],$A135,tbl_data[T1],$A$3)</f>
        <v>0</v>
      </c>
      <c r="E135" s="198">
        <f>COUNTIFS(tbl_data[12. Consultation Group of],$A$2,tbl_data[1:T2A],$A135,tbl_data[T2],$A$3)</f>
        <v>0</v>
      </c>
      <c r="F135" s="198">
        <f>COUNTIFS(tbl_data[12. Consultation Group of],$A$2,tbl_data[2:T2A],$A135,tbl_data[T2],$A$3)</f>
        <v>0</v>
      </c>
      <c r="G135" s="198">
        <f>COUNTIFS(tbl_data[12. Consultation Group of],$A$2,tbl_data[3:T2A],$A135,tbl_data[T2],$A$3)</f>
        <v>0</v>
      </c>
      <c r="H135" s="198">
        <f>COUNTIFS(tbl_data[12. Consultation Group of],$A$2,tbl_data[1:T3A],$A135,tbl_data[T3],$A$3)</f>
        <v>0</v>
      </c>
      <c r="I135" s="198">
        <f>COUNTIFS(tbl_data[12. Consultation Group of],$A$2,tbl_data[2:T3A],$A135,tbl_data[T3],$A$3)</f>
        <v>0</v>
      </c>
      <c r="J135" s="198">
        <f>COUNTIFS(tbl_data[12. Consultation Group of],$A$2,tbl_data[3:T3A],$A135,tbl_data[T3],$A$3)</f>
        <v>0</v>
      </c>
      <c r="K135" s="198">
        <f t="shared" si="28"/>
        <v>0</v>
      </c>
      <c r="L135" s="199" t="str">
        <f t="shared" si="29"/>
        <v>Local Financial Resources for DRR/Response (0)</v>
      </c>
      <c r="M135" s="205">
        <f>COUNTIFS(tbl_data[12. Consultation Group of],$B$2,tbl_data[1:T1A],$A135,tbl_data[T1],$B$3)</f>
        <v>0</v>
      </c>
      <c r="N135" s="198">
        <f>COUNTIFS(tbl_data[12. Consultation Group of],$B$2,tbl_data[2:T1A],$A135,tbl_data[T1],$B$3)</f>
        <v>0</v>
      </c>
      <c r="O135" s="198">
        <f>COUNTIFS(tbl_data[12. Consultation Group of],$B$2,tbl_data[3:T1A],$A135,tbl_data[T1],$B$3)</f>
        <v>0</v>
      </c>
      <c r="P135" s="198">
        <f>COUNTIFS(tbl_data[12. Consultation Group of],$B$2,tbl_data[1:T2A],$A135,tbl_data[T2],$B$3)</f>
        <v>0</v>
      </c>
      <c r="Q135" s="198">
        <f>COUNTIFS(tbl_data[12. Consultation Group of],$B$2,tbl_data[2:T2A],$A135,tbl_data[T2],$B$3)</f>
        <v>0</v>
      </c>
      <c r="R135" s="198">
        <f>COUNTIFS(tbl_data[12. Consultation Group of],$B$2,tbl_data[3:T2A],$A135,tbl_data[T2],$B$3)</f>
        <v>0</v>
      </c>
      <c r="S135" s="198">
        <f>COUNTIFS(tbl_data[12. Consultation Group of],$B$2,tbl_data[1:T3A],$A135,tbl_data[T3],$B$3)</f>
        <v>0</v>
      </c>
      <c r="T135" s="198">
        <f>COUNTIFS(tbl_data[12. Consultation Group of],$B$2,tbl_data[2:T3A],$A135,tbl_data[T3],$B$3)</f>
        <v>0</v>
      </c>
      <c r="U135" s="198">
        <f>COUNTIFS(tbl_data[12. Consultation Group of],$B$2,tbl_data[3:T3A],$A135,tbl_data[T3],$B$3)</f>
        <v>0</v>
      </c>
      <c r="V135" s="198">
        <f t="shared" si="30"/>
        <v>0</v>
      </c>
      <c r="W135" s="199" t="str">
        <f t="shared" si="31"/>
        <v>Local Financial Resources for DRR/Response (0)</v>
      </c>
      <c r="X135" s="205">
        <f>COUNTIFS(tbl_data[12. Consultation Group of],$C$2,tbl_data[1:T1A],$A135,tbl_data[T1],$C$3)</f>
        <v>0</v>
      </c>
      <c r="Y135" s="198">
        <f>COUNTIFS(tbl_data[12. Consultation Group of],$C$2,tbl_data[2:T1A],$A135,tbl_data[T1],$C$3)</f>
        <v>0</v>
      </c>
      <c r="Z135" s="198">
        <f>COUNTIFS(tbl_data[12. Consultation Group of],$C$2,tbl_data[3:T1A],$A135,tbl_data[T1],$C$3)</f>
        <v>0</v>
      </c>
      <c r="AA135" s="198">
        <f>COUNTIFS(tbl_data[12. Consultation Group of],$C$2,tbl_data[1:T2A],$A135,tbl_data[T2],$C$3)</f>
        <v>0</v>
      </c>
      <c r="AB135" s="198">
        <f>COUNTIFS(tbl_data[12. Consultation Group of],$C$2,tbl_data[2:T2A],$A135,tbl_data[T2],$C$3)</f>
        <v>0</v>
      </c>
      <c r="AC135" s="198">
        <f>COUNTIFS(tbl_data[12. Consultation Group of],$C$2,tbl_data[3:T2A],$A135,tbl_data[T2],$C$3)</f>
        <v>0</v>
      </c>
      <c r="AD135" s="198">
        <f>COUNTIFS(tbl_data[12. Consultation Group of],$C$2,tbl_data[1:T3A],$A135,tbl_data[T3],$C$3)</f>
        <v>0</v>
      </c>
      <c r="AE135" s="198">
        <f>COUNTIFS(tbl_data[12. Consultation Group of],$C$2,tbl_data[2:T3A],$A135,tbl_data[T3],$C$3)</f>
        <v>0</v>
      </c>
      <c r="AF135" s="198">
        <f>COUNTIFS(tbl_data[12. Consultation Group of],$C$2,tbl_data[3:T3A],$A135,tbl_data[T3],$C$3)</f>
        <v>0</v>
      </c>
      <c r="AG135" s="198">
        <f t="shared" si="32"/>
        <v>0</v>
      </c>
      <c r="AH135" s="199" t="str">
        <f t="shared" si="33"/>
        <v>Local Financial Resources for DRR/Response (0)</v>
      </c>
      <c r="AI135" s="205">
        <f>COUNTIFS(tbl_data[12. Consultation Group of],$D$2,tbl_data[1:T1A],$A135,tbl_data[T1],$D$3)</f>
        <v>0</v>
      </c>
      <c r="AJ135" s="198">
        <f>COUNTIFS(tbl_data[12. Consultation Group of],$D$2,tbl_data[2:T1A],$A135,tbl_data[T1],$D$3)</f>
        <v>0</v>
      </c>
      <c r="AK135" s="198">
        <f>COUNTIFS(tbl_data[12. Consultation Group of],$D$2,tbl_data[3:T1A],$A135,tbl_data[T1],$D$3)</f>
        <v>0</v>
      </c>
      <c r="AL135" s="198">
        <f>COUNTIFS(tbl_data[12. Consultation Group of],$D$2,tbl_data[1:T2A],$A135,tbl_data[T2],$D$3)</f>
        <v>0</v>
      </c>
      <c r="AM135" s="198">
        <f>COUNTIFS(tbl_data[12. Consultation Group of],$D$2,tbl_data[2:T2A],$A135,tbl_data[T2],$D$3)</f>
        <v>0</v>
      </c>
      <c r="AN135" s="198">
        <f>COUNTIFS(tbl_data[12. Consultation Group of],$D$2,tbl_data[3:T2A],$A135,tbl_data[T2],$D$3)</f>
        <v>0</v>
      </c>
      <c r="AO135" s="198">
        <f>COUNTIFS(tbl_data[12. Consultation Group of],$D$2,tbl_data[1:T3A],$A135,tbl_data[T3],$D$3)</f>
        <v>0</v>
      </c>
      <c r="AP135" s="198">
        <f>COUNTIFS(tbl_data[12. Consultation Group of],$D$2,tbl_data[2:T3A],$A135,tbl_data[T3],$D$3)</f>
        <v>0</v>
      </c>
      <c r="AQ135" s="198">
        <f>COUNTIFS(tbl_data[12. Consultation Group of],$D$2,tbl_data[3:T3A],$A135,tbl_data[T3],$D$3)</f>
        <v>0</v>
      </c>
      <c r="AR135" s="198">
        <f t="shared" si="34"/>
        <v>0</v>
      </c>
      <c r="AS135" s="199" t="str">
        <f t="shared" si="35"/>
        <v>Local Financial Resources for DRR/Response (0)</v>
      </c>
      <c r="AT135" s="205">
        <f>COUNTIFS(tbl_data[12. Consultation Group of],$E$2,tbl_data[1:T1A],$A135,tbl_data[T1],$E$3)</f>
        <v>0</v>
      </c>
      <c r="AU135" s="198">
        <f>COUNTIFS(tbl_data[12. Consultation Group of],$E$2,tbl_data[2:T1A],$A135,tbl_data[T1],$E$3)</f>
        <v>0</v>
      </c>
      <c r="AV135" s="198">
        <f>COUNTIFS(tbl_data[12. Consultation Group of],$E$2,tbl_data[3:T1A],$A135,tbl_data[T1],$E$3)</f>
        <v>0</v>
      </c>
      <c r="AW135" s="198">
        <f>COUNTIFS(tbl_data[12. Consultation Group of],$E$2,tbl_data[1:T2A],$A135,tbl_data[T2],$E$3)</f>
        <v>0</v>
      </c>
      <c r="AX135" s="198">
        <f>COUNTIFS(tbl_data[12. Consultation Group of],$E$2,tbl_data[2:T2A],$A135,tbl_data[T2],$E$3)</f>
        <v>0</v>
      </c>
      <c r="AY135" s="198">
        <f>COUNTIFS(tbl_data[12. Consultation Group of],$E$2,tbl_data[3:T2A],$A135,tbl_data[T2],$E$3)</f>
        <v>0</v>
      </c>
      <c r="AZ135" s="198">
        <f>COUNTIFS(tbl_data[12. Consultation Group of],$E$2,tbl_data[1:T3A],$A135,tbl_data[T3],$E$3)</f>
        <v>0</v>
      </c>
      <c r="BA135" s="198">
        <f>COUNTIFS(tbl_data[12. Consultation Group of],$E$2,tbl_data[2:T3A],$A135,tbl_data[T3],$E$3)</f>
        <v>0</v>
      </c>
      <c r="BB135" s="198">
        <f>COUNTIFS(tbl_data[12. Consultation Group of],$E$2,tbl_data[3:T3A],$A135,tbl_data[T3],$E$3)</f>
        <v>0</v>
      </c>
      <c r="BC135" s="198">
        <f t="shared" si="36"/>
        <v>0</v>
      </c>
      <c r="BD135" s="199" t="str">
        <f t="shared" si="37"/>
        <v>Local Financial Resources for DRR/Response (0)</v>
      </c>
      <c r="BE135" s="205">
        <f>COUNTIFS(tbl_data[1:T1A],$A135,tbl_data[T1],$F$3)</f>
        <v>0</v>
      </c>
      <c r="BF135" s="198">
        <f>COUNTIFS(tbl_data[2:T1A],$A135,tbl_data[T1],$F$3)</f>
        <v>0</v>
      </c>
      <c r="BG135" s="198">
        <f>COUNTIFS(tbl_data[3:T1A],$A135,tbl_data[T1],$F$3)</f>
        <v>0</v>
      </c>
      <c r="BH135" s="198">
        <f>COUNTIFS(tbl_data[1:T2A],$A135,tbl_data[T2],$F$3)</f>
        <v>0</v>
      </c>
      <c r="BI135" s="198">
        <f>COUNTIFS(tbl_data[2:T2A],$A135,tbl_data[T2],$F$3)</f>
        <v>0</v>
      </c>
      <c r="BJ135" s="198">
        <f>COUNTIFS(tbl_data[3:T2A],$A135,tbl_data[T2],$F$3)</f>
        <v>0</v>
      </c>
      <c r="BK135" s="198">
        <f>COUNTIFS(tbl_data[1:T3A],$A135,tbl_data[T3],$F$3)</f>
        <v>0</v>
      </c>
      <c r="BL135" s="198">
        <f>COUNTIFS(tbl_data[2:T3A],$A135,tbl_data[T3],$F$3)</f>
        <v>0</v>
      </c>
      <c r="BM135" s="198">
        <f>COUNTIFS(tbl_data[3:T3A],$A135,tbl_data[T3],$F$3)</f>
        <v>0</v>
      </c>
      <c r="BN135" s="198">
        <f t="shared" si="38"/>
        <v>0</v>
      </c>
      <c r="BO135" s="199" t="str">
        <f t="shared" si="39"/>
        <v>Local Financial Resources for DRR/Response (0)</v>
      </c>
      <c r="BQ135" t="str">
        <f t="shared" si="40"/>
        <v>Local Financial Resources for DRR/Response</v>
      </c>
      <c r="BR135">
        <f t="shared" si="41"/>
        <v>0</v>
      </c>
    </row>
    <row r="136" spans="1:74" x14ac:dyDescent="0.25">
      <c r="A136" s="215" t="s">
        <v>290</v>
      </c>
      <c r="B136" s="205">
        <f>COUNTIFS(tbl_data[12. Consultation Group of],$A$2,tbl_data[1:T1A],$A136,tbl_data[T1],$A$3)</f>
        <v>0</v>
      </c>
      <c r="C136" s="198">
        <f>COUNTIFS(tbl_data[12. Consultation Group of],$A$2,tbl_data[2:T1A],$A136,tbl_data[T1],$A$3)</f>
        <v>0</v>
      </c>
      <c r="D136" s="198">
        <f>COUNTIFS(tbl_data[12. Consultation Group of],$A$2,tbl_data[3:T1A],$A136,tbl_data[T1],$A$3)</f>
        <v>1</v>
      </c>
      <c r="E136" s="198">
        <f>COUNTIFS(tbl_data[12. Consultation Group of],$A$2,tbl_data[1:T2A],$A136,tbl_data[T2],$A$3)</f>
        <v>0</v>
      </c>
      <c r="F136" s="198">
        <f>COUNTIFS(tbl_data[12. Consultation Group of],$A$2,tbl_data[2:T2A],$A136,tbl_data[T2],$A$3)</f>
        <v>0</v>
      </c>
      <c r="G136" s="198">
        <f>COUNTIFS(tbl_data[12. Consultation Group of],$A$2,tbl_data[3:T2A],$A136,tbl_data[T2],$A$3)</f>
        <v>0</v>
      </c>
      <c r="H136" s="198">
        <f>COUNTIFS(tbl_data[12. Consultation Group of],$A$2,tbl_data[1:T3A],$A136,tbl_data[T3],$A$3)</f>
        <v>0</v>
      </c>
      <c r="I136" s="198">
        <f>COUNTIFS(tbl_data[12. Consultation Group of],$A$2,tbl_data[2:T3A],$A136,tbl_data[T3],$A$3)</f>
        <v>0</v>
      </c>
      <c r="J136" s="198">
        <f>COUNTIFS(tbl_data[12. Consultation Group of],$A$2,tbl_data[3:T3A],$A136,tbl_data[T3],$A$3)</f>
        <v>0</v>
      </c>
      <c r="K136" s="198">
        <f t="shared" si="28"/>
        <v>1</v>
      </c>
      <c r="L136" s="199" t="str">
        <f t="shared" si="29"/>
        <v>Climate Change Adaptation (1)</v>
      </c>
      <c r="M136" s="205">
        <f>COUNTIFS(tbl_data[12. Consultation Group of],$B$2,tbl_data[1:T1A],$A136,tbl_data[T1],$B$3)</f>
        <v>0</v>
      </c>
      <c r="N136" s="198">
        <f>COUNTIFS(tbl_data[12. Consultation Group of],$B$2,tbl_data[2:T1A],$A136,tbl_data[T1],$B$3)</f>
        <v>0</v>
      </c>
      <c r="O136" s="198">
        <f>COUNTIFS(tbl_data[12. Consultation Group of],$B$2,tbl_data[3:T1A],$A136,tbl_data[T1],$B$3)</f>
        <v>0</v>
      </c>
      <c r="P136" s="198">
        <f>COUNTIFS(tbl_data[12. Consultation Group of],$B$2,tbl_data[1:T2A],$A136,tbl_data[T2],$B$3)</f>
        <v>0</v>
      </c>
      <c r="Q136" s="198">
        <f>COUNTIFS(tbl_data[12. Consultation Group of],$B$2,tbl_data[2:T2A],$A136,tbl_data[T2],$B$3)</f>
        <v>0</v>
      </c>
      <c r="R136" s="198">
        <f>COUNTIFS(tbl_data[12. Consultation Group of],$B$2,tbl_data[3:T2A],$A136,tbl_data[T2],$B$3)</f>
        <v>0</v>
      </c>
      <c r="S136" s="198">
        <f>COUNTIFS(tbl_data[12. Consultation Group of],$B$2,tbl_data[1:T3A],$A136,tbl_data[T3],$B$3)</f>
        <v>1</v>
      </c>
      <c r="T136" s="198">
        <f>COUNTIFS(tbl_data[12. Consultation Group of],$B$2,tbl_data[2:T3A],$A136,tbl_data[T3],$B$3)</f>
        <v>0</v>
      </c>
      <c r="U136" s="198">
        <f>COUNTIFS(tbl_data[12. Consultation Group of],$B$2,tbl_data[3:T3A],$A136,tbl_data[T3],$B$3)</f>
        <v>0</v>
      </c>
      <c r="V136" s="198">
        <f t="shared" si="30"/>
        <v>1</v>
      </c>
      <c r="W136" s="199" t="str">
        <f t="shared" si="31"/>
        <v>Climate Change Adaptation (1)</v>
      </c>
      <c r="X136" s="205">
        <f>COUNTIFS(tbl_data[12. Consultation Group of],$C$2,tbl_data[1:T1A],$A136,tbl_data[T1],$C$3)</f>
        <v>0</v>
      </c>
      <c r="Y136" s="198">
        <f>COUNTIFS(tbl_data[12. Consultation Group of],$C$2,tbl_data[2:T1A],$A136,tbl_data[T1],$C$3)</f>
        <v>0</v>
      </c>
      <c r="Z136" s="198">
        <f>COUNTIFS(tbl_data[12. Consultation Group of],$C$2,tbl_data[3:T1A],$A136,tbl_data[T1],$C$3)</f>
        <v>0</v>
      </c>
      <c r="AA136" s="198">
        <f>COUNTIFS(tbl_data[12. Consultation Group of],$C$2,tbl_data[1:T2A],$A136,tbl_data[T2],$C$3)</f>
        <v>0</v>
      </c>
      <c r="AB136" s="198">
        <f>COUNTIFS(tbl_data[12. Consultation Group of],$C$2,tbl_data[2:T2A],$A136,tbl_data[T2],$C$3)</f>
        <v>0</v>
      </c>
      <c r="AC136" s="198">
        <f>COUNTIFS(tbl_data[12. Consultation Group of],$C$2,tbl_data[3:T2A],$A136,tbl_data[T2],$C$3)</f>
        <v>0</v>
      </c>
      <c r="AD136" s="198">
        <f>COUNTIFS(tbl_data[12. Consultation Group of],$C$2,tbl_data[1:T3A],$A136,tbl_data[T3],$C$3)</f>
        <v>0</v>
      </c>
      <c r="AE136" s="198">
        <f>COUNTIFS(tbl_data[12. Consultation Group of],$C$2,tbl_data[2:T3A],$A136,tbl_data[T3],$C$3)</f>
        <v>0</v>
      </c>
      <c r="AF136" s="198">
        <f>COUNTIFS(tbl_data[12. Consultation Group of],$C$2,tbl_data[3:T3A],$A136,tbl_data[T3],$C$3)</f>
        <v>0</v>
      </c>
      <c r="AG136" s="198">
        <f t="shared" si="32"/>
        <v>0</v>
      </c>
      <c r="AH136" s="199" t="str">
        <f t="shared" si="33"/>
        <v>Climate Change Adaptation (0)</v>
      </c>
      <c r="AI136" s="205">
        <f>COUNTIFS(tbl_data[12. Consultation Group of],$D$2,tbl_data[1:T1A],$A136,tbl_data[T1],$D$3)</f>
        <v>1</v>
      </c>
      <c r="AJ136" s="198">
        <f>COUNTIFS(tbl_data[12. Consultation Group of],$D$2,tbl_data[2:T1A],$A136,tbl_data[T1],$D$3)</f>
        <v>0</v>
      </c>
      <c r="AK136" s="198">
        <f>COUNTIFS(tbl_data[12. Consultation Group of],$D$2,tbl_data[3:T1A],$A136,tbl_data[T1],$D$3)</f>
        <v>0</v>
      </c>
      <c r="AL136" s="198">
        <f>COUNTIFS(tbl_data[12. Consultation Group of],$D$2,tbl_data[1:T2A],$A136,tbl_data[T2],$D$3)</f>
        <v>0</v>
      </c>
      <c r="AM136" s="198">
        <f>COUNTIFS(tbl_data[12. Consultation Group of],$D$2,tbl_data[2:T2A],$A136,tbl_data[T2],$D$3)</f>
        <v>0</v>
      </c>
      <c r="AN136" s="198">
        <f>COUNTIFS(tbl_data[12. Consultation Group of],$D$2,tbl_data[3:T2A],$A136,tbl_data[T2],$D$3)</f>
        <v>0</v>
      </c>
      <c r="AO136" s="198">
        <f>COUNTIFS(tbl_data[12. Consultation Group of],$D$2,tbl_data[1:T3A],$A136,tbl_data[T3],$D$3)</f>
        <v>0</v>
      </c>
      <c r="AP136" s="198">
        <f>COUNTIFS(tbl_data[12. Consultation Group of],$D$2,tbl_data[2:T3A],$A136,tbl_data[T3],$D$3)</f>
        <v>0</v>
      </c>
      <c r="AQ136" s="198">
        <f>COUNTIFS(tbl_data[12. Consultation Group of],$D$2,tbl_data[3:T3A],$A136,tbl_data[T3],$D$3)</f>
        <v>0</v>
      </c>
      <c r="AR136" s="198">
        <f t="shared" si="34"/>
        <v>1</v>
      </c>
      <c r="AS136" s="199" t="str">
        <f t="shared" si="35"/>
        <v>Climate Change Adaptation (1)</v>
      </c>
      <c r="AT136" s="205">
        <f>COUNTIFS(tbl_data[12. Consultation Group of],$E$2,tbl_data[1:T1A],$A136,tbl_data[T1],$E$3)</f>
        <v>0</v>
      </c>
      <c r="AU136" s="198">
        <f>COUNTIFS(tbl_data[12. Consultation Group of],$E$2,tbl_data[2:T1A],$A136,tbl_data[T1],$E$3)</f>
        <v>0</v>
      </c>
      <c r="AV136" s="198">
        <f>COUNTIFS(tbl_data[12. Consultation Group of],$E$2,tbl_data[3:T1A],$A136,tbl_data[T1],$E$3)</f>
        <v>0</v>
      </c>
      <c r="AW136" s="198">
        <f>COUNTIFS(tbl_data[12. Consultation Group of],$E$2,tbl_data[1:T2A],$A136,tbl_data[T2],$E$3)</f>
        <v>0</v>
      </c>
      <c r="AX136" s="198">
        <f>COUNTIFS(tbl_data[12. Consultation Group of],$E$2,tbl_data[2:T2A],$A136,tbl_data[T2],$E$3)</f>
        <v>0</v>
      </c>
      <c r="AY136" s="198">
        <f>COUNTIFS(tbl_data[12. Consultation Group of],$E$2,tbl_data[3:T2A],$A136,tbl_data[T2],$E$3)</f>
        <v>0</v>
      </c>
      <c r="AZ136" s="198">
        <f>COUNTIFS(tbl_data[12. Consultation Group of],$E$2,tbl_data[1:T3A],$A136,tbl_data[T3],$E$3)</f>
        <v>0</v>
      </c>
      <c r="BA136" s="198">
        <f>COUNTIFS(tbl_data[12. Consultation Group of],$E$2,tbl_data[2:T3A],$A136,tbl_data[T3],$E$3)</f>
        <v>0</v>
      </c>
      <c r="BB136" s="198">
        <f>COUNTIFS(tbl_data[12. Consultation Group of],$E$2,tbl_data[3:T3A],$A136,tbl_data[T3],$E$3)</f>
        <v>0</v>
      </c>
      <c r="BC136" s="198">
        <f t="shared" si="36"/>
        <v>0</v>
      </c>
      <c r="BD136" s="199" t="str">
        <f t="shared" si="37"/>
        <v>Climate Change Adaptation (0)</v>
      </c>
      <c r="BE136" s="205">
        <f>COUNTIFS(tbl_data[1:T1A],$A136,tbl_data[T1],$F$3)</f>
        <v>1</v>
      </c>
      <c r="BF136" s="198">
        <f>COUNTIFS(tbl_data[2:T1A],$A136,tbl_data[T1],$F$3)</f>
        <v>0</v>
      </c>
      <c r="BG136" s="198">
        <f>COUNTIFS(tbl_data[3:T1A],$A136,tbl_data[T1],$F$3)</f>
        <v>0</v>
      </c>
      <c r="BH136" s="198">
        <f>COUNTIFS(tbl_data[1:T2A],$A136,tbl_data[T2],$F$3)</f>
        <v>0</v>
      </c>
      <c r="BI136" s="198">
        <f>COUNTIFS(tbl_data[2:T2A],$A136,tbl_data[T2],$F$3)</f>
        <v>0</v>
      </c>
      <c r="BJ136" s="198">
        <f>COUNTIFS(tbl_data[3:T2A],$A136,tbl_data[T2],$F$3)</f>
        <v>0</v>
      </c>
      <c r="BK136" s="198">
        <f>COUNTIFS(tbl_data[1:T3A],$A136,tbl_data[T3],$F$3)</f>
        <v>0</v>
      </c>
      <c r="BL136" s="198">
        <f>COUNTIFS(tbl_data[2:T3A],$A136,tbl_data[T3],$F$3)</f>
        <v>0</v>
      </c>
      <c r="BM136" s="198">
        <f>COUNTIFS(tbl_data[3:T3A],$A136,tbl_data[T3],$F$3)</f>
        <v>0</v>
      </c>
      <c r="BN136" s="198">
        <f t="shared" si="38"/>
        <v>1</v>
      </c>
      <c r="BO136" s="199" t="str">
        <f t="shared" si="39"/>
        <v>Climate Change Adaptation (1)</v>
      </c>
      <c r="BQ136" t="str">
        <f t="shared" si="40"/>
        <v>Climate Change Adaptation</v>
      </c>
      <c r="BR136">
        <f t="shared" si="41"/>
        <v>4</v>
      </c>
      <c r="BS136" t="s">
        <v>929</v>
      </c>
      <c r="BT136" t="s">
        <v>929</v>
      </c>
      <c r="BU136" s="39" t="s">
        <v>929</v>
      </c>
    </row>
    <row r="137" spans="1:74" x14ac:dyDescent="0.25">
      <c r="A137" s="215" t="s">
        <v>479</v>
      </c>
      <c r="B137" s="205">
        <f>COUNTIFS(tbl_data[12. Consultation Group of],$A$2,tbl_data[1:T1A],$A137,tbl_data[T1],$A$3)</f>
        <v>0</v>
      </c>
      <c r="C137" s="198">
        <f>COUNTIFS(tbl_data[12. Consultation Group of],$A$2,tbl_data[2:T1A],$A137,tbl_data[T1],$A$3)</f>
        <v>0</v>
      </c>
      <c r="D137" s="198">
        <f>COUNTIFS(tbl_data[12. Consultation Group of],$A$2,tbl_data[3:T1A],$A137,tbl_data[T1],$A$3)</f>
        <v>0</v>
      </c>
      <c r="E137" s="198">
        <f>COUNTIFS(tbl_data[12. Consultation Group of],$A$2,tbl_data[1:T2A],$A137,tbl_data[T2],$A$3)</f>
        <v>0</v>
      </c>
      <c r="F137" s="198">
        <f>COUNTIFS(tbl_data[12. Consultation Group of],$A$2,tbl_data[2:T2A],$A137,tbl_data[T2],$A$3)</f>
        <v>0</v>
      </c>
      <c r="G137" s="198">
        <f>COUNTIFS(tbl_data[12. Consultation Group of],$A$2,tbl_data[3:T2A],$A137,tbl_data[T2],$A$3)</f>
        <v>0</v>
      </c>
      <c r="H137" s="198">
        <f>COUNTIFS(tbl_data[12. Consultation Group of],$A$2,tbl_data[1:T3A],$A137,tbl_data[T3],$A$3)</f>
        <v>0</v>
      </c>
      <c r="I137" s="198">
        <f>COUNTIFS(tbl_data[12. Consultation Group of],$A$2,tbl_data[2:T3A],$A137,tbl_data[T3],$A$3)</f>
        <v>0</v>
      </c>
      <c r="J137" s="198">
        <f>COUNTIFS(tbl_data[12. Consultation Group of],$A$2,tbl_data[3:T3A],$A137,tbl_data[T3],$A$3)</f>
        <v>0</v>
      </c>
      <c r="K137" s="198">
        <f t="shared" si="28"/>
        <v>0</v>
      </c>
      <c r="L137" s="199" t="str">
        <f t="shared" si="29"/>
        <v>Strengthen Security Institutions (0)</v>
      </c>
      <c r="M137" s="205">
        <f>COUNTIFS(tbl_data[12. Consultation Group of],$B$2,tbl_data[1:T1A],$A137,tbl_data[T1],$B$3)</f>
        <v>0</v>
      </c>
      <c r="N137" s="198">
        <f>COUNTIFS(tbl_data[12. Consultation Group of],$B$2,tbl_data[2:T1A],$A137,tbl_data[T1],$B$3)</f>
        <v>0</v>
      </c>
      <c r="O137" s="198">
        <f>COUNTIFS(tbl_data[12. Consultation Group of],$B$2,tbl_data[3:T1A],$A137,tbl_data[T1],$B$3)</f>
        <v>0</v>
      </c>
      <c r="P137" s="198">
        <f>COUNTIFS(tbl_data[12. Consultation Group of],$B$2,tbl_data[1:T2A],$A137,tbl_data[T2],$B$3)</f>
        <v>0</v>
      </c>
      <c r="Q137" s="198">
        <f>COUNTIFS(tbl_data[12. Consultation Group of],$B$2,tbl_data[2:T2A],$A137,tbl_data[T2],$B$3)</f>
        <v>0</v>
      </c>
      <c r="R137" s="198">
        <f>COUNTIFS(tbl_data[12. Consultation Group of],$B$2,tbl_data[3:T2A],$A137,tbl_data[T2],$B$3)</f>
        <v>0</v>
      </c>
      <c r="S137" s="198">
        <f>COUNTIFS(tbl_data[12. Consultation Group of],$B$2,tbl_data[1:T3A],$A137,tbl_data[T3],$B$3)</f>
        <v>0</v>
      </c>
      <c r="T137" s="198">
        <f>COUNTIFS(tbl_data[12. Consultation Group of],$B$2,tbl_data[2:T3A],$A137,tbl_data[T3],$B$3)</f>
        <v>0</v>
      </c>
      <c r="U137" s="198">
        <f>COUNTIFS(tbl_data[12. Consultation Group of],$B$2,tbl_data[3:T3A],$A137,tbl_data[T3],$B$3)</f>
        <v>0</v>
      </c>
      <c r="V137" s="198">
        <f t="shared" si="30"/>
        <v>0</v>
      </c>
      <c r="W137" s="199" t="str">
        <f t="shared" si="31"/>
        <v>Strengthen Security Institutions (0)</v>
      </c>
      <c r="X137" s="205">
        <f>COUNTIFS(tbl_data[12. Consultation Group of],$C$2,tbl_data[1:T1A],$A137,tbl_data[T1],$C$3)</f>
        <v>0</v>
      </c>
      <c r="Y137" s="198">
        <f>COUNTIFS(tbl_data[12. Consultation Group of],$C$2,tbl_data[2:T1A],$A137,tbl_data[T1],$C$3)</f>
        <v>0</v>
      </c>
      <c r="Z137" s="198">
        <f>COUNTIFS(tbl_data[12. Consultation Group of],$C$2,tbl_data[3:T1A],$A137,tbl_data[T1],$C$3)</f>
        <v>0</v>
      </c>
      <c r="AA137" s="198">
        <f>COUNTIFS(tbl_data[12. Consultation Group of],$C$2,tbl_data[1:T2A],$A137,tbl_data[T2],$C$3)</f>
        <v>0</v>
      </c>
      <c r="AB137" s="198">
        <f>COUNTIFS(tbl_data[12. Consultation Group of],$C$2,tbl_data[2:T2A],$A137,tbl_data[T2],$C$3)</f>
        <v>0</v>
      </c>
      <c r="AC137" s="198">
        <f>COUNTIFS(tbl_data[12. Consultation Group of],$C$2,tbl_data[3:T2A],$A137,tbl_data[T2],$C$3)</f>
        <v>0</v>
      </c>
      <c r="AD137" s="198">
        <f>COUNTIFS(tbl_data[12. Consultation Group of],$C$2,tbl_data[1:T3A],$A137,tbl_data[T3],$C$3)</f>
        <v>0</v>
      </c>
      <c r="AE137" s="198">
        <f>COUNTIFS(tbl_data[12. Consultation Group of],$C$2,tbl_data[2:T3A],$A137,tbl_data[T3],$C$3)</f>
        <v>0</v>
      </c>
      <c r="AF137" s="198">
        <f>COUNTIFS(tbl_data[12. Consultation Group of],$C$2,tbl_data[3:T3A],$A137,tbl_data[T3],$C$3)</f>
        <v>0</v>
      </c>
      <c r="AG137" s="198">
        <f t="shared" si="32"/>
        <v>0</v>
      </c>
      <c r="AH137" s="199" t="str">
        <f t="shared" si="33"/>
        <v>Strengthen Security Institutions (0)</v>
      </c>
      <c r="AI137" s="205">
        <f>COUNTIFS(tbl_data[12. Consultation Group of],$D$2,tbl_data[1:T1A],$A137,tbl_data[T1],$D$3)</f>
        <v>0</v>
      </c>
      <c r="AJ137" s="198">
        <f>COUNTIFS(tbl_data[12. Consultation Group of],$D$2,tbl_data[2:T1A],$A137,tbl_data[T1],$D$3)</f>
        <v>0</v>
      </c>
      <c r="AK137" s="198">
        <f>COUNTIFS(tbl_data[12. Consultation Group of],$D$2,tbl_data[3:T1A],$A137,tbl_data[T1],$D$3)</f>
        <v>0</v>
      </c>
      <c r="AL137" s="198">
        <f>COUNTIFS(tbl_data[12. Consultation Group of],$D$2,tbl_data[1:T2A],$A137,tbl_data[T2],$D$3)</f>
        <v>0</v>
      </c>
      <c r="AM137" s="198">
        <f>COUNTIFS(tbl_data[12. Consultation Group of],$D$2,tbl_data[2:T2A],$A137,tbl_data[T2],$D$3)</f>
        <v>0</v>
      </c>
      <c r="AN137" s="198">
        <f>COUNTIFS(tbl_data[12. Consultation Group of],$D$2,tbl_data[3:T2A],$A137,tbl_data[T2],$D$3)</f>
        <v>0</v>
      </c>
      <c r="AO137" s="198">
        <f>COUNTIFS(tbl_data[12. Consultation Group of],$D$2,tbl_data[1:T3A],$A137,tbl_data[T3],$D$3)</f>
        <v>0</v>
      </c>
      <c r="AP137" s="198">
        <f>COUNTIFS(tbl_data[12. Consultation Group of],$D$2,tbl_data[2:T3A],$A137,tbl_data[T3],$D$3)</f>
        <v>0</v>
      </c>
      <c r="AQ137" s="198">
        <f>COUNTIFS(tbl_data[12. Consultation Group of],$D$2,tbl_data[3:T3A],$A137,tbl_data[T3],$D$3)</f>
        <v>0</v>
      </c>
      <c r="AR137" s="198">
        <f t="shared" si="34"/>
        <v>0</v>
      </c>
      <c r="AS137" s="199" t="str">
        <f t="shared" si="35"/>
        <v>Strengthen Security Institutions (0)</v>
      </c>
      <c r="AT137" s="205">
        <f>COUNTIFS(tbl_data[12. Consultation Group of],$E$2,tbl_data[1:T1A],$A137,tbl_data[T1],$E$3)</f>
        <v>0</v>
      </c>
      <c r="AU137" s="198">
        <f>COUNTIFS(tbl_data[12. Consultation Group of],$E$2,tbl_data[2:T1A],$A137,tbl_data[T1],$E$3)</f>
        <v>0</v>
      </c>
      <c r="AV137" s="198">
        <f>COUNTIFS(tbl_data[12. Consultation Group of],$E$2,tbl_data[3:T1A],$A137,tbl_data[T1],$E$3)</f>
        <v>0</v>
      </c>
      <c r="AW137" s="198">
        <f>COUNTIFS(tbl_data[12. Consultation Group of],$E$2,tbl_data[1:T2A],$A137,tbl_data[T2],$E$3)</f>
        <v>0</v>
      </c>
      <c r="AX137" s="198">
        <f>COUNTIFS(tbl_data[12. Consultation Group of],$E$2,tbl_data[2:T2A],$A137,tbl_data[T2],$E$3)</f>
        <v>0</v>
      </c>
      <c r="AY137" s="198">
        <f>COUNTIFS(tbl_data[12. Consultation Group of],$E$2,tbl_data[3:T2A],$A137,tbl_data[T2],$E$3)</f>
        <v>0</v>
      </c>
      <c r="AZ137" s="198">
        <f>COUNTIFS(tbl_data[12. Consultation Group of],$E$2,tbl_data[1:T3A],$A137,tbl_data[T3],$E$3)</f>
        <v>0</v>
      </c>
      <c r="BA137" s="198">
        <f>COUNTIFS(tbl_data[12. Consultation Group of],$E$2,tbl_data[2:T3A],$A137,tbl_data[T3],$E$3)</f>
        <v>0</v>
      </c>
      <c r="BB137" s="198">
        <f>COUNTIFS(tbl_data[12. Consultation Group of],$E$2,tbl_data[3:T3A],$A137,tbl_data[T3],$E$3)</f>
        <v>0</v>
      </c>
      <c r="BC137" s="198">
        <f t="shared" si="36"/>
        <v>0</v>
      </c>
      <c r="BD137" s="199" t="str">
        <f t="shared" si="37"/>
        <v>Strengthen Security Institutions (0)</v>
      </c>
      <c r="BE137" s="205">
        <f>COUNTIFS(tbl_data[1:T1A],$A137,tbl_data[T1],$F$3)</f>
        <v>0</v>
      </c>
      <c r="BF137" s="198">
        <f>COUNTIFS(tbl_data[2:T1A],$A137,tbl_data[T1],$F$3)</f>
        <v>0</v>
      </c>
      <c r="BG137" s="198">
        <f>COUNTIFS(tbl_data[3:T1A],$A137,tbl_data[T1],$F$3)</f>
        <v>0</v>
      </c>
      <c r="BH137" s="198">
        <f>COUNTIFS(tbl_data[1:T2A],$A137,tbl_data[T2],$F$3)</f>
        <v>0</v>
      </c>
      <c r="BI137" s="198">
        <f>COUNTIFS(tbl_data[2:T2A],$A137,tbl_data[T2],$F$3)</f>
        <v>0</v>
      </c>
      <c r="BJ137" s="198">
        <f>COUNTIFS(tbl_data[3:T2A],$A137,tbl_data[T2],$F$3)</f>
        <v>0</v>
      </c>
      <c r="BK137" s="198">
        <f>COUNTIFS(tbl_data[1:T3A],$A137,tbl_data[T3],$F$3)</f>
        <v>0</v>
      </c>
      <c r="BL137" s="198">
        <f>COUNTIFS(tbl_data[2:T3A],$A137,tbl_data[T3],$F$3)</f>
        <v>0</v>
      </c>
      <c r="BM137" s="198">
        <f>COUNTIFS(tbl_data[3:T3A],$A137,tbl_data[T3],$F$3)</f>
        <v>0</v>
      </c>
      <c r="BN137" s="198">
        <f t="shared" si="38"/>
        <v>0</v>
      </c>
      <c r="BO137" s="199" t="str">
        <f t="shared" si="39"/>
        <v>Strengthen Security Institutions (0)</v>
      </c>
      <c r="BQ137" t="str">
        <f t="shared" si="40"/>
        <v>Strengthen Security Institutions</v>
      </c>
      <c r="BR137">
        <f t="shared" si="41"/>
        <v>0</v>
      </c>
    </row>
    <row r="138" spans="1:74" x14ac:dyDescent="0.25">
      <c r="A138" s="215" t="s">
        <v>314</v>
      </c>
      <c r="B138" s="205">
        <f>COUNTIFS(tbl_data[12. Consultation Group of],$A$2,tbl_data[1:T1A],$A138,tbl_data[T1],$A$3)</f>
        <v>0</v>
      </c>
      <c r="C138" s="198">
        <f>COUNTIFS(tbl_data[12. Consultation Group of],$A$2,tbl_data[2:T1A],$A138,tbl_data[T1],$A$3)</f>
        <v>0</v>
      </c>
      <c r="D138" s="198">
        <f>COUNTIFS(tbl_data[12. Consultation Group of],$A$2,tbl_data[3:T1A],$A138,tbl_data[T1],$A$3)</f>
        <v>0</v>
      </c>
      <c r="E138" s="198">
        <f>COUNTIFS(tbl_data[12. Consultation Group of],$A$2,tbl_data[1:T2A],$A138,tbl_data[T2],$A$3)</f>
        <v>0</v>
      </c>
      <c r="F138" s="198">
        <f>COUNTIFS(tbl_data[12. Consultation Group of],$A$2,tbl_data[2:T2A],$A138,tbl_data[T2],$A$3)</f>
        <v>0</v>
      </c>
      <c r="G138" s="198">
        <f>COUNTIFS(tbl_data[12. Consultation Group of],$A$2,tbl_data[3:T2A],$A138,tbl_data[T2],$A$3)</f>
        <v>0</v>
      </c>
      <c r="H138" s="198">
        <f>COUNTIFS(tbl_data[12. Consultation Group of],$A$2,tbl_data[1:T3A],$A138,tbl_data[T3],$A$3)</f>
        <v>0</v>
      </c>
      <c r="I138" s="198">
        <f>COUNTIFS(tbl_data[12. Consultation Group of],$A$2,tbl_data[2:T3A],$A138,tbl_data[T3],$A$3)</f>
        <v>0</v>
      </c>
      <c r="J138" s="198">
        <f>COUNTIFS(tbl_data[12. Consultation Group of],$A$2,tbl_data[3:T3A],$A138,tbl_data[T3],$A$3)</f>
        <v>0</v>
      </c>
      <c r="K138" s="198">
        <f t="shared" si="28"/>
        <v>0</v>
      </c>
      <c r="L138" s="199" t="str">
        <f t="shared" si="29"/>
        <v>Disaster Response (0)</v>
      </c>
      <c r="M138" s="205">
        <f>COUNTIFS(tbl_data[12. Consultation Group of],$B$2,tbl_data[1:T1A],$A138,tbl_data[T1],$B$3)</f>
        <v>0</v>
      </c>
      <c r="N138" s="198">
        <f>COUNTIFS(tbl_data[12. Consultation Group of],$B$2,tbl_data[2:T1A],$A138,tbl_data[T1],$B$3)</f>
        <v>0</v>
      </c>
      <c r="O138" s="198">
        <f>COUNTIFS(tbl_data[12. Consultation Group of],$B$2,tbl_data[3:T1A],$A138,tbl_data[T1],$B$3)</f>
        <v>0</v>
      </c>
      <c r="P138" s="198">
        <f>COUNTIFS(tbl_data[12. Consultation Group of],$B$2,tbl_data[1:T2A],$A138,tbl_data[T2],$B$3)</f>
        <v>0</v>
      </c>
      <c r="Q138" s="198">
        <f>COUNTIFS(tbl_data[12. Consultation Group of],$B$2,tbl_data[2:T2A],$A138,tbl_data[T2],$B$3)</f>
        <v>0</v>
      </c>
      <c r="R138" s="198">
        <f>COUNTIFS(tbl_data[12. Consultation Group of],$B$2,tbl_data[3:T2A],$A138,tbl_data[T2],$B$3)</f>
        <v>0</v>
      </c>
      <c r="S138" s="198">
        <f>COUNTIFS(tbl_data[12. Consultation Group of],$B$2,tbl_data[1:T3A],$A138,tbl_data[T3],$B$3)</f>
        <v>0</v>
      </c>
      <c r="T138" s="198">
        <f>COUNTIFS(tbl_data[12. Consultation Group of],$B$2,tbl_data[2:T3A],$A138,tbl_data[T3],$B$3)</f>
        <v>0</v>
      </c>
      <c r="U138" s="198">
        <f>COUNTIFS(tbl_data[12. Consultation Group of],$B$2,tbl_data[3:T3A],$A138,tbl_data[T3],$B$3)</f>
        <v>0</v>
      </c>
      <c r="V138" s="198">
        <f t="shared" si="30"/>
        <v>0</v>
      </c>
      <c r="W138" s="199" t="str">
        <f t="shared" si="31"/>
        <v>Disaster Response (0)</v>
      </c>
      <c r="X138" s="205">
        <f>COUNTIFS(tbl_data[12. Consultation Group of],$C$2,tbl_data[1:T1A],$A138,tbl_data[T1],$C$3)</f>
        <v>0</v>
      </c>
      <c r="Y138" s="198">
        <f>COUNTIFS(tbl_data[12. Consultation Group of],$C$2,tbl_data[2:T1A],$A138,tbl_data[T1],$C$3)</f>
        <v>0</v>
      </c>
      <c r="Z138" s="198">
        <f>COUNTIFS(tbl_data[12. Consultation Group of],$C$2,tbl_data[3:T1A],$A138,tbl_data[T1],$C$3)</f>
        <v>0</v>
      </c>
      <c r="AA138" s="198">
        <f>COUNTIFS(tbl_data[12. Consultation Group of],$C$2,tbl_data[1:T2A],$A138,tbl_data[T2],$C$3)</f>
        <v>0</v>
      </c>
      <c r="AB138" s="198">
        <f>COUNTIFS(tbl_data[12. Consultation Group of],$C$2,tbl_data[2:T2A],$A138,tbl_data[T2],$C$3)</f>
        <v>0</v>
      </c>
      <c r="AC138" s="198">
        <f>COUNTIFS(tbl_data[12. Consultation Group of],$C$2,tbl_data[3:T2A],$A138,tbl_data[T2],$C$3)</f>
        <v>0</v>
      </c>
      <c r="AD138" s="198">
        <f>COUNTIFS(tbl_data[12. Consultation Group of],$C$2,tbl_data[1:T3A],$A138,tbl_data[T3],$C$3)</f>
        <v>0</v>
      </c>
      <c r="AE138" s="198">
        <f>COUNTIFS(tbl_data[12. Consultation Group of],$C$2,tbl_data[2:T3A],$A138,tbl_data[T3],$C$3)</f>
        <v>0</v>
      </c>
      <c r="AF138" s="198">
        <f>COUNTIFS(tbl_data[12. Consultation Group of],$C$2,tbl_data[3:T3A],$A138,tbl_data[T3],$C$3)</f>
        <v>0</v>
      </c>
      <c r="AG138" s="198">
        <f t="shared" si="32"/>
        <v>0</v>
      </c>
      <c r="AH138" s="199" t="str">
        <f t="shared" si="33"/>
        <v>Disaster Response (0)</v>
      </c>
      <c r="AI138" s="205">
        <f>COUNTIFS(tbl_data[12. Consultation Group of],$D$2,tbl_data[1:T1A],$A138,tbl_data[T1],$D$3)</f>
        <v>0</v>
      </c>
      <c r="AJ138" s="198">
        <f>COUNTIFS(tbl_data[12. Consultation Group of],$D$2,tbl_data[2:T1A],$A138,tbl_data[T1],$D$3)</f>
        <v>0</v>
      </c>
      <c r="AK138" s="198">
        <f>COUNTIFS(tbl_data[12. Consultation Group of],$D$2,tbl_data[3:T1A],$A138,tbl_data[T1],$D$3)</f>
        <v>0</v>
      </c>
      <c r="AL138" s="198">
        <f>COUNTIFS(tbl_data[12. Consultation Group of],$D$2,tbl_data[1:T2A],$A138,tbl_data[T2],$D$3)</f>
        <v>0</v>
      </c>
      <c r="AM138" s="198">
        <f>COUNTIFS(tbl_data[12. Consultation Group of],$D$2,tbl_data[2:T2A],$A138,tbl_data[T2],$D$3)</f>
        <v>0</v>
      </c>
      <c r="AN138" s="198">
        <f>COUNTIFS(tbl_data[12. Consultation Group of],$D$2,tbl_data[3:T2A],$A138,tbl_data[T2],$D$3)</f>
        <v>0</v>
      </c>
      <c r="AO138" s="198">
        <f>COUNTIFS(tbl_data[12. Consultation Group of],$D$2,tbl_data[1:T3A],$A138,tbl_data[T3],$D$3)</f>
        <v>0</v>
      </c>
      <c r="AP138" s="198">
        <f>COUNTIFS(tbl_data[12. Consultation Group of],$D$2,tbl_data[2:T3A],$A138,tbl_data[T3],$D$3)</f>
        <v>0</v>
      </c>
      <c r="AQ138" s="198">
        <f>COUNTIFS(tbl_data[12. Consultation Group of],$D$2,tbl_data[3:T3A],$A138,tbl_data[T3],$D$3)</f>
        <v>0</v>
      </c>
      <c r="AR138" s="198">
        <f t="shared" si="34"/>
        <v>0</v>
      </c>
      <c r="AS138" s="199" t="str">
        <f t="shared" si="35"/>
        <v>Disaster Response (0)</v>
      </c>
      <c r="AT138" s="205">
        <f>COUNTIFS(tbl_data[12. Consultation Group of],$E$2,tbl_data[1:T1A],$A138,tbl_data[T1],$E$3)</f>
        <v>0</v>
      </c>
      <c r="AU138" s="198">
        <f>COUNTIFS(tbl_data[12. Consultation Group of],$E$2,tbl_data[2:T1A],$A138,tbl_data[T1],$E$3)</f>
        <v>0</v>
      </c>
      <c r="AV138" s="198">
        <f>COUNTIFS(tbl_data[12. Consultation Group of],$E$2,tbl_data[3:T1A],$A138,tbl_data[T1],$E$3)</f>
        <v>0</v>
      </c>
      <c r="AW138" s="198">
        <f>COUNTIFS(tbl_data[12. Consultation Group of],$E$2,tbl_data[1:T2A],$A138,tbl_data[T2],$E$3)</f>
        <v>0</v>
      </c>
      <c r="AX138" s="198">
        <f>COUNTIFS(tbl_data[12. Consultation Group of],$E$2,tbl_data[2:T2A],$A138,tbl_data[T2],$E$3)</f>
        <v>0</v>
      </c>
      <c r="AY138" s="198">
        <f>COUNTIFS(tbl_data[12. Consultation Group of],$E$2,tbl_data[3:T2A],$A138,tbl_data[T2],$E$3)</f>
        <v>0</v>
      </c>
      <c r="AZ138" s="198">
        <f>COUNTIFS(tbl_data[12. Consultation Group of],$E$2,tbl_data[1:T3A],$A138,tbl_data[T3],$E$3)</f>
        <v>0</v>
      </c>
      <c r="BA138" s="198">
        <f>COUNTIFS(tbl_data[12. Consultation Group of],$E$2,tbl_data[2:T3A],$A138,tbl_data[T3],$E$3)</f>
        <v>0</v>
      </c>
      <c r="BB138" s="198">
        <f>COUNTIFS(tbl_data[12. Consultation Group of],$E$2,tbl_data[3:T3A],$A138,tbl_data[T3],$E$3)</f>
        <v>0</v>
      </c>
      <c r="BC138" s="198">
        <f t="shared" si="36"/>
        <v>0</v>
      </c>
      <c r="BD138" s="199" t="str">
        <f t="shared" si="37"/>
        <v>Disaster Response (0)</v>
      </c>
      <c r="BE138" s="205">
        <f>COUNTIFS(tbl_data[1:T1A],$A138,tbl_data[T1],$F$3)</f>
        <v>0</v>
      </c>
      <c r="BF138" s="198">
        <f>COUNTIFS(tbl_data[2:T1A],$A138,tbl_data[T1],$F$3)</f>
        <v>0</v>
      </c>
      <c r="BG138" s="198">
        <f>COUNTIFS(tbl_data[3:T1A],$A138,tbl_data[T1],$F$3)</f>
        <v>0</v>
      </c>
      <c r="BH138" s="198">
        <f>COUNTIFS(tbl_data[1:T2A],$A138,tbl_data[T2],$F$3)</f>
        <v>0</v>
      </c>
      <c r="BI138" s="198">
        <f>COUNTIFS(tbl_data[2:T2A],$A138,tbl_data[T2],$F$3)</f>
        <v>0</v>
      </c>
      <c r="BJ138" s="198">
        <f>COUNTIFS(tbl_data[3:T2A],$A138,tbl_data[T2],$F$3)</f>
        <v>0</v>
      </c>
      <c r="BK138" s="198">
        <f>COUNTIFS(tbl_data[1:T3A],$A138,tbl_data[T3],$F$3)</f>
        <v>0</v>
      </c>
      <c r="BL138" s="198">
        <f>COUNTIFS(tbl_data[2:T3A],$A138,tbl_data[T3],$F$3)</f>
        <v>0</v>
      </c>
      <c r="BM138" s="198">
        <f>COUNTIFS(tbl_data[3:T3A],$A138,tbl_data[T3],$F$3)</f>
        <v>0</v>
      </c>
      <c r="BN138" s="198">
        <f t="shared" si="38"/>
        <v>0</v>
      </c>
      <c r="BO138" s="199" t="str">
        <f t="shared" si="39"/>
        <v>Disaster Response (0)</v>
      </c>
      <c r="BQ138" t="str">
        <f t="shared" si="40"/>
        <v>Disaster Response</v>
      </c>
      <c r="BR138">
        <f t="shared" si="41"/>
        <v>0</v>
      </c>
    </row>
    <row r="139" spans="1:74" x14ac:dyDescent="0.25">
      <c r="A139" s="215" t="s">
        <v>308</v>
      </c>
      <c r="B139" s="205">
        <f>COUNTIFS(tbl_data[12. Consultation Group of],$A$2,tbl_data[1:T1A],$A139,tbl_data[T1],$A$3)</f>
        <v>0</v>
      </c>
      <c r="C139" s="198">
        <f>COUNTIFS(tbl_data[12. Consultation Group of],$A$2,tbl_data[2:T1A],$A139,tbl_data[T1],$A$3)</f>
        <v>0</v>
      </c>
      <c r="D139" s="198">
        <f>COUNTIFS(tbl_data[12. Consultation Group of],$A$2,tbl_data[3:T1A],$A139,tbl_data[T1],$A$3)</f>
        <v>0</v>
      </c>
      <c r="E139" s="198">
        <f>COUNTIFS(tbl_data[12. Consultation Group of],$A$2,tbl_data[1:T2A],$A139,tbl_data[T2],$A$3)</f>
        <v>0</v>
      </c>
      <c r="F139" s="198">
        <f>COUNTIFS(tbl_data[12. Consultation Group of],$A$2,tbl_data[2:T2A],$A139,tbl_data[T2],$A$3)</f>
        <v>0</v>
      </c>
      <c r="G139" s="198">
        <f>COUNTIFS(tbl_data[12. Consultation Group of],$A$2,tbl_data[3:T2A],$A139,tbl_data[T2],$A$3)</f>
        <v>0</v>
      </c>
      <c r="H139" s="198">
        <f>COUNTIFS(tbl_data[12. Consultation Group of],$A$2,tbl_data[1:T3A],$A139,tbl_data[T3],$A$3)</f>
        <v>0</v>
      </c>
      <c r="I139" s="198">
        <f>COUNTIFS(tbl_data[12. Consultation Group of],$A$2,tbl_data[2:T3A],$A139,tbl_data[T3],$A$3)</f>
        <v>0</v>
      </c>
      <c r="J139" s="198">
        <f>COUNTIFS(tbl_data[12. Consultation Group of],$A$2,tbl_data[3:T3A],$A139,tbl_data[T3],$A$3)</f>
        <v>0</v>
      </c>
      <c r="K139" s="198">
        <f t="shared" si="28"/>
        <v>0</v>
      </c>
      <c r="L139" s="199" t="str">
        <f t="shared" si="29"/>
        <v>Community/Social Empowerment (0)</v>
      </c>
      <c r="M139" s="205">
        <f>COUNTIFS(tbl_data[12. Consultation Group of],$B$2,tbl_data[1:T1A],$A139,tbl_data[T1],$B$3)</f>
        <v>0</v>
      </c>
      <c r="N139" s="198">
        <f>COUNTIFS(tbl_data[12. Consultation Group of],$B$2,tbl_data[2:T1A],$A139,tbl_data[T1],$B$3)</f>
        <v>0</v>
      </c>
      <c r="O139" s="198">
        <f>COUNTIFS(tbl_data[12. Consultation Group of],$B$2,tbl_data[3:T1A],$A139,tbl_data[T1],$B$3)</f>
        <v>0</v>
      </c>
      <c r="P139" s="198">
        <f>COUNTIFS(tbl_data[12. Consultation Group of],$B$2,tbl_data[1:T2A],$A139,tbl_data[T2],$B$3)</f>
        <v>0</v>
      </c>
      <c r="Q139" s="198">
        <f>COUNTIFS(tbl_data[12. Consultation Group of],$B$2,tbl_data[2:T2A],$A139,tbl_data[T2],$B$3)</f>
        <v>0</v>
      </c>
      <c r="R139" s="198">
        <f>COUNTIFS(tbl_data[12. Consultation Group of],$B$2,tbl_data[3:T2A],$A139,tbl_data[T2],$B$3)</f>
        <v>0</v>
      </c>
      <c r="S139" s="198">
        <f>COUNTIFS(tbl_data[12. Consultation Group of],$B$2,tbl_data[1:T3A],$A139,tbl_data[T3],$B$3)</f>
        <v>0</v>
      </c>
      <c r="T139" s="198">
        <f>COUNTIFS(tbl_data[12. Consultation Group of],$B$2,tbl_data[2:T3A],$A139,tbl_data[T3],$B$3)</f>
        <v>0</v>
      </c>
      <c r="U139" s="198">
        <f>COUNTIFS(tbl_data[12. Consultation Group of],$B$2,tbl_data[3:T3A],$A139,tbl_data[T3],$B$3)</f>
        <v>0</v>
      </c>
      <c r="V139" s="198">
        <f t="shared" si="30"/>
        <v>0</v>
      </c>
      <c r="W139" s="199" t="str">
        <f t="shared" si="31"/>
        <v>Community/Social Empowerment (0)</v>
      </c>
      <c r="X139" s="205">
        <f>COUNTIFS(tbl_data[12. Consultation Group of],$C$2,tbl_data[1:T1A],$A139,tbl_data[T1],$C$3)</f>
        <v>0</v>
      </c>
      <c r="Y139" s="198">
        <f>COUNTIFS(tbl_data[12. Consultation Group of],$C$2,tbl_data[2:T1A],$A139,tbl_data[T1],$C$3)</f>
        <v>0</v>
      </c>
      <c r="Z139" s="198">
        <f>COUNTIFS(tbl_data[12. Consultation Group of],$C$2,tbl_data[3:T1A],$A139,tbl_data[T1],$C$3)</f>
        <v>0</v>
      </c>
      <c r="AA139" s="198">
        <f>COUNTIFS(tbl_data[12. Consultation Group of],$C$2,tbl_data[1:T2A],$A139,tbl_data[T2],$C$3)</f>
        <v>0</v>
      </c>
      <c r="AB139" s="198">
        <f>COUNTIFS(tbl_data[12. Consultation Group of],$C$2,tbl_data[2:T2A],$A139,tbl_data[T2],$C$3)</f>
        <v>0</v>
      </c>
      <c r="AC139" s="198">
        <f>COUNTIFS(tbl_data[12. Consultation Group of],$C$2,tbl_data[3:T2A],$A139,tbl_data[T2],$C$3)</f>
        <v>0</v>
      </c>
      <c r="AD139" s="198">
        <f>COUNTIFS(tbl_data[12. Consultation Group of],$C$2,tbl_data[1:T3A],$A139,tbl_data[T3],$C$3)</f>
        <v>0</v>
      </c>
      <c r="AE139" s="198">
        <f>COUNTIFS(tbl_data[12. Consultation Group of],$C$2,tbl_data[2:T3A],$A139,tbl_data[T3],$C$3)</f>
        <v>0</v>
      </c>
      <c r="AF139" s="198">
        <f>COUNTIFS(tbl_data[12. Consultation Group of],$C$2,tbl_data[3:T3A],$A139,tbl_data[T3],$C$3)</f>
        <v>0</v>
      </c>
      <c r="AG139" s="198">
        <f t="shared" si="32"/>
        <v>0</v>
      </c>
      <c r="AH139" s="199" t="str">
        <f t="shared" si="33"/>
        <v>Community/Social Empowerment (0)</v>
      </c>
      <c r="AI139" s="205">
        <f>COUNTIFS(tbl_data[12. Consultation Group of],$D$2,tbl_data[1:T1A],$A139,tbl_data[T1],$D$3)</f>
        <v>0</v>
      </c>
      <c r="AJ139" s="198">
        <f>COUNTIFS(tbl_data[12. Consultation Group of],$D$2,tbl_data[2:T1A],$A139,tbl_data[T1],$D$3)</f>
        <v>0</v>
      </c>
      <c r="AK139" s="198">
        <f>COUNTIFS(tbl_data[12. Consultation Group of],$D$2,tbl_data[3:T1A],$A139,tbl_data[T1],$D$3)</f>
        <v>0</v>
      </c>
      <c r="AL139" s="198">
        <f>COUNTIFS(tbl_data[12. Consultation Group of],$D$2,tbl_data[1:T2A],$A139,tbl_data[T2],$D$3)</f>
        <v>0</v>
      </c>
      <c r="AM139" s="198">
        <f>COUNTIFS(tbl_data[12. Consultation Group of],$D$2,tbl_data[2:T2A],$A139,tbl_data[T2],$D$3)</f>
        <v>0</v>
      </c>
      <c r="AN139" s="198">
        <f>COUNTIFS(tbl_data[12. Consultation Group of],$D$2,tbl_data[3:T2A],$A139,tbl_data[T2],$D$3)</f>
        <v>0</v>
      </c>
      <c r="AO139" s="198">
        <f>COUNTIFS(tbl_data[12. Consultation Group of],$D$2,tbl_data[1:T3A],$A139,tbl_data[T3],$D$3)</f>
        <v>0</v>
      </c>
      <c r="AP139" s="198">
        <f>COUNTIFS(tbl_data[12. Consultation Group of],$D$2,tbl_data[2:T3A],$A139,tbl_data[T3],$D$3)</f>
        <v>0</v>
      </c>
      <c r="AQ139" s="198">
        <f>COUNTIFS(tbl_data[12. Consultation Group of],$D$2,tbl_data[3:T3A],$A139,tbl_data[T3],$D$3)</f>
        <v>0</v>
      </c>
      <c r="AR139" s="198">
        <f t="shared" si="34"/>
        <v>0</v>
      </c>
      <c r="AS139" s="199" t="str">
        <f t="shared" si="35"/>
        <v>Community/Social Empowerment (0)</v>
      </c>
      <c r="AT139" s="205">
        <f>COUNTIFS(tbl_data[12. Consultation Group of],$E$2,tbl_data[1:T1A],$A139,tbl_data[T1],$E$3)</f>
        <v>0</v>
      </c>
      <c r="AU139" s="198">
        <f>COUNTIFS(tbl_data[12. Consultation Group of],$E$2,tbl_data[2:T1A],$A139,tbl_data[T1],$E$3)</f>
        <v>0</v>
      </c>
      <c r="AV139" s="198">
        <f>COUNTIFS(tbl_data[12. Consultation Group of],$E$2,tbl_data[3:T1A],$A139,tbl_data[T1],$E$3)</f>
        <v>0</v>
      </c>
      <c r="AW139" s="198">
        <f>COUNTIFS(tbl_data[12. Consultation Group of],$E$2,tbl_data[1:T2A],$A139,tbl_data[T2],$E$3)</f>
        <v>0</v>
      </c>
      <c r="AX139" s="198">
        <f>COUNTIFS(tbl_data[12. Consultation Group of],$E$2,tbl_data[2:T2A],$A139,tbl_data[T2],$E$3)</f>
        <v>0</v>
      </c>
      <c r="AY139" s="198">
        <f>COUNTIFS(tbl_data[12. Consultation Group of],$E$2,tbl_data[3:T2A],$A139,tbl_data[T2],$E$3)</f>
        <v>0</v>
      </c>
      <c r="AZ139" s="198">
        <f>COUNTIFS(tbl_data[12. Consultation Group of],$E$2,tbl_data[1:T3A],$A139,tbl_data[T3],$E$3)</f>
        <v>0</v>
      </c>
      <c r="BA139" s="198">
        <f>COUNTIFS(tbl_data[12. Consultation Group of],$E$2,tbl_data[2:T3A],$A139,tbl_data[T3],$E$3)</f>
        <v>0</v>
      </c>
      <c r="BB139" s="198">
        <f>COUNTIFS(tbl_data[12. Consultation Group of],$E$2,tbl_data[3:T3A],$A139,tbl_data[T3],$E$3)</f>
        <v>0</v>
      </c>
      <c r="BC139" s="198">
        <f t="shared" si="36"/>
        <v>0</v>
      </c>
      <c r="BD139" s="199" t="str">
        <f t="shared" si="37"/>
        <v>Community/Social Empowerment (0)</v>
      </c>
      <c r="BE139" s="205">
        <f>COUNTIFS(tbl_data[1:T1A],$A139,tbl_data[T1],$F$3)</f>
        <v>0</v>
      </c>
      <c r="BF139" s="198">
        <f>COUNTIFS(tbl_data[2:T1A],$A139,tbl_data[T1],$F$3)</f>
        <v>0</v>
      </c>
      <c r="BG139" s="198">
        <f>COUNTIFS(tbl_data[3:T1A],$A139,tbl_data[T1],$F$3)</f>
        <v>0</v>
      </c>
      <c r="BH139" s="198">
        <f>COUNTIFS(tbl_data[1:T2A],$A139,tbl_data[T2],$F$3)</f>
        <v>0</v>
      </c>
      <c r="BI139" s="198">
        <f>COUNTIFS(tbl_data[2:T2A],$A139,tbl_data[T2],$F$3)</f>
        <v>0</v>
      </c>
      <c r="BJ139" s="198">
        <f>COUNTIFS(tbl_data[3:T2A],$A139,tbl_data[T2],$F$3)</f>
        <v>0</v>
      </c>
      <c r="BK139" s="198">
        <f>COUNTIFS(tbl_data[1:T3A],$A139,tbl_data[T3],$F$3)</f>
        <v>0</v>
      </c>
      <c r="BL139" s="198">
        <f>COUNTIFS(tbl_data[2:T3A],$A139,tbl_data[T3],$F$3)</f>
        <v>0</v>
      </c>
      <c r="BM139" s="198">
        <f>COUNTIFS(tbl_data[3:T3A],$A139,tbl_data[T3],$F$3)</f>
        <v>0</v>
      </c>
      <c r="BN139" s="198">
        <f t="shared" si="38"/>
        <v>0</v>
      </c>
      <c r="BO139" s="199" t="str">
        <f t="shared" si="39"/>
        <v>Community/Social Empowerment (0)</v>
      </c>
      <c r="BQ139" t="str">
        <f t="shared" si="40"/>
        <v>Community/Social Empowerment</v>
      </c>
      <c r="BR139">
        <f t="shared" si="41"/>
        <v>0</v>
      </c>
    </row>
    <row r="140" spans="1:74" x14ac:dyDescent="0.25">
      <c r="A140" s="215" t="s">
        <v>323</v>
      </c>
      <c r="B140" s="205">
        <f>COUNTIFS(tbl_data[12. Consultation Group of],$A$2,tbl_data[1:T1A],$A140,tbl_data[T1],$A$3)</f>
        <v>0</v>
      </c>
      <c r="C140" s="198">
        <f>COUNTIFS(tbl_data[12. Consultation Group of],$A$2,tbl_data[2:T1A],$A140,tbl_data[T1],$A$3)</f>
        <v>0</v>
      </c>
      <c r="D140" s="198">
        <f>COUNTIFS(tbl_data[12. Consultation Group of],$A$2,tbl_data[3:T1A],$A140,tbl_data[T1],$A$3)</f>
        <v>0</v>
      </c>
      <c r="E140" s="198">
        <f>COUNTIFS(tbl_data[12. Consultation Group of],$A$2,tbl_data[1:T2A],$A140,tbl_data[T2],$A$3)</f>
        <v>0</v>
      </c>
      <c r="F140" s="198">
        <f>COUNTIFS(tbl_data[12. Consultation Group of],$A$2,tbl_data[2:T2A],$A140,tbl_data[T2],$A$3)</f>
        <v>0</v>
      </c>
      <c r="G140" s="198">
        <f>COUNTIFS(tbl_data[12. Consultation Group of],$A$2,tbl_data[3:T2A],$A140,tbl_data[T2],$A$3)</f>
        <v>0</v>
      </c>
      <c r="H140" s="198">
        <f>COUNTIFS(tbl_data[12. Consultation Group of],$A$2,tbl_data[1:T3A],$A140,tbl_data[T3],$A$3)</f>
        <v>0</v>
      </c>
      <c r="I140" s="198">
        <f>COUNTIFS(tbl_data[12. Consultation Group of],$A$2,tbl_data[2:T3A],$A140,tbl_data[T3],$A$3)</f>
        <v>0</v>
      </c>
      <c r="J140" s="198">
        <f>COUNTIFS(tbl_data[12. Consultation Group of],$A$2,tbl_data[3:T3A],$A140,tbl_data[T3],$A$3)</f>
        <v>0</v>
      </c>
      <c r="K140" s="198">
        <f t="shared" si="28"/>
        <v>0</v>
      </c>
      <c r="L140" s="199" t="str">
        <f t="shared" si="29"/>
        <v>Counselling (0)</v>
      </c>
      <c r="M140" s="205">
        <f>COUNTIFS(tbl_data[12. Consultation Group of],$B$2,tbl_data[1:T1A],$A140,tbl_data[T1],$B$3)</f>
        <v>0</v>
      </c>
      <c r="N140" s="198">
        <f>COUNTIFS(tbl_data[12. Consultation Group of],$B$2,tbl_data[2:T1A],$A140,tbl_data[T1],$B$3)</f>
        <v>0</v>
      </c>
      <c r="O140" s="198">
        <f>COUNTIFS(tbl_data[12. Consultation Group of],$B$2,tbl_data[3:T1A],$A140,tbl_data[T1],$B$3)</f>
        <v>0</v>
      </c>
      <c r="P140" s="198">
        <f>COUNTIFS(tbl_data[12. Consultation Group of],$B$2,tbl_data[1:T2A],$A140,tbl_data[T2],$B$3)</f>
        <v>0</v>
      </c>
      <c r="Q140" s="198">
        <f>COUNTIFS(tbl_data[12. Consultation Group of],$B$2,tbl_data[2:T2A],$A140,tbl_data[T2],$B$3)</f>
        <v>0</v>
      </c>
      <c r="R140" s="198">
        <f>COUNTIFS(tbl_data[12. Consultation Group of],$B$2,tbl_data[3:T2A],$A140,tbl_data[T2],$B$3)</f>
        <v>0</v>
      </c>
      <c r="S140" s="198">
        <f>COUNTIFS(tbl_data[12. Consultation Group of],$B$2,tbl_data[1:T3A],$A140,tbl_data[T3],$B$3)</f>
        <v>0</v>
      </c>
      <c r="T140" s="198">
        <f>COUNTIFS(tbl_data[12. Consultation Group of],$B$2,tbl_data[2:T3A],$A140,tbl_data[T3],$B$3)</f>
        <v>0</v>
      </c>
      <c r="U140" s="198">
        <f>COUNTIFS(tbl_data[12. Consultation Group of],$B$2,tbl_data[3:T3A],$A140,tbl_data[T3],$B$3)</f>
        <v>0</v>
      </c>
      <c r="V140" s="198">
        <f t="shared" si="30"/>
        <v>0</v>
      </c>
      <c r="W140" s="199" t="str">
        <f t="shared" si="31"/>
        <v>Counselling (0)</v>
      </c>
      <c r="X140" s="205">
        <f>COUNTIFS(tbl_data[12. Consultation Group of],$C$2,tbl_data[1:T1A],$A140,tbl_data[T1],$C$3)</f>
        <v>0</v>
      </c>
      <c r="Y140" s="198">
        <f>COUNTIFS(tbl_data[12. Consultation Group of],$C$2,tbl_data[2:T1A],$A140,tbl_data[T1],$C$3)</f>
        <v>0</v>
      </c>
      <c r="Z140" s="198">
        <f>COUNTIFS(tbl_data[12. Consultation Group of],$C$2,tbl_data[3:T1A],$A140,tbl_data[T1],$C$3)</f>
        <v>0</v>
      </c>
      <c r="AA140" s="198">
        <f>COUNTIFS(tbl_data[12. Consultation Group of],$C$2,tbl_data[1:T2A],$A140,tbl_data[T2],$C$3)</f>
        <v>0</v>
      </c>
      <c r="AB140" s="198">
        <f>COUNTIFS(tbl_data[12. Consultation Group of],$C$2,tbl_data[2:T2A],$A140,tbl_data[T2],$C$3)</f>
        <v>0</v>
      </c>
      <c r="AC140" s="198">
        <f>COUNTIFS(tbl_data[12. Consultation Group of],$C$2,tbl_data[3:T2A],$A140,tbl_data[T2],$C$3)</f>
        <v>0</v>
      </c>
      <c r="AD140" s="198">
        <f>COUNTIFS(tbl_data[12. Consultation Group of],$C$2,tbl_data[1:T3A],$A140,tbl_data[T3],$C$3)</f>
        <v>0</v>
      </c>
      <c r="AE140" s="198">
        <f>COUNTIFS(tbl_data[12. Consultation Group of],$C$2,tbl_data[2:T3A],$A140,tbl_data[T3],$C$3)</f>
        <v>0</v>
      </c>
      <c r="AF140" s="198">
        <f>COUNTIFS(tbl_data[12. Consultation Group of],$C$2,tbl_data[3:T3A],$A140,tbl_data[T3],$C$3)</f>
        <v>0</v>
      </c>
      <c r="AG140" s="198">
        <f t="shared" si="32"/>
        <v>0</v>
      </c>
      <c r="AH140" s="199" t="str">
        <f t="shared" si="33"/>
        <v>Counselling (0)</v>
      </c>
      <c r="AI140" s="205">
        <f>COUNTIFS(tbl_data[12. Consultation Group of],$D$2,tbl_data[1:T1A],$A140,tbl_data[T1],$D$3)</f>
        <v>0</v>
      </c>
      <c r="AJ140" s="198">
        <f>COUNTIFS(tbl_data[12. Consultation Group of],$D$2,tbl_data[2:T1A],$A140,tbl_data[T1],$D$3)</f>
        <v>0</v>
      </c>
      <c r="AK140" s="198">
        <f>COUNTIFS(tbl_data[12. Consultation Group of],$D$2,tbl_data[3:T1A],$A140,tbl_data[T1],$D$3)</f>
        <v>0</v>
      </c>
      <c r="AL140" s="198">
        <f>COUNTIFS(tbl_data[12. Consultation Group of],$D$2,tbl_data[1:T2A],$A140,tbl_data[T2],$D$3)</f>
        <v>0</v>
      </c>
      <c r="AM140" s="198">
        <f>COUNTIFS(tbl_data[12. Consultation Group of],$D$2,tbl_data[2:T2A],$A140,tbl_data[T2],$D$3)</f>
        <v>0</v>
      </c>
      <c r="AN140" s="198">
        <f>COUNTIFS(tbl_data[12. Consultation Group of],$D$2,tbl_data[3:T2A],$A140,tbl_data[T2],$D$3)</f>
        <v>0</v>
      </c>
      <c r="AO140" s="198">
        <f>COUNTIFS(tbl_data[12. Consultation Group of],$D$2,tbl_data[1:T3A],$A140,tbl_data[T3],$D$3)</f>
        <v>0</v>
      </c>
      <c r="AP140" s="198">
        <f>COUNTIFS(tbl_data[12. Consultation Group of],$D$2,tbl_data[2:T3A],$A140,tbl_data[T3],$D$3)</f>
        <v>0</v>
      </c>
      <c r="AQ140" s="198">
        <f>COUNTIFS(tbl_data[12. Consultation Group of],$D$2,tbl_data[3:T3A],$A140,tbl_data[T3],$D$3)</f>
        <v>0</v>
      </c>
      <c r="AR140" s="198">
        <f t="shared" si="34"/>
        <v>0</v>
      </c>
      <c r="AS140" s="199" t="str">
        <f t="shared" si="35"/>
        <v>Counselling (0)</v>
      </c>
      <c r="AT140" s="205">
        <f>COUNTIFS(tbl_data[12. Consultation Group of],$E$2,tbl_data[1:T1A],$A140,tbl_data[T1],$E$3)</f>
        <v>0</v>
      </c>
      <c r="AU140" s="198">
        <f>COUNTIFS(tbl_data[12. Consultation Group of],$E$2,tbl_data[2:T1A],$A140,tbl_data[T1],$E$3)</f>
        <v>0</v>
      </c>
      <c r="AV140" s="198">
        <f>COUNTIFS(tbl_data[12. Consultation Group of],$E$2,tbl_data[3:T1A],$A140,tbl_data[T1],$E$3)</f>
        <v>0</v>
      </c>
      <c r="AW140" s="198">
        <f>COUNTIFS(tbl_data[12. Consultation Group of],$E$2,tbl_data[1:T2A],$A140,tbl_data[T2],$E$3)</f>
        <v>0</v>
      </c>
      <c r="AX140" s="198">
        <f>COUNTIFS(tbl_data[12. Consultation Group of],$E$2,tbl_data[2:T2A],$A140,tbl_data[T2],$E$3)</f>
        <v>0</v>
      </c>
      <c r="AY140" s="198">
        <f>COUNTIFS(tbl_data[12. Consultation Group of],$E$2,tbl_data[3:T2A],$A140,tbl_data[T2],$E$3)</f>
        <v>0</v>
      </c>
      <c r="AZ140" s="198">
        <f>COUNTIFS(tbl_data[12. Consultation Group of],$E$2,tbl_data[1:T3A],$A140,tbl_data[T3],$E$3)</f>
        <v>0</v>
      </c>
      <c r="BA140" s="198">
        <f>COUNTIFS(tbl_data[12. Consultation Group of],$E$2,tbl_data[2:T3A],$A140,tbl_data[T3],$E$3)</f>
        <v>0</v>
      </c>
      <c r="BB140" s="198">
        <f>COUNTIFS(tbl_data[12. Consultation Group of],$E$2,tbl_data[3:T3A],$A140,tbl_data[T3],$E$3)</f>
        <v>0</v>
      </c>
      <c r="BC140" s="198">
        <f t="shared" si="36"/>
        <v>0</v>
      </c>
      <c r="BD140" s="199" t="str">
        <f t="shared" si="37"/>
        <v>Counselling (0)</v>
      </c>
      <c r="BE140" s="205">
        <f>COUNTIFS(tbl_data[1:T1A],$A140,tbl_data[T1],$F$3)</f>
        <v>0</v>
      </c>
      <c r="BF140" s="198">
        <f>COUNTIFS(tbl_data[2:T1A],$A140,tbl_data[T1],$F$3)</f>
        <v>0</v>
      </c>
      <c r="BG140" s="198">
        <f>COUNTIFS(tbl_data[3:T1A],$A140,tbl_data[T1],$F$3)</f>
        <v>0</v>
      </c>
      <c r="BH140" s="198">
        <f>COUNTIFS(tbl_data[1:T2A],$A140,tbl_data[T2],$F$3)</f>
        <v>0</v>
      </c>
      <c r="BI140" s="198">
        <f>COUNTIFS(tbl_data[2:T2A],$A140,tbl_data[T2],$F$3)</f>
        <v>0</v>
      </c>
      <c r="BJ140" s="198">
        <f>COUNTIFS(tbl_data[3:T2A],$A140,tbl_data[T2],$F$3)</f>
        <v>0</v>
      </c>
      <c r="BK140" s="198">
        <f>COUNTIFS(tbl_data[1:T3A],$A140,tbl_data[T3],$F$3)</f>
        <v>0</v>
      </c>
      <c r="BL140" s="198">
        <f>COUNTIFS(tbl_data[2:T3A],$A140,tbl_data[T3],$F$3)</f>
        <v>0</v>
      </c>
      <c r="BM140" s="198">
        <f>COUNTIFS(tbl_data[3:T3A],$A140,tbl_data[T3],$F$3)</f>
        <v>0</v>
      </c>
      <c r="BN140" s="198">
        <f t="shared" si="38"/>
        <v>0</v>
      </c>
      <c r="BO140" s="199" t="str">
        <f t="shared" si="39"/>
        <v>Counselling (0)</v>
      </c>
      <c r="BQ140" t="str">
        <f t="shared" si="40"/>
        <v>Counselling</v>
      </c>
      <c r="BR140">
        <f t="shared" si="41"/>
        <v>0</v>
      </c>
    </row>
    <row r="141" spans="1:74" x14ac:dyDescent="0.25">
      <c r="A141" s="215" t="s">
        <v>236</v>
      </c>
      <c r="B141" s="205">
        <f>COUNTIFS(tbl_data[12. Consultation Group of],$A$2,tbl_data[1:T1A],$A141,tbl_data[T1],$A$3)</f>
        <v>0</v>
      </c>
      <c r="C141" s="198">
        <f>COUNTIFS(tbl_data[12. Consultation Group of],$A$2,tbl_data[2:T1A],$A141,tbl_data[T1],$A$3)</f>
        <v>0</v>
      </c>
      <c r="D141" s="198">
        <f>COUNTIFS(tbl_data[12. Consultation Group of],$A$2,tbl_data[3:T1A],$A141,tbl_data[T1],$A$3)</f>
        <v>0</v>
      </c>
      <c r="E141" s="198">
        <f>COUNTIFS(tbl_data[12. Consultation Group of],$A$2,tbl_data[1:T2A],$A141,tbl_data[T2],$A$3)</f>
        <v>0</v>
      </c>
      <c r="F141" s="198">
        <f>COUNTIFS(tbl_data[12. Consultation Group of],$A$2,tbl_data[2:T2A],$A141,tbl_data[T2],$A$3)</f>
        <v>0</v>
      </c>
      <c r="G141" s="198">
        <f>COUNTIFS(tbl_data[12. Consultation Group of],$A$2,tbl_data[3:T2A],$A141,tbl_data[T2],$A$3)</f>
        <v>0</v>
      </c>
      <c r="H141" s="198">
        <f>COUNTIFS(tbl_data[12. Consultation Group of],$A$2,tbl_data[1:T3A],$A141,tbl_data[T3],$A$3)</f>
        <v>0</v>
      </c>
      <c r="I141" s="198">
        <f>COUNTIFS(tbl_data[12. Consultation Group of],$A$2,tbl_data[2:T3A],$A141,tbl_data[T3],$A$3)</f>
        <v>0</v>
      </c>
      <c r="J141" s="198">
        <f>COUNTIFS(tbl_data[12. Consultation Group of],$A$2,tbl_data[3:T3A],$A141,tbl_data[T3],$A$3)</f>
        <v>0</v>
      </c>
      <c r="K141" s="198">
        <f t="shared" si="28"/>
        <v>0</v>
      </c>
      <c r="L141" s="199" t="str">
        <f t="shared" si="29"/>
        <v>Local government action (0)</v>
      </c>
      <c r="M141" s="205">
        <f>COUNTIFS(tbl_data[12. Consultation Group of],$B$2,tbl_data[1:T1A],$A141,tbl_data[T1],$B$3)</f>
        <v>0</v>
      </c>
      <c r="N141" s="198">
        <f>COUNTIFS(tbl_data[12. Consultation Group of],$B$2,tbl_data[2:T1A],$A141,tbl_data[T1],$B$3)</f>
        <v>0</v>
      </c>
      <c r="O141" s="198">
        <f>COUNTIFS(tbl_data[12. Consultation Group of],$B$2,tbl_data[3:T1A],$A141,tbl_data[T1],$B$3)</f>
        <v>0</v>
      </c>
      <c r="P141" s="198">
        <f>COUNTIFS(tbl_data[12. Consultation Group of],$B$2,tbl_data[1:T2A],$A141,tbl_data[T2],$B$3)</f>
        <v>0</v>
      </c>
      <c r="Q141" s="198">
        <f>COUNTIFS(tbl_data[12. Consultation Group of],$B$2,tbl_data[2:T2A],$A141,tbl_data[T2],$B$3)</f>
        <v>0</v>
      </c>
      <c r="R141" s="198">
        <f>COUNTIFS(tbl_data[12. Consultation Group of],$B$2,tbl_data[3:T2A],$A141,tbl_data[T2],$B$3)</f>
        <v>0</v>
      </c>
      <c r="S141" s="198">
        <f>COUNTIFS(tbl_data[12. Consultation Group of],$B$2,tbl_data[1:T3A],$A141,tbl_data[T3],$B$3)</f>
        <v>0</v>
      </c>
      <c r="T141" s="198">
        <f>COUNTIFS(tbl_data[12. Consultation Group of],$B$2,tbl_data[2:T3A],$A141,tbl_data[T3],$B$3)</f>
        <v>0</v>
      </c>
      <c r="U141" s="198">
        <f>COUNTIFS(tbl_data[12. Consultation Group of],$B$2,tbl_data[3:T3A],$A141,tbl_data[T3],$B$3)</f>
        <v>0</v>
      </c>
      <c r="V141" s="198">
        <f t="shared" si="30"/>
        <v>0</v>
      </c>
      <c r="W141" s="199" t="str">
        <f t="shared" si="31"/>
        <v>Local government action (0)</v>
      </c>
      <c r="X141" s="205">
        <f>COUNTIFS(tbl_data[12. Consultation Group of],$C$2,tbl_data[1:T1A],$A141,tbl_data[T1],$C$3)</f>
        <v>0</v>
      </c>
      <c r="Y141" s="198">
        <f>COUNTIFS(tbl_data[12. Consultation Group of],$C$2,tbl_data[2:T1A],$A141,tbl_data[T1],$C$3)</f>
        <v>0</v>
      </c>
      <c r="Z141" s="198">
        <f>COUNTIFS(tbl_data[12. Consultation Group of],$C$2,tbl_data[3:T1A],$A141,tbl_data[T1],$C$3)</f>
        <v>0</v>
      </c>
      <c r="AA141" s="198">
        <f>COUNTIFS(tbl_data[12. Consultation Group of],$C$2,tbl_data[1:T2A],$A141,tbl_data[T2],$C$3)</f>
        <v>0</v>
      </c>
      <c r="AB141" s="198">
        <f>COUNTIFS(tbl_data[12. Consultation Group of],$C$2,tbl_data[2:T2A],$A141,tbl_data[T2],$C$3)</f>
        <v>0</v>
      </c>
      <c r="AC141" s="198">
        <f>COUNTIFS(tbl_data[12. Consultation Group of],$C$2,tbl_data[3:T2A],$A141,tbl_data[T2],$C$3)</f>
        <v>0</v>
      </c>
      <c r="AD141" s="198">
        <f>COUNTIFS(tbl_data[12. Consultation Group of],$C$2,tbl_data[1:T3A],$A141,tbl_data[T3],$C$3)</f>
        <v>0</v>
      </c>
      <c r="AE141" s="198">
        <f>COUNTIFS(tbl_data[12. Consultation Group of],$C$2,tbl_data[2:T3A],$A141,tbl_data[T3],$C$3)</f>
        <v>0</v>
      </c>
      <c r="AF141" s="198">
        <f>COUNTIFS(tbl_data[12. Consultation Group of],$C$2,tbl_data[3:T3A],$A141,tbl_data[T3],$C$3)</f>
        <v>0</v>
      </c>
      <c r="AG141" s="198">
        <f t="shared" si="32"/>
        <v>0</v>
      </c>
      <c r="AH141" s="199" t="str">
        <f t="shared" si="33"/>
        <v>Local government action (0)</v>
      </c>
      <c r="AI141" s="205">
        <f>COUNTIFS(tbl_data[12. Consultation Group of],$D$2,tbl_data[1:T1A],$A141,tbl_data[T1],$D$3)</f>
        <v>0</v>
      </c>
      <c r="AJ141" s="198">
        <f>COUNTIFS(tbl_data[12. Consultation Group of],$D$2,tbl_data[2:T1A],$A141,tbl_data[T1],$D$3)</f>
        <v>0</v>
      </c>
      <c r="AK141" s="198">
        <f>COUNTIFS(tbl_data[12. Consultation Group of],$D$2,tbl_data[3:T1A],$A141,tbl_data[T1],$D$3)</f>
        <v>0</v>
      </c>
      <c r="AL141" s="198">
        <f>COUNTIFS(tbl_data[12. Consultation Group of],$D$2,tbl_data[1:T2A],$A141,tbl_data[T2],$D$3)</f>
        <v>0</v>
      </c>
      <c r="AM141" s="198">
        <f>COUNTIFS(tbl_data[12. Consultation Group of],$D$2,tbl_data[2:T2A],$A141,tbl_data[T2],$D$3)</f>
        <v>0</v>
      </c>
      <c r="AN141" s="198">
        <f>COUNTIFS(tbl_data[12. Consultation Group of],$D$2,tbl_data[3:T2A],$A141,tbl_data[T2],$D$3)</f>
        <v>0</v>
      </c>
      <c r="AO141" s="198">
        <f>COUNTIFS(tbl_data[12. Consultation Group of],$D$2,tbl_data[1:T3A],$A141,tbl_data[T3],$D$3)</f>
        <v>0</v>
      </c>
      <c r="AP141" s="198">
        <f>COUNTIFS(tbl_data[12. Consultation Group of],$D$2,tbl_data[2:T3A],$A141,tbl_data[T3],$D$3)</f>
        <v>0</v>
      </c>
      <c r="AQ141" s="198">
        <f>COUNTIFS(tbl_data[12. Consultation Group of],$D$2,tbl_data[3:T3A],$A141,tbl_data[T3],$D$3)</f>
        <v>0</v>
      </c>
      <c r="AR141" s="198">
        <f t="shared" si="34"/>
        <v>0</v>
      </c>
      <c r="AS141" s="199" t="str">
        <f t="shared" si="35"/>
        <v>Local government action (0)</v>
      </c>
      <c r="AT141" s="205">
        <f>COUNTIFS(tbl_data[12. Consultation Group of],$E$2,tbl_data[1:T1A],$A141,tbl_data[T1],$E$3)</f>
        <v>0</v>
      </c>
      <c r="AU141" s="198">
        <f>COUNTIFS(tbl_data[12. Consultation Group of],$E$2,tbl_data[2:T1A],$A141,tbl_data[T1],$E$3)</f>
        <v>0</v>
      </c>
      <c r="AV141" s="198">
        <f>COUNTIFS(tbl_data[12. Consultation Group of],$E$2,tbl_data[3:T1A],$A141,tbl_data[T1],$E$3)</f>
        <v>0</v>
      </c>
      <c r="AW141" s="198">
        <f>COUNTIFS(tbl_data[12. Consultation Group of],$E$2,tbl_data[1:T2A],$A141,tbl_data[T2],$E$3)</f>
        <v>0</v>
      </c>
      <c r="AX141" s="198">
        <f>COUNTIFS(tbl_data[12. Consultation Group of],$E$2,tbl_data[2:T2A],$A141,tbl_data[T2],$E$3)</f>
        <v>0</v>
      </c>
      <c r="AY141" s="198">
        <f>COUNTIFS(tbl_data[12. Consultation Group of],$E$2,tbl_data[3:T2A],$A141,tbl_data[T2],$E$3)</f>
        <v>0</v>
      </c>
      <c r="AZ141" s="198">
        <f>COUNTIFS(tbl_data[12. Consultation Group of],$E$2,tbl_data[1:T3A],$A141,tbl_data[T3],$E$3)</f>
        <v>0</v>
      </c>
      <c r="BA141" s="198">
        <f>COUNTIFS(tbl_data[12. Consultation Group of],$E$2,tbl_data[2:T3A],$A141,tbl_data[T3],$E$3)</f>
        <v>0</v>
      </c>
      <c r="BB141" s="198">
        <f>COUNTIFS(tbl_data[12. Consultation Group of],$E$2,tbl_data[3:T3A],$A141,tbl_data[T3],$E$3)</f>
        <v>0</v>
      </c>
      <c r="BC141" s="198">
        <f t="shared" si="36"/>
        <v>0</v>
      </c>
      <c r="BD141" s="199" t="str">
        <f t="shared" si="37"/>
        <v>Local government action (0)</v>
      </c>
      <c r="BE141" s="205">
        <f>COUNTIFS(tbl_data[1:T1A],$A141,tbl_data[T1],$F$3)</f>
        <v>0</v>
      </c>
      <c r="BF141" s="198">
        <f>COUNTIFS(tbl_data[2:T1A],$A141,tbl_data[T1],$F$3)</f>
        <v>0</v>
      </c>
      <c r="BG141" s="198">
        <f>COUNTIFS(tbl_data[3:T1A],$A141,tbl_data[T1],$F$3)</f>
        <v>0</v>
      </c>
      <c r="BH141" s="198">
        <f>COUNTIFS(tbl_data[1:T2A],$A141,tbl_data[T2],$F$3)</f>
        <v>0</v>
      </c>
      <c r="BI141" s="198">
        <f>COUNTIFS(tbl_data[2:T2A],$A141,tbl_data[T2],$F$3)</f>
        <v>0</v>
      </c>
      <c r="BJ141" s="198">
        <f>COUNTIFS(tbl_data[3:T2A],$A141,tbl_data[T2],$F$3)</f>
        <v>0</v>
      </c>
      <c r="BK141" s="198">
        <f>COUNTIFS(tbl_data[1:T3A],$A141,tbl_data[T3],$F$3)</f>
        <v>0</v>
      </c>
      <c r="BL141" s="198">
        <f>COUNTIFS(tbl_data[2:T3A],$A141,tbl_data[T3],$F$3)</f>
        <v>0</v>
      </c>
      <c r="BM141" s="198">
        <f>COUNTIFS(tbl_data[3:T3A],$A141,tbl_data[T3],$F$3)</f>
        <v>0</v>
      </c>
      <c r="BN141" s="198">
        <f t="shared" si="38"/>
        <v>0</v>
      </c>
      <c r="BO141" s="199" t="str">
        <f t="shared" si="39"/>
        <v>Local government action (0)</v>
      </c>
      <c r="BQ141" t="str">
        <f t="shared" si="40"/>
        <v>Local government action</v>
      </c>
      <c r="BR141">
        <f t="shared" si="41"/>
        <v>0</v>
      </c>
    </row>
    <row r="142" spans="1:74" x14ac:dyDescent="0.25">
      <c r="A142" s="215" t="s">
        <v>213</v>
      </c>
      <c r="B142" s="205">
        <f>COUNTIFS(tbl_data[12. Consultation Group of],$A$2,tbl_data[1:T1A],$A142,tbl_data[T1],$A$3)</f>
        <v>0</v>
      </c>
      <c r="C142" s="198">
        <f>COUNTIFS(tbl_data[12. Consultation Group of],$A$2,tbl_data[2:T1A],$A142,tbl_data[T1],$A$3)</f>
        <v>0</v>
      </c>
      <c r="D142" s="198">
        <f>COUNTIFS(tbl_data[12. Consultation Group of],$A$2,tbl_data[3:T1A],$A142,tbl_data[T1],$A$3)</f>
        <v>0</v>
      </c>
      <c r="E142" s="198">
        <f>COUNTIFS(tbl_data[12. Consultation Group of],$A$2,tbl_data[1:T2A],$A142,tbl_data[T2],$A$3)</f>
        <v>0</v>
      </c>
      <c r="F142" s="198">
        <f>COUNTIFS(tbl_data[12. Consultation Group of],$A$2,tbl_data[2:T2A],$A142,tbl_data[T2],$A$3)</f>
        <v>0</v>
      </c>
      <c r="G142" s="198">
        <f>COUNTIFS(tbl_data[12. Consultation Group of],$A$2,tbl_data[3:T2A],$A142,tbl_data[T2],$A$3)</f>
        <v>0</v>
      </c>
      <c r="H142" s="198">
        <f>COUNTIFS(tbl_data[12. Consultation Group of],$A$2,tbl_data[1:T3A],$A142,tbl_data[T3],$A$3)</f>
        <v>0</v>
      </c>
      <c r="I142" s="198">
        <f>COUNTIFS(tbl_data[12. Consultation Group of],$A$2,tbl_data[2:T3A],$A142,tbl_data[T3],$A$3)</f>
        <v>0</v>
      </c>
      <c r="J142" s="198">
        <f>COUNTIFS(tbl_data[12. Consultation Group of],$A$2,tbl_data[3:T3A],$A142,tbl_data[T3],$A$3)</f>
        <v>0</v>
      </c>
      <c r="K142" s="198">
        <f t="shared" si="28"/>
        <v>0</v>
      </c>
      <c r="L142" s="199" t="str">
        <f t="shared" si="29"/>
        <v>Monitoring of Regulation and Legislation (0)</v>
      </c>
      <c r="M142" s="205">
        <f>COUNTIFS(tbl_data[12. Consultation Group of],$B$2,tbl_data[1:T1A],$A142,tbl_data[T1],$B$3)</f>
        <v>0</v>
      </c>
      <c r="N142" s="198">
        <f>COUNTIFS(tbl_data[12. Consultation Group of],$B$2,tbl_data[2:T1A],$A142,tbl_data[T1],$B$3)</f>
        <v>0</v>
      </c>
      <c r="O142" s="198">
        <f>COUNTIFS(tbl_data[12. Consultation Group of],$B$2,tbl_data[3:T1A],$A142,tbl_data[T1],$B$3)</f>
        <v>0</v>
      </c>
      <c r="P142" s="198">
        <f>COUNTIFS(tbl_data[12. Consultation Group of],$B$2,tbl_data[1:T2A],$A142,tbl_data[T2],$B$3)</f>
        <v>0</v>
      </c>
      <c r="Q142" s="198">
        <f>COUNTIFS(tbl_data[12. Consultation Group of],$B$2,tbl_data[2:T2A],$A142,tbl_data[T2],$B$3)</f>
        <v>0</v>
      </c>
      <c r="R142" s="198">
        <f>COUNTIFS(tbl_data[12. Consultation Group of],$B$2,tbl_data[3:T2A],$A142,tbl_data[T2],$B$3)</f>
        <v>0</v>
      </c>
      <c r="S142" s="198">
        <f>COUNTIFS(tbl_data[12. Consultation Group of],$B$2,tbl_data[1:T3A],$A142,tbl_data[T3],$B$3)</f>
        <v>0</v>
      </c>
      <c r="T142" s="198">
        <f>COUNTIFS(tbl_data[12. Consultation Group of],$B$2,tbl_data[2:T3A],$A142,tbl_data[T3],$B$3)</f>
        <v>0</v>
      </c>
      <c r="U142" s="198">
        <f>COUNTIFS(tbl_data[12. Consultation Group of],$B$2,tbl_data[3:T3A],$A142,tbl_data[T3],$B$3)</f>
        <v>0</v>
      </c>
      <c r="V142" s="198">
        <f t="shared" si="30"/>
        <v>0</v>
      </c>
      <c r="W142" s="199" t="str">
        <f t="shared" si="31"/>
        <v>Monitoring of Regulation and Legislation (0)</v>
      </c>
      <c r="X142" s="205">
        <f>COUNTIFS(tbl_data[12. Consultation Group of],$C$2,tbl_data[1:T1A],$A142,tbl_data[T1],$C$3)</f>
        <v>0</v>
      </c>
      <c r="Y142" s="198">
        <f>COUNTIFS(tbl_data[12. Consultation Group of],$C$2,tbl_data[2:T1A],$A142,tbl_data[T1],$C$3)</f>
        <v>0</v>
      </c>
      <c r="Z142" s="198">
        <f>COUNTIFS(tbl_data[12. Consultation Group of],$C$2,tbl_data[3:T1A],$A142,tbl_data[T1],$C$3)</f>
        <v>0</v>
      </c>
      <c r="AA142" s="198">
        <f>COUNTIFS(tbl_data[12. Consultation Group of],$C$2,tbl_data[1:T2A],$A142,tbl_data[T2],$C$3)</f>
        <v>0</v>
      </c>
      <c r="AB142" s="198">
        <f>COUNTIFS(tbl_data[12. Consultation Group of],$C$2,tbl_data[2:T2A],$A142,tbl_data[T2],$C$3)</f>
        <v>0</v>
      </c>
      <c r="AC142" s="198">
        <f>COUNTIFS(tbl_data[12. Consultation Group of],$C$2,tbl_data[3:T2A],$A142,tbl_data[T2],$C$3)</f>
        <v>0</v>
      </c>
      <c r="AD142" s="198">
        <f>COUNTIFS(tbl_data[12. Consultation Group of],$C$2,tbl_data[1:T3A],$A142,tbl_data[T3],$C$3)</f>
        <v>0</v>
      </c>
      <c r="AE142" s="198">
        <f>COUNTIFS(tbl_data[12. Consultation Group of],$C$2,tbl_data[2:T3A],$A142,tbl_data[T3],$C$3)</f>
        <v>0</v>
      </c>
      <c r="AF142" s="198">
        <f>COUNTIFS(tbl_data[12. Consultation Group of],$C$2,tbl_data[3:T3A],$A142,tbl_data[T3],$C$3)</f>
        <v>0</v>
      </c>
      <c r="AG142" s="198">
        <f t="shared" si="32"/>
        <v>0</v>
      </c>
      <c r="AH142" s="199" t="str">
        <f t="shared" si="33"/>
        <v>Monitoring of Regulation and Legislation (0)</v>
      </c>
      <c r="AI142" s="205">
        <f>COUNTIFS(tbl_data[12. Consultation Group of],$D$2,tbl_data[1:T1A],$A142,tbl_data[T1],$D$3)</f>
        <v>0</v>
      </c>
      <c r="AJ142" s="198">
        <f>COUNTIFS(tbl_data[12. Consultation Group of],$D$2,tbl_data[2:T1A],$A142,tbl_data[T1],$D$3)</f>
        <v>0</v>
      </c>
      <c r="AK142" s="198">
        <f>COUNTIFS(tbl_data[12. Consultation Group of],$D$2,tbl_data[3:T1A],$A142,tbl_data[T1],$D$3)</f>
        <v>0</v>
      </c>
      <c r="AL142" s="198">
        <f>COUNTIFS(tbl_data[12. Consultation Group of],$D$2,tbl_data[1:T2A],$A142,tbl_data[T2],$D$3)</f>
        <v>0</v>
      </c>
      <c r="AM142" s="198">
        <f>COUNTIFS(tbl_data[12. Consultation Group of],$D$2,tbl_data[2:T2A],$A142,tbl_data[T2],$D$3)</f>
        <v>0</v>
      </c>
      <c r="AN142" s="198">
        <f>COUNTIFS(tbl_data[12. Consultation Group of],$D$2,tbl_data[3:T2A],$A142,tbl_data[T2],$D$3)</f>
        <v>0</v>
      </c>
      <c r="AO142" s="198">
        <f>COUNTIFS(tbl_data[12. Consultation Group of],$D$2,tbl_data[1:T3A],$A142,tbl_data[T3],$D$3)</f>
        <v>0</v>
      </c>
      <c r="AP142" s="198">
        <f>COUNTIFS(tbl_data[12. Consultation Group of],$D$2,tbl_data[2:T3A],$A142,tbl_data[T3],$D$3)</f>
        <v>0</v>
      </c>
      <c r="AQ142" s="198">
        <f>COUNTIFS(tbl_data[12. Consultation Group of],$D$2,tbl_data[3:T3A],$A142,tbl_data[T3],$D$3)</f>
        <v>0</v>
      </c>
      <c r="AR142" s="198">
        <f t="shared" si="34"/>
        <v>0</v>
      </c>
      <c r="AS142" s="199" t="str">
        <f t="shared" si="35"/>
        <v>Monitoring of Regulation and Legislation (0)</v>
      </c>
      <c r="AT142" s="205">
        <f>COUNTIFS(tbl_data[12. Consultation Group of],$E$2,tbl_data[1:T1A],$A142,tbl_data[T1],$E$3)</f>
        <v>0</v>
      </c>
      <c r="AU142" s="198">
        <f>COUNTIFS(tbl_data[12. Consultation Group of],$E$2,tbl_data[2:T1A],$A142,tbl_data[T1],$E$3)</f>
        <v>0</v>
      </c>
      <c r="AV142" s="198">
        <f>COUNTIFS(tbl_data[12. Consultation Group of],$E$2,tbl_data[3:T1A],$A142,tbl_data[T1],$E$3)</f>
        <v>0</v>
      </c>
      <c r="AW142" s="198">
        <f>COUNTIFS(tbl_data[12. Consultation Group of],$E$2,tbl_data[1:T2A],$A142,tbl_data[T2],$E$3)</f>
        <v>0</v>
      </c>
      <c r="AX142" s="198">
        <f>COUNTIFS(tbl_data[12. Consultation Group of],$E$2,tbl_data[2:T2A],$A142,tbl_data[T2],$E$3)</f>
        <v>0</v>
      </c>
      <c r="AY142" s="198">
        <f>COUNTIFS(tbl_data[12. Consultation Group of],$E$2,tbl_data[3:T2A],$A142,tbl_data[T2],$E$3)</f>
        <v>0</v>
      </c>
      <c r="AZ142" s="198">
        <f>COUNTIFS(tbl_data[12. Consultation Group of],$E$2,tbl_data[1:T3A],$A142,tbl_data[T3],$E$3)</f>
        <v>0</v>
      </c>
      <c r="BA142" s="198">
        <f>COUNTIFS(tbl_data[12. Consultation Group of],$E$2,tbl_data[2:T3A],$A142,tbl_data[T3],$E$3)</f>
        <v>0</v>
      </c>
      <c r="BB142" s="198">
        <f>COUNTIFS(tbl_data[12. Consultation Group of],$E$2,tbl_data[3:T3A],$A142,tbl_data[T3],$E$3)</f>
        <v>0</v>
      </c>
      <c r="BC142" s="198">
        <f t="shared" si="36"/>
        <v>0</v>
      </c>
      <c r="BD142" s="199" t="str">
        <f t="shared" si="37"/>
        <v>Monitoring of Regulation and Legislation (0)</v>
      </c>
      <c r="BE142" s="205">
        <f>COUNTIFS(tbl_data[1:T1A],$A142,tbl_data[T1],$F$3)</f>
        <v>0</v>
      </c>
      <c r="BF142" s="198">
        <f>COUNTIFS(tbl_data[2:T1A],$A142,tbl_data[T1],$F$3)</f>
        <v>0</v>
      </c>
      <c r="BG142" s="198">
        <f>COUNTIFS(tbl_data[3:T1A],$A142,tbl_data[T1],$F$3)</f>
        <v>0</v>
      </c>
      <c r="BH142" s="198">
        <f>COUNTIFS(tbl_data[1:T2A],$A142,tbl_data[T2],$F$3)</f>
        <v>0</v>
      </c>
      <c r="BI142" s="198">
        <f>COUNTIFS(tbl_data[2:T2A],$A142,tbl_data[T2],$F$3)</f>
        <v>0</v>
      </c>
      <c r="BJ142" s="198">
        <f>COUNTIFS(tbl_data[3:T2A],$A142,tbl_data[T2],$F$3)</f>
        <v>0</v>
      </c>
      <c r="BK142" s="198">
        <f>COUNTIFS(tbl_data[1:T3A],$A142,tbl_data[T3],$F$3)</f>
        <v>0</v>
      </c>
      <c r="BL142" s="198">
        <f>COUNTIFS(tbl_data[2:T3A],$A142,tbl_data[T3],$F$3)</f>
        <v>0</v>
      </c>
      <c r="BM142" s="198">
        <f>COUNTIFS(tbl_data[3:T3A],$A142,tbl_data[T3],$F$3)</f>
        <v>0</v>
      </c>
      <c r="BN142" s="198">
        <f t="shared" si="38"/>
        <v>0</v>
      </c>
      <c r="BO142" s="199" t="str">
        <f t="shared" si="39"/>
        <v>Monitoring of Regulation and Legislation (0)</v>
      </c>
      <c r="BQ142" t="str">
        <f t="shared" si="40"/>
        <v>Monitoring of Regulation and Legislation</v>
      </c>
      <c r="BR142">
        <f t="shared" si="41"/>
        <v>0</v>
      </c>
    </row>
    <row r="143" spans="1:74" x14ac:dyDescent="0.25">
      <c r="A143" s="215" t="s">
        <v>417</v>
      </c>
      <c r="B143" s="205">
        <f>COUNTIFS(tbl_data[12. Consultation Group of],$A$2,tbl_data[1:T1A],$A143,tbl_data[T1],$A$3)</f>
        <v>0</v>
      </c>
      <c r="C143" s="198">
        <f>COUNTIFS(tbl_data[12. Consultation Group of],$A$2,tbl_data[2:T1A],$A143,tbl_data[T1],$A$3)</f>
        <v>0</v>
      </c>
      <c r="D143" s="198">
        <f>COUNTIFS(tbl_data[12. Consultation Group of],$A$2,tbl_data[3:T1A],$A143,tbl_data[T1],$A$3)</f>
        <v>0</v>
      </c>
      <c r="E143" s="198">
        <f>COUNTIFS(tbl_data[12. Consultation Group of],$A$2,tbl_data[1:T2A],$A143,tbl_data[T2],$A$3)</f>
        <v>0</v>
      </c>
      <c r="F143" s="198">
        <f>COUNTIFS(tbl_data[12. Consultation Group of],$A$2,tbl_data[2:T2A],$A143,tbl_data[T2],$A$3)</f>
        <v>0</v>
      </c>
      <c r="G143" s="198">
        <f>COUNTIFS(tbl_data[12. Consultation Group of],$A$2,tbl_data[3:T2A],$A143,tbl_data[T2],$A$3)</f>
        <v>0</v>
      </c>
      <c r="H143" s="198">
        <f>COUNTIFS(tbl_data[12. Consultation Group of],$A$2,tbl_data[1:T3A],$A143,tbl_data[T3],$A$3)</f>
        <v>0</v>
      </c>
      <c r="I143" s="198">
        <f>COUNTIFS(tbl_data[12. Consultation Group of],$A$2,tbl_data[2:T3A],$A143,tbl_data[T3],$A$3)</f>
        <v>0</v>
      </c>
      <c r="J143" s="198">
        <f>COUNTIFS(tbl_data[12. Consultation Group of],$A$2,tbl_data[3:T3A],$A143,tbl_data[T3],$A$3)</f>
        <v>0</v>
      </c>
      <c r="K143" s="198">
        <f t="shared" si="28"/>
        <v>0</v>
      </c>
      <c r="L143" s="199" t="str">
        <f t="shared" si="29"/>
        <v>Distribution of Emergency Equipment/Survival Kits (0)</v>
      </c>
      <c r="M143" s="205">
        <f>COUNTIFS(tbl_data[12. Consultation Group of],$B$2,tbl_data[1:T1A],$A143,tbl_data[T1],$B$3)</f>
        <v>0</v>
      </c>
      <c r="N143" s="198">
        <f>COUNTIFS(tbl_data[12. Consultation Group of],$B$2,tbl_data[2:T1A],$A143,tbl_data[T1],$B$3)</f>
        <v>0</v>
      </c>
      <c r="O143" s="198">
        <f>COUNTIFS(tbl_data[12. Consultation Group of],$B$2,tbl_data[3:T1A],$A143,tbl_data[T1],$B$3)</f>
        <v>0</v>
      </c>
      <c r="P143" s="198">
        <f>COUNTIFS(tbl_data[12. Consultation Group of],$B$2,tbl_data[1:T2A],$A143,tbl_data[T2],$B$3)</f>
        <v>0</v>
      </c>
      <c r="Q143" s="198">
        <f>COUNTIFS(tbl_data[12. Consultation Group of],$B$2,tbl_data[2:T2A],$A143,tbl_data[T2],$B$3)</f>
        <v>0</v>
      </c>
      <c r="R143" s="198">
        <f>COUNTIFS(tbl_data[12. Consultation Group of],$B$2,tbl_data[3:T2A],$A143,tbl_data[T2],$B$3)</f>
        <v>0</v>
      </c>
      <c r="S143" s="198">
        <f>COUNTIFS(tbl_data[12. Consultation Group of],$B$2,tbl_data[1:T3A],$A143,tbl_data[T3],$B$3)</f>
        <v>0</v>
      </c>
      <c r="T143" s="198">
        <f>COUNTIFS(tbl_data[12. Consultation Group of],$B$2,tbl_data[2:T3A],$A143,tbl_data[T3],$B$3)</f>
        <v>0</v>
      </c>
      <c r="U143" s="198">
        <f>COUNTIFS(tbl_data[12. Consultation Group of],$B$2,tbl_data[3:T3A],$A143,tbl_data[T3],$B$3)</f>
        <v>0</v>
      </c>
      <c r="V143" s="198">
        <f t="shared" si="30"/>
        <v>0</v>
      </c>
      <c r="W143" s="199" t="str">
        <f t="shared" si="31"/>
        <v>Distribution of Emergency Equipment/Survival Kits (0)</v>
      </c>
      <c r="X143" s="205">
        <f>COUNTIFS(tbl_data[12. Consultation Group of],$C$2,tbl_data[1:T1A],$A143,tbl_data[T1],$C$3)</f>
        <v>0</v>
      </c>
      <c r="Y143" s="198">
        <f>COUNTIFS(tbl_data[12. Consultation Group of],$C$2,tbl_data[2:T1A],$A143,tbl_data[T1],$C$3)</f>
        <v>0</v>
      </c>
      <c r="Z143" s="198">
        <f>COUNTIFS(tbl_data[12. Consultation Group of],$C$2,tbl_data[3:T1A],$A143,tbl_data[T1],$C$3)</f>
        <v>0</v>
      </c>
      <c r="AA143" s="198">
        <f>COUNTIFS(tbl_data[12. Consultation Group of],$C$2,tbl_data[1:T2A],$A143,tbl_data[T2],$C$3)</f>
        <v>0</v>
      </c>
      <c r="AB143" s="198">
        <f>COUNTIFS(tbl_data[12. Consultation Group of],$C$2,tbl_data[2:T2A],$A143,tbl_data[T2],$C$3)</f>
        <v>0</v>
      </c>
      <c r="AC143" s="198">
        <f>COUNTIFS(tbl_data[12. Consultation Group of],$C$2,tbl_data[3:T2A],$A143,tbl_data[T2],$C$3)</f>
        <v>0</v>
      </c>
      <c r="AD143" s="198">
        <f>COUNTIFS(tbl_data[12. Consultation Group of],$C$2,tbl_data[1:T3A],$A143,tbl_data[T3],$C$3)</f>
        <v>0</v>
      </c>
      <c r="AE143" s="198">
        <f>COUNTIFS(tbl_data[12. Consultation Group of],$C$2,tbl_data[2:T3A],$A143,tbl_data[T3],$C$3)</f>
        <v>0</v>
      </c>
      <c r="AF143" s="198">
        <f>COUNTIFS(tbl_data[12. Consultation Group of],$C$2,tbl_data[3:T3A],$A143,tbl_data[T3],$C$3)</f>
        <v>0</v>
      </c>
      <c r="AG143" s="198">
        <f t="shared" si="32"/>
        <v>0</v>
      </c>
      <c r="AH143" s="199" t="str">
        <f t="shared" si="33"/>
        <v>Distribution of Emergency Equipment/Survival Kits (0)</v>
      </c>
      <c r="AI143" s="205">
        <f>COUNTIFS(tbl_data[12. Consultation Group of],$D$2,tbl_data[1:T1A],$A143,tbl_data[T1],$D$3)</f>
        <v>0</v>
      </c>
      <c r="AJ143" s="198">
        <f>COUNTIFS(tbl_data[12. Consultation Group of],$D$2,tbl_data[2:T1A],$A143,tbl_data[T1],$D$3)</f>
        <v>0</v>
      </c>
      <c r="AK143" s="198">
        <f>COUNTIFS(tbl_data[12. Consultation Group of],$D$2,tbl_data[3:T1A],$A143,tbl_data[T1],$D$3)</f>
        <v>0</v>
      </c>
      <c r="AL143" s="198">
        <f>COUNTIFS(tbl_data[12. Consultation Group of],$D$2,tbl_data[1:T2A],$A143,tbl_data[T2],$D$3)</f>
        <v>0</v>
      </c>
      <c r="AM143" s="198">
        <f>COUNTIFS(tbl_data[12. Consultation Group of],$D$2,tbl_data[2:T2A],$A143,tbl_data[T2],$D$3)</f>
        <v>0</v>
      </c>
      <c r="AN143" s="198">
        <f>COUNTIFS(tbl_data[12. Consultation Group of],$D$2,tbl_data[3:T2A],$A143,tbl_data[T2],$D$3)</f>
        <v>0</v>
      </c>
      <c r="AO143" s="198">
        <f>COUNTIFS(tbl_data[12. Consultation Group of],$D$2,tbl_data[1:T3A],$A143,tbl_data[T3],$D$3)</f>
        <v>0</v>
      </c>
      <c r="AP143" s="198">
        <f>COUNTIFS(tbl_data[12. Consultation Group of],$D$2,tbl_data[2:T3A],$A143,tbl_data[T3],$D$3)</f>
        <v>0</v>
      </c>
      <c r="AQ143" s="198">
        <f>COUNTIFS(tbl_data[12. Consultation Group of],$D$2,tbl_data[3:T3A],$A143,tbl_data[T3],$D$3)</f>
        <v>0</v>
      </c>
      <c r="AR143" s="198">
        <f t="shared" si="34"/>
        <v>0</v>
      </c>
      <c r="AS143" s="199" t="str">
        <f t="shared" si="35"/>
        <v>Distribution of Emergency Equipment/Survival Kits (0)</v>
      </c>
      <c r="AT143" s="205">
        <f>COUNTIFS(tbl_data[12. Consultation Group of],$E$2,tbl_data[1:T1A],$A143,tbl_data[T1],$E$3)</f>
        <v>0</v>
      </c>
      <c r="AU143" s="198">
        <f>COUNTIFS(tbl_data[12. Consultation Group of],$E$2,tbl_data[2:T1A],$A143,tbl_data[T1],$E$3)</f>
        <v>0</v>
      </c>
      <c r="AV143" s="198">
        <f>COUNTIFS(tbl_data[12. Consultation Group of],$E$2,tbl_data[3:T1A],$A143,tbl_data[T1],$E$3)</f>
        <v>0</v>
      </c>
      <c r="AW143" s="198">
        <f>COUNTIFS(tbl_data[12. Consultation Group of],$E$2,tbl_data[1:T2A],$A143,tbl_data[T2],$E$3)</f>
        <v>0</v>
      </c>
      <c r="AX143" s="198">
        <f>COUNTIFS(tbl_data[12. Consultation Group of],$E$2,tbl_data[2:T2A],$A143,tbl_data[T2],$E$3)</f>
        <v>0</v>
      </c>
      <c r="AY143" s="198">
        <f>COUNTIFS(tbl_data[12. Consultation Group of],$E$2,tbl_data[3:T2A],$A143,tbl_data[T2],$E$3)</f>
        <v>0</v>
      </c>
      <c r="AZ143" s="198">
        <f>COUNTIFS(tbl_data[12. Consultation Group of],$E$2,tbl_data[1:T3A],$A143,tbl_data[T3],$E$3)</f>
        <v>0</v>
      </c>
      <c r="BA143" s="198">
        <f>COUNTIFS(tbl_data[12. Consultation Group of],$E$2,tbl_data[2:T3A],$A143,tbl_data[T3],$E$3)</f>
        <v>0</v>
      </c>
      <c r="BB143" s="198">
        <f>COUNTIFS(tbl_data[12. Consultation Group of],$E$2,tbl_data[3:T3A],$A143,tbl_data[T3],$E$3)</f>
        <v>0</v>
      </c>
      <c r="BC143" s="198">
        <f t="shared" si="36"/>
        <v>0</v>
      </c>
      <c r="BD143" s="199" t="str">
        <f t="shared" si="37"/>
        <v>Distribution of Emergency Equipment/Survival Kits (0)</v>
      </c>
      <c r="BE143" s="205">
        <f>COUNTIFS(tbl_data[1:T1A],$A143,tbl_data[T1],$F$3)</f>
        <v>0</v>
      </c>
      <c r="BF143" s="198">
        <f>COUNTIFS(tbl_data[2:T1A],$A143,tbl_data[T1],$F$3)</f>
        <v>0</v>
      </c>
      <c r="BG143" s="198">
        <f>COUNTIFS(tbl_data[3:T1A],$A143,tbl_data[T1],$F$3)</f>
        <v>0</v>
      </c>
      <c r="BH143" s="198">
        <f>COUNTIFS(tbl_data[1:T2A],$A143,tbl_data[T2],$F$3)</f>
        <v>0</v>
      </c>
      <c r="BI143" s="198">
        <f>COUNTIFS(tbl_data[2:T2A],$A143,tbl_data[T2],$F$3)</f>
        <v>0</v>
      </c>
      <c r="BJ143" s="198">
        <f>COUNTIFS(tbl_data[3:T2A],$A143,tbl_data[T2],$F$3)</f>
        <v>0</v>
      </c>
      <c r="BK143" s="198">
        <f>COUNTIFS(tbl_data[1:T3A],$A143,tbl_data[T3],$F$3)</f>
        <v>0</v>
      </c>
      <c r="BL143" s="198">
        <f>COUNTIFS(tbl_data[2:T3A],$A143,tbl_data[T3],$F$3)</f>
        <v>0</v>
      </c>
      <c r="BM143" s="198">
        <f>COUNTIFS(tbl_data[3:T3A],$A143,tbl_data[T3],$F$3)</f>
        <v>0</v>
      </c>
      <c r="BN143" s="198">
        <f t="shared" si="38"/>
        <v>0</v>
      </c>
      <c r="BO143" s="199" t="str">
        <f t="shared" si="39"/>
        <v>Distribution of Emergency Equipment/Survival Kits (0)</v>
      </c>
      <c r="BQ143" t="str">
        <f t="shared" si="40"/>
        <v>Distribution of Emergency Equipment/Survival Kits</v>
      </c>
      <c r="BR143">
        <f t="shared" si="41"/>
        <v>0</v>
      </c>
    </row>
    <row r="144" spans="1:74" x14ac:dyDescent="0.25">
      <c r="A144" s="215" t="s">
        <v>261</v>
      </c>
      <c r="B144" s="205">
        <f>COUNTIFS(tbl_data[12. Consultation Group of],$A$2,tbl_data[1:T1A],$A144,tbl_data[T1],$A$3)</f>
        <v>0</v>
      </c>
      <c r="C144" s="198">
        <f>COUNTIFS(tbl_data[12. Consultation Group of],$A$2,tbl_data[2:T1A],$A144,tbl_data[T1],$A$3)</f>
        <v>0</v>
      </c>
      <c r="D144" s="198">
        <f>COUNTIFS(tbl_data[12. Consultation Group of],$A$2,tbl_data[3:T1A],$A144,tbl_data[T1],$A$3)</f>
        <v>0</v>
      </c>
      <c r="E144" s="198">
        <f>COUNTIFS(tbl_data[12. Consultation Group of],$A$2,tbl_data[1:T2A],$A144,tbl_data[T2],$A$3)</f>
        <v>0</v>
      </c>
      <c r="F144" s="198">
        <f>COUNTIFS(tbl_data[12. Consultation Group of],$A$2,tbl_data[2:T2A],$A144,tbl_data[T2],$A$3)</f>
        <v>0</v>
      </c>
      <c r="G144" s="198">
        <f>COUNTIFS(tbl_data[12. Consultation Group of],$A$2,tbl_data[3:T2A],$A144,tbl_data[T2],$A$3)</f>
        <v>0</v>
      </c>
      <c r="H144" s="198">
        <f>COUNTIFS(tbl_data[12. Consultation Group of],$A$2,tbl_data[1:T3A],$A144,tbl_data[T3],$A$3)</f>
        <v>0</v>
      </c>
      <c r="I144" s="198">
        <f>COUNTIFS(tbl_data[12. Consultation Group of],$A$2,tbl_data[2:T3A],$A144,tbl_data[T3],$A$3)</f>
        <v>0</v>
      </c>
      <c r="J144" s="198">
        <f>COUNTIFS(tbl_data[12. Consultation Group of],$A$2,tbl_data[3:T3A],$A144,tbl_data[T3],$A$3)</f>
        <v>0</v>
      </c>
      <c r="K144" s="198">
        <f t="shared" si="28"/>
        <v>0</v>
      </c>
      <c r="L144" s="199" t="str">
        <f t="shared" si="29"/>
        <v>Individual/Personal Action (0)</v>
      </c>
      <c r="M144" s="205">
        <f>COUNTIFS(tbl_data[12. Consultation Group of],$B$2,tbl_data[1:T1A],$A144,tbl_data[T1],$B$3)</f>
        <v>0</v>
      </c>
      <c r="N144" s="198">
        <f>COUNTIFS(tbl_data[12. Consultation Group of],$B$2,tbl_data[2:T1A],$A144,tbl_data[T1],$B$3)</f>
        <v>1</v>
      </c>
      <c r="O144" s="198">
        <f>COUNTIFS(tbl_data[12. Consultation Group of],$B$2,tbl_data[3:T1A],$A144,tbl_data[T1],$B$3)</f>
        <v>0</v>
      </c>
      <c r="P144" s="198">
        <f>COUNTIFS(tbl_data[12. Consultation Group of],$B$2,tbl_data[1:T2A],$A144,tbl_data[T2],$B$3)</f>
        <v>0</v>
      </c>
      <c r="Q144" s="198">
        <f>COUNTIFS(tbl_data[12. Consultation Group of],$B$2,tbl_data[2:T2A],$A144,tbl_data[T2],$B$3)</f>
        <v>0</v>
      </c>
      <c r="R144" s="198">
        <f>COUNTIFS(tbl_data[12. Consultation Group of],$B$2,tbl_data[3:T2A],$A144,tbl_data[T2],$B$3)</f>
        <v>0</v>
      </c>
      <c r="S144" s="198">
        <f>COUNTIFS(tbl_data[12. Consultation Group of],$B$2,tbl_data[1:T3A],$A144,tbl_data[T3],$B$3)</f>
        <v>0</v>
      </c>
      <c r="T144" s="198">
        <f>COUNTIFS(tbl_data[12. Consultation Group of],$B$2,tbl_data[2:T3A],$A144,tbl_data[T3],$B$3)</f>
        <v>0</v>
      </c>
      <c r="U144" s="198">
        <f>COUNTIFS(tbl_data[12. Consultation Group of],$B$2,tbl_data[3:T3A],$A144,tbl_data[T3],$B$3)</f>
        <v>0</v>
      </c>
      <c r="V144" s="198">
        <f t="shared" si="30"/>
        <v>1</v>
      </c>
      <c r="W144" s="199" t="str">
        <f t="shared" si="31"/>
        <v>Individual/Personal Action (1)</v>
      </c>
      <c r="X144" s="205">
        <f>COUNTIFS(tbl_data[12. Consultation Group of],$C$2,tbl_data[1:T1A],$A144,tbl_data[T1],$C$3)</f>
        <v>0</v>
      </c>
      <c r="Y144" s="198">
        <f>COUNTIFS(tbl_data[12. Consultation Group of],$C$2,tbl_data[2:T1A],$A144,tbl_data[T1],$C$3)</f>
        <v>0</v>
      </c>
      <c r="Z144" s="198">
        <f>COUNTIFS(tbl_data[12. Consultation Group of],$C$2,tbl_data[3:T1A],$A144,tbl_data[T1],$C$3)</f>
        <v>0</v>
      </c>
      <c r="AA144" s="198">
        <f>COUNTIFS(tbl_data[12. Consultation Group of],$C$2,tbl_data[1:T2A],$A144,tbl_data[T2],$C$3)</f>
        <v>0</v>
      </c>
      <c r="AB144" s="198">
        <f>COUNTIFS(tbl_data[12. Consultation Group of],$C$2,tbl_data[2:T2A],$A144,tbl_data[T2],$C$3)</f>
        <v>0</v>
      </c>
      <c r="AC144" s="198">
        <f>COUNTIFS(tbl_data[12. Consultation Group of],$C$2,tbl_data[3:T2A],$A144,tbl_data[T2],$C$3)</f>
        <v>0</v>
      </c>
      <c r="AD144" s="198">
        <f>COUNTIFS(tbl_data[12. Consultation Group of],$C$2,tbl_data[1:T3A],$A144,tbl_data[T3],$C$3)</f>
        <v>0</v>
      </c>
      <c r="AE144" s="198">
        <f>COUNTIFS(tbl_data[12. Consultation Group of],$C$2,tbl_data[2:T3A],$A144,tbl_data[T3],$C$3)</f>
        <v>0</v>
      </c>
      <c r="AF144" s="198">
        <f>COUNTIFS(tbl_data[12. Consultation Group of],$C$2,tbl_data[3:T3A],$A144,tbl_data[T3],$C$3)</f>
        <v>0</v>
      </c>
      <c r="AG144" s="198">
        <f t="shared" si="32"/>
        <v>0</v>
      </c>
      <c r="AH144" s="199" t="str">
        <f t="shared" si="33"/>
        <v>Individual/Personal Action (0)</v>
      </c>
      <c r="AI144" s="205">
        <f>COUNTIFS(tbl_data[12. Consultation Group of],$D$2,tbl_data[1:T1A],$A144,tbl_data[T1],$D$3)</f>
        <v>0</v>
      </c>
      <c r="AJ144" s="198">
        <f>COUNTIFS(tbl_data[12. Consultation Group of],$D$2,tbl_data[2:T1A],$A144,tbl_data[T1],$D$3)</f>
        <v>0</v>
      </c>
      <c r="AK144" s="198">
        <f>COUNTIFS(tbl_data[12. Consultation Group of],$D$2,tbl_data[3:T1A],$A144,tbl_data[T1],$D$3)</f>
        <v>0</v>
      </c>
      <c r="AL144" s="198">
        <f>COUNTIFS(tbl_data[12. Consultation Group of],$D$2,tbl_data[1:T2A],$A144,tbl_data[T2],$D$3)</f>
        <v>0</v>
      </c>
      <c r="AM144" s="198">
        <f>COUNTIFS(tbl_data[12. Consultation Group of],$D$2,tbl_data[2:T2A],$A144,tbl_data[T2],$D$3)</f>
        <v>0</v>
      </c>
      <c r="AN144" s="198">
        <f>COUNTIFS(tbl_data[12. Consultation Group of],$D$2,tbl_data[3:T2A],$A144,tbl_data[T2],$D$3)</f>
        <v>0</v>
      </c>
      <c r="AO144" s="198">
        <f>COUNTIFS(tbl_data[12. Consultation Group of],$D$2,tbl_data[1:T3A],$A144,tbl_data[T3],$D$3)</f>
        <v>0</v>
      </c>
      <c r="AP144" s="198">
        <f>COUNTIFS(tbl_data[12. Consultation Group of],$D$2,tbl_data[2:T3A],$A144,tbl_data[T3],$D$3)</f>
        <v>0</v>
      </c>
      <c r="AQ144" s="198">
        <f>COUNTIFS(tbl_data[12. Consultation Group of],$D$2,tbl_data[3:T3A],$A144,tbl_data[T3],$D$3)</f>
        <v>0</v>
      </c>
      <c r="AR144" s="198">
        <f t="shared" si="34"/>
        <v>0</v>
      </c>
      <c r="AS144" s="199" t="str">
        <f t="shared" si="35"/>
        <v>Individual/Personal Action (0)</v>
      </c>
      <c r="AT144" s="205">
        <f>COUNTIFS(tbl_data[12. Consultation Group of],$E$2,tbl_data[1:T1A],$A144,tbl_data[T1],$E$3)</f>
        <v>0</v>
      </c>
      <c r="AU144" s="198">
        <f>COUNTIFS(tbl_data[12. Consultation Group of],$E$2,tbl_data[2:T1A],$A144,tbl_data[T1],$E$3)</f>
        <v>0</v>
      </c>
      <c r="AV144" s="198">
        <f>COUNTIFS(tbl_data[12. Consultation Group of],$E$2,tbl_data[3:T1A],$A144,tbl_data[T1],$E$3)</f>
        <v>0</v>
      </c>
      <c r="AW144" s="198">
        <f>COUNTIFS(tbl_data[12. Consultation Group of],$E$2,tbl_data[1:T2A],$A144,tbl_data[T2],$E$3)</f>
        <v>0</v>
      </c>
      <c r="AX144" s="198">
        <f>COUNTIFS(tbl_data[12. Consultation Group of],$E$2,tbl_data[2:T2A],$A144,tbl_data[T2],$E$3)</f>
        <v>0</v>
      </c>
      <c r="AY144" s="198">
        <f>COUNTIFS(tbl_data[12. Consultation Group of],$E$2,tbl_data[3:T2A],$A144,tbl_data[T2],$E$3)</f>
        <v>0</v>
      </c>
      <c r="AZ144" s="198">
        <f>COUNTIFS(tbl_data[12. Consultation Group of],$E$2,tbl_data[1:T3A],$A144,tbl_data[T3],$E$3)</f>
        <v>0</v>
      </c>
      <c r="BA144" s="198">
        <f>COUNTIFS(tbl_data[12. Consultation Group of],$E$2,tbl_data[2:T3A],$A144,tbl_data[T3],$E$3)</f>
        <v>0</v>
      </c>
      <c r="BB144" s="198">
        <f>COUNTIFS(tbl_data[12. Consultation Group of],$E$2,tbl_data[3:T3A],$A144,tbl_data[T3],$E$3)</f>
        <v>0</v>
      </c>
      <c r="BC144" s="198">
        <f t="shared" si="36"/>
        <v>0</v>
      </c>
      <c r="BD144" s="199" t="str">
        <f t="shared" si="37"/>
        <v>Individual/Personal Action (0)</v>
      </c>
      <c r="BE144" s="205">
        <f>COUNTIFS(tbl_data[1:T1A],$A144,tbl_data[T1],$F$3)</f>
        <v>0</v>
      </c>
      <c r="BF144" s="198">
        <f>COUNTIFS(tbl_data[2:T1A],$A144,tbl_data[T1],$F$3)</f>
        <v>0</v>
      </c>
      <c r="BG144" s="198">
        <f>COUNTIFS(tbl_data[3:T1A],$A144,tbl_data[T1],$F$3)</f>
        <v>0</v>
      </c>
      <c r="BH144" s="198">
        <f>COUNTIFS(tbl_data[1:T2A],$A144,tbl_data[T2],$F$3)</f>
        <v>0</v>
      </c>
      <c r="BI144" s="198">
        <f>COUNTIFS(tbl_data[2:T2A],$A144,tbl_data[T2],$F$3)</f>
        <v>0</v>
      </c>
      <c r="BJ144" s="198">
        <f>COUNTIFS(tbl_data[3:T2A],$A144,tbl_data[T2],$F$3)</f>
        <v>0</v>
      </c>
      <c r="BK144" s="198">
        <f>COUNTIFS(tbl_data[1:T3A],$A144,tbl_data[T3],$F$3)</f>
        <v>0</v>
      </c>
      <c r="BL144" s="198">
        <f>COUNTIFS(tbl_data[2:T3A],$A144,tbl_data[T3],$F$3)</f>
        <v>0</v>
      </c>
      <c r="BM144" s="198">
        <f>COUNTIFS(tbl_data[3:T3A],$A144,tbl_data[T3],$F$3)</f>
        <v>0</v>
      </c>
      <c r="BN144" s="198">
        <f t="shared" si="38"/>
        <v>0</v>
      </c>
      <c r="BO144" s="199" t="str">
        <f t="shared" si="39"/>
        <v>Individual/Personal Action (0)</v>
      </c>
      <c r="BQ144" t="str">
        <f t="shared" si="40"/>
        <v>Individual/Personal Action</v>
      </c>
      <c r="BR144">
        <f t="shared" si="41"/>
        <v>1</v>
      </c>
      <c r="BS144" t="s">
        <v>929</v>
      </c>
      <c r="BT144" t="s">
        <v>929</v>
      </c>
      <c r="BU144" s="39" t="s">
        <v>929</v>
      </c>
    </row>
    <row r="145" spans="1:74" x14ac:dyDescent="0.25">
      <c r="A145" s="215" t="s">
        <v>310</v>
      </c>
      <c r="B145" s="205">
        <f>COUNTIFS(tbl_data[12. Consultation Group of],$A$2,tbl_data[1:T1A],$A145,tbl_data[T1],$A$3)</f>
        <v>0</v>
      </c>
      <c r="C145" s="198">
        <f>COUNTIFS(tbl_data[12. Consultation Group of],$A$2,tbl_data[2:T1A],$A145,tbl_data[T1],$A$3)</f>
        <v>0</v>
      </c>
      <c r="D145" s="198">
        <f>COUNTIFS(tbl_data[12. Consultation Group of],$A$2,tbl_data[3:T1A],$A145,tbl_data[T1],$A$3)</f>
        <v>0</v>
      </c>
      <c r="E145" s="198">
        <f>COUNTIFS(tbl_data[12. Consultation Group of],$A$2,tbl_data[1:T2A],$A145,tbl_data[T2],$A$3)</f>
        <v>0</v>
      </c>
      <c r="F145" s="198">
        <f>COUNTIFS(tbl_data[12. Consultation Group of],$A$2,tbl_data[2:T2A],$A145,tbl_data[T2],$A$3)</f>
        <v>0</v>
      </c>
      <c r="G145" s="198">
        <f>COUNTIFS(tbl_data[12. Consultation Group of],$A$2,tbl_data[3:T2A],$A145,tbl_data[T2],$A$3)</f>
        <v>0</v>
      </c>
      <c r="H145" s="198">
        <f>COUNTIFS(tbl_data[12. Consultation Group of],$A$2,tbl_data[1:T3A],$A145,tbl_data[T3],$A$3)</f>
        <v>0</v>
      </c>
      <c r="I145" s="198">
        <f>COUNTIFS(tbl_data[12. Consultation Group of],$A$2,tbl_data[2:T3A],$A145,tbl_data[T3],$A$3)</f>
        <v>0</v>
      </c>
      <c r="J145" s="198">
        <f>COUNTIFS(tbl_data[12. Consultation Group of],$A$2,tbl_data[3:T3A],$A145,tbl_data[T3],$A$3)</f>
        <v>0</v>
      </c>
      <c r="K145" s="198">
        <f t="shared" si="28"/>
        <v>0</v>
      </c>
      <c r="L145" s="199" t="str">
        <f t="shared" si="29"/>
        <v>Maintain Basic Services (Medical and Other) (0)</v>
      </c>
      <c r="M145" s="205">
        <f>COUNTIFS(tbl_data[12. Consultation Group of],$B$2,tbl_data[1:T1A],$A145,tbl_data[T1],$B$3)</f>
        <v>0</v>
      </c>
      <c r="N145" s="198">
        <f>COUNTIFS(tbl_data[12. Consultation Group of],$B$2,tbl_data[2:T1A],$A145,tbl_data[T1],$B$3)</f>
        <v>0</v>
      </c>
      <c r="O145" s="198">
        <f>COUNTIFS(tbl_data[12. Consultation Group of],$B$2,tbl_data[3:T1A],$A145,tbl_data[T1],$B$3)</f>
        <v>0</v>
      </c>
      <c r="P145" s="198">
        <f>COUNTIFS(tbl_data[12. Consultation Group of],$B$2,tbl_data[1:T2A],$A145,tbl_data[T2],$B$3)</f>
        <v>0</v>
      </c>
      <c r="Q145" s="198">
        <f>COUNTIFS(tbl_data[12. Consultation Group of],$B$2,tbl_data[2:T2A],$A145,tbl_data[T2],$B$3)</f>
        <v>0</v>
      </c>
      <c r="R145" s="198">
        <f>COUNTIFS(tbl_data[12. Consultation Group of],$B$2,tbl_data[3:T2A],$A145,tbl_data[T2],$B$3)</f>
        <v>0</v>
      </c>
      <c r="S145" s="198">
        <f>COUNTIFS(tbl_data[12. Consultation Group of],$B$2,tbl_data[1:T3A],$A145,tbl_data[T3],$B$3)</f>
        <v>0</v>
      </c>
      <c r="T145" s="198">
        <f>COUNTIFS(tbl_data[12. Consultation Group of],$B$2,tbl_data[2:T3A],$A145,tbl_data[T3],$B$3)</f>
        <v>0</v>
      </c>
      <c r="U145" s="198">
        <f>COUNTIFS(tbl_data[12. Consultation Group of],$B$2,tbl_data[3:T3A],$A145,tbl_data[T3],$B$3)</f>
        <v>0</v>
      </c>
      <c r="V145" s="198">
        <f t="shared" si="30"/>
        <v>0</v>
      </c>
      <c r="W145" s="199" t="str">
        <f t="shared" si="31"/>
        <v>Maintain Basic Services (Medical and Other) (0)</v>
      </c>
      <c r="X145" s="205">
        <f>COUNTIFS(tbl_data[12. Consultation Group of],$C$2,tbl_data[1:T1A],$A145,tbl_data[T1],$C$3)</f>
        <v>0</v>
      </c>
      <c r="Y145" s="198">
        <f>COUNTIFS(tbl_data[12. Consultation Group of],$C$2,tbl_data[2:T1A],$A145,tbl_data[T1],$C$3)</f>
        <v>0</v>
      </c>
      <c r="Z145" s="198">
        <f>COUNTIFS(tbl_data[12. Consultation Group of],$C$2,tbl_data[3:T1A],$A145,tbl_data[T1],$C$3)</f>
        <v>0</v>
      </c>
      <c r="AA145" s="198">
        <f>COUNTIFS(tbl_data[12. Consultation Group of],$C$2,tbl_data[1:T2A],$A145,tbl_data[T2],$C$3)</f>
        <v>0</v>
      </c>
      <c r="AB145" s="198">
        <f>COUNTIFS(tbl_data[12. Consultation Group of],$C$2,tbl_data[2:T2A],$A145,tbl_data[T2],$C$3)</f>
        <v>0</v>
      </c>
      <c r="AC145" s="198">
        <f>COUNTIFS(tbl_data[12. Consultation Group of],$C$2,tbl_data[3:T2A],$A145,tbl_data[T2],$C$3)</f>
        <v>0</v>
      </c>
      <c r="AD145" s="198">
        <f>COUNTIFS(tbl_data[12. Consultation Group of],$C$2,tbl_data[1:T3A],$A145,tbl_data[T3],$C$3)</f>
        <v>0</v>
      </c>
      <c r="AE145" s="198">
        <f>COUNTIFS(tbl_data[12. Consultation Group of],$C$2,tbl_data[2:T3A],$A145,tbl_data[T3],$C$3)</f>
        <v>0</v>
      </c>
      <c r="AF145" s="198">
        <f>COUNTIFS(tbl_data[12. Consultation Group of],$C$2,tbl_data[3:T3A],$A145,tbl_data[T3],$C$3)</f>
        <v>0</v>
      </c>
      <c r="AG145" s="198">
        <f t="shared" si="32"/>
        <v>0</v>
      </c>
      <c r="AH145" s="199" t="str">
        <f t="shared" si="33"/>
        <v>Maintain Basic Services (Medical and Other) (0)</v>
      </c>
      <c r="AI145" s="205">
        <f>COUNTIFS(tbl_data[12. Consultation Group of],$D$2,tbl_data[1:T1A],$A145,tbl_data[T1],$D$3)</f>
        <v>0</v>
      </c>
      <c r="AJ145" s="198">
        <f>COUNTIFS(tbl_data[12. Consultation Group of],$D$2,tbl_data[2:T1A],$A145,tbl_data[T1],$D$3)</f>
        <v>0</v>
      </c>
      <c r="AK145" s="198">
        <f>COUNTIFS(tbl_data[12. Consultation Group of],$D$2,tbl_data[3:T1A],$A145,tbl_data[T1],$D$3)</f>
        <v>0</v>
      </c>
      <c r="AL145" s="198">
        <f>COUNTIFS(tbl_data[12. Consultation Group of],$D$2,tbl_data[1:T2A],$A145,tbl_data[T2],$D$3)</f>
        <v>0</v>
      </c>
      <c r="AM145" s="198">
        <f>COUNTIFS(tbl_data[12. Consultation Group of],$D$2,tbl_data[2:T2A],$A145,tbl_data[T2],$D$3)</f>
        <v>0</v>
      </c>
      <c r="AN145" s="198">
        <f>COUNTIFS(tbl_data[12. Consultation Group of],$D$2,tbl_data[3:T2A],$A145,tbl_data[T2],$D$3)</f>
        <v>0</v>
      </c>
      <c r="AO145" s="198">
        <f>COUNTIFS(tbl_data[12. Consultation Group of],$D$2,tbl_data[1:T3A],$A145,tbl_data[T3],$D$3)</f>
        <v>0</v>
      </c>
      <c r="AP145" s="198">
        <f>COUNTIFS(tbl_data[12. Consultation Group of],$D$2,tbl_data[2:T3A],$A145,tbl_data[T3],$D$3)</f>
        <v>0</v>
      </c>
      <c r="AQ145" s="198">
        <f>COUNTIFS(tbl_data[12. Consultation Group of],$D$2,tbl_data[3:T3A],$A145,tbl_data[T3],$D$3)</f>
        <v>0</v>
      </c>
      <c r="AR145" s="198">
        <f t="shared" si="34"/>
        <v>0</v>
      </c>
      <c r="AS145" s="199" t="str">
        <f t="shared" si="35"/>
        <v>Maintain Basic Services (Medical and Other) (0)</v>
      </c>
      <c r="AT145" s="205">
        <f>COUNTIFS(tbl_data[12. Consultation Group of],$E$2,tbl_data[1:T1A],$A145,tbl_data[T1],$E$3)</f>
        <v>0</v>
      </c>
      <c r="AU145" s="198">
        <f>COUNTIFS(tbl_data[12. Consultation Group of],$E$2,tbl_data[2:T1A],$A145,tbl_data[T1],$E$3)</f>
        <v>0</v>
      </c>
      <c r="AV145" s="198">
        <f>COUNTIFS(tbl_data[12. Consultation Group of],$E$2,tbl_data[3:T1A],$A145,tbl_data[T1],$E$3)</f>
        <v>1</v>
      </c>
      <c r="AW145" s="198">
        <f>COUNTIFS(tbl_data[12. Consultation Group of],$E$2,tbl_data[1:T2A],$A145,tbl_data[T2],$E$3)</f>
        <v>0</v>
      </c>
      <c r="AX145" s="198">
        <f>COUNTIFS(tbl_data[12. Consultation Group of],$E$2,tbl_data[2:T2A],$A145,tbl_data[T2],$E$3)</f>
        <v>0</v>
      </c>
      <c r="AY145" s="198">
        <f>COUNTIFS(tbl_data[12. Consultation Group of],$E$2,tbl_data[3:T2A],$A145,tbl_data[T2],$E$3)</f>
        <v>0</v>
      </c>
      <c r="AZ145" s="198">
        <f>COUNTIFS(tbl_data[12. Consultation Group of],$E$2,tbl_data[1:T3A],$A145,tbl_data[T3],$E$3)</f>
        <v>0</v>
      </c>
      <c r="BA145" s="198">
        <f>COUNTIFS(tbl_data[12. Consultation Group of],$E$2,tbl_data[2:T3A],$A145,tbl_data[T3],$E$3)</f>
        <v>0</v>
      </c>
      <c r="BB145" s="198">
        <f>COUNTIFS(tbl_data[12. Consultation Group of],$E$2,tbl_data[3:T3A],$A145,tbl_data[T3],$E$3)</f>
        <v>0</v>
      </c>
      <c r="BC145" s="198">
        <f t="shared" si="36"/>
        <v>1</v>
      </c>
      <c r="BD145" s="199" t="str">
        <f t="shared" si="37"/>
        <v>Maintain Basic Services (Medical and Other) (1)</v>
      </c>
      <c r="BE145" s="205">
        <f>COUNTIFS(tbl_data[1:T1A],$A145,tbl_data[T1],$F$3)</f>
        <v>0</v>
      </c>
      <c r="BF145" s="198">
        <f>COUNTIFS(tbl_data[2:T1A],$A145,tbl_data[T1],$F$3)</f>
        <v>0</v>
      </c>
      <c r="BG145" s="198">
        <f>COUNTIFS(tbl_data[3:T1A],$A145,tbl_data[T1],$F$3)</f>
        <v>0</v>
      </c>
      <c r="BH145" s="198">
        <f>COUNTIFS(tbl_data[1:T2A],$A145,tbl_data[T2],$F$3)</f>
        <v>0</v>
      </c>
      <c r="BI145" s="198">
        <f>COUNTIFS(tbl_data[2:T2A],$A145,tbl_data[T2],$F$3)</f>
        <v>0</v>
      </c>
      <c r="BJ145" s="198">
        <f>COUNTIFS(tbl_data[3:T2A],$A145,tbl_data[T2],$F$3)</f>
        <v>0</v>
      </c>
      <c r="BK145" s="198">
        <f>COUNTIFS(tbl_data[1:T3A],$A145,tbl_data[T3],$F$3)</f>
        <v>0</v>
      </c>
      <c r="BL145" s="198">
        <f>COUNTIFS(tbl_data[2:T3A],$A145,tbl_data[T3],$F$3)</f>
        <v>0</v>
      </c>
      <c r="BM145" s="198">
        <f>COUNTIFS(tbl_data[3:T3A],$A145,tbl_data[T3],$F$3)</f>
        <v>0</v>
      </c>
      <c r="BN145" s="198">
        <f t="shared" si="38"/>
        <v>0</v>
      </c>
      <c r="BO145" s="199" t="str">
        <f t="shared" si="39"/>
        <v>Maintain Basic Services (Medical and Other) (0)</v>
      </c>
      <c r="BQ145" t="str">
        <f t="shared" si="40"/>
        <v>Maintain Basic Services (Medical and Other)</v>
      </c>
      <c r="BR145">
        <f t="shared" si="41"/>
        <v>1</v>
      </c>
      <c r="BS145" t="s">
        <v>929</v>
      </c>
      <c r="BT145" t="s">
        <v>929</v>
      </c>
      <c r="BU145" s="39" t="s">
        <v>929</v>
      </c>
    </row>
    <row r="146" spans="1:74" x14ac:dyDescent="0.25">
      <c r="A146" s="215" t="s">
        <v>317</v>
      </c>
      <c r="B146" s="205">
        <f>COUNTIFS(tbl_data[12. Consultation Group of],$A$2,tbl_data[1:T1A],$A146,tbl_data[T1],$A$3)</f>
        <v>0</v>
      </c>
      <c r="C146" s="198">
        <f>COUNTIFS(tbl_data[12. Consultation Group of],$A$2,tbl_data[2:T1A],$A146,tbl_data[T1],$A$3)</f>
        <v>0</v>
      </c>
      <c r="D146" s="198">
        <f>COUNTIFS(tbl_data[12. Consultation Group of],$A$2,tbl_data[3:T1A],$A146,tbl_data[T1],$A$3)</f>
        <v>0</v>
      </c>
      <c r="E146" s="198">
        <f>COUNTIFS(tbl_data[12. Consultation Group of],$A$2,tbl_data[1:T2A],$A146,tbl_data[T2],$A$3)</f>
        <v>0</v>
      </c>
      <c r="F146" s="198">
        <f>COUNTIFS(tbl_data[12. Consultation Group of],$A$2,tbl_data[2:T2A],$A146,tbl_data[T2],$A$3)</f>
        <v>0</v>
      </c>
      <c r="G146" s="198">
        <f>COUNTIFS(tbl_data[12. Consultation Group of],$A$2,tbl_data[3:T2A],$A146,tbl_data[T2],$A$3)</f>
        <v>0</v>
      </c>
      <c r="H146" s="198">
        <f>COUNTIFS(tbl_data[12. Consultation Group of],$A$2,tbl_data[1:T3A],$A146,tbl_data[T3],$A$3)</f>
        <v>0</v>
      </c>
      <c r="I146" s="198">
        <f>COUNTIFS(tbl_data[12. Consultation Group of],$A$2,tbl_data[2:T3A],$A146,tbl_data[T3],$A$3)</f>
        <v>0</v>
      </c>
      <c r="J146" s="198">
        <f>COUNTIFS(tbl_data[12. Consultation Group of],$A$2,tbl_data[3:T3A],$A146,tbl_data[T3],$A$3)</f>
        <v>0</v>
      </c>
      <c r="K146" s="198">
        <f t="shared" si="28"/>
        <v>0</v>
      </c>
      <c r="L146" s="199" t="str">
        <f t="shared" si="29"/>
        <v>Community Self-Management (0)</v>
      </c>
      <c r="M146" s="205">
        <f>COUNTIFS(tbl_data[12. Consultation Group of],$B$2,tbl_data[1:T1A],$A146,tbl_data[T1],$B$3)</f>
        <v>0</v>
      </c>
      <c r="N146" s="198">
        <f>COUNTIFS(tbl_data[12. Consultation Group of],$B$2,tbl_data[2:T1A],$A146,tbl_data[T1],$B$3)</f>
        <v>0</v>
      </c>
      <c r="O146" s="198">
        <f>COUNTIFS(tbl_data[12. Consultation Group of],$B$2,tbl_data[3:T1A],$A146,tbl_data[T1],$B$3)</f>
        <v>0</v>
      </c>
      <c r="P146" s="198">
        <f>COUNTIFS(tbl_data[12. Consultation Group of],$B$2,tbl_data[1:T2A],$A146,tbl_data[T2],$B$3)</f>
        <v>0</v>
      </c>
      <c r="Q146" s="198">
        <f>COUNTIFS(tbl_data[12. Consultation Group of],$B$2,tbl_data[2:T2A],$A146,tbl_data[T2],$B$3)</f>
        <v>0</v>
      </c>
      <c r="R146" s="198">
        <f>COUNTIFS(tbl_data[12. Consultation Group of],$B$2,tbl_data[3:T2A],$A146,tbl_data[T2],$B$3)</f>
        <v>0</v>
      </c>
      <c r="S146" s="198">
        <f>COUNTIFS(tbl_data[12. Consultation Group of],$B$2,tbl_data[1:T3A],$A146,tbl_data[T3],$B$3)</f>
        <v>0</v>
      </c>
      <c r="T146" s="198">
        <f>COUNTIFS(tbl_data[12. Consultation Group of],$B$2,tbl_data[2:T3A],$A146,tbl_data[T3],$B$3)</f>
        <v>0</v>
      </c>
      <c r="U146" s="198">
        <f>COUNTIFS(tbl_data[12. Consultation Group of],$B$2,tbl_data[3:T3A],$A146,tbl_data[T3],$B$3)</f>
        <v>0</v>
      </c>
      <c r="V146" s="198">
        <f t="shared" si="30"/>
        <v>0</v>
      </c>
      <c r="W146" s="199" t="str">
        <f t="shared" si="31"/>
        <v>Community Self-Management (0)</v>
      </c>
      <c r="X146" s="205">
        <f>COUNTIFS(tbl_data[12. Consultation Group of],$C$2,tbl_data[1:T1A],$A146,tbl_data[T1],$C$3)</f>
        <v>0</v>
      </c>
      <c r="Y146" s="198">
        <f>COUNTIFS(tbl_data[12. Consultation Group of],$C$2,tbl_data[2:T1A],$A146,tbl_data[T1],$C$3)</f>
        <v>0</v>
      </c>
      <c r="Z146" s="198">
        <f>COUNTIFS(tbl_data[12. Consultation Group of],$C$2,tbl_data[3:T1A],$A146,tbl_data[T1],$C$3)</f>
        <v>0</v>
      </c>
      <c r="AA146" s="198">
        <f>COUNTIFS(tbl_data[12. Consultation Group of],$C$2,tbl_data[1:T2A],$A146,tbl_data[T2],$C$3)</f>
        <v>0</v>
      </c>
      <c r="AB146" s="198">
        <f>COUNTIFS(tbl_data[12. Consultation Group of],$C$2,tbl_data[2:T2A],$A146,tbl_data[T2],$C$3)</f>
        <v>0</v>
      </c>
      <c r="AC146" s="198">
        <f>COUNTIFS(tbl_data[12. Consultation Group of],$C$2,tbl_data[3:T2A],$A146,tbl_data[T2],$C$3)</f>
        <v>0</v>
      </c>
      <c r="AD146" s="198">
        <f>COUNTIFS(tbl_data[12. Consultation Group of],$C$2,tbl_data[1:T3A],$A146,tbl_data[T3],$C$3)</f>
        <v>0</v>
      </c>
      <c r="AE146" s="198">
        <f>COUNTIFS(tbl_data[12. Consultation Group of],$C$2,tbl_data[2:T3A],$A146,tbl_data[T3],$C$3)</f>
        <v>0</v>
      </c>
      <c r="AF146" s="198">
        <f>COUNTIFS(tbl_data[12. Consultation Group of],$C$2,tbl_data[3:T3A],$A146,tbl_data[T3],$C$3)</f>
        <v>0</v>
      </c>
      <c r="AG146" s="198">
        <f t="shared" si="32"/>
        <v>0</v>
      </c>
      <c r="AH146" s="199" t="str">
        <f t="shared" si="33"/>
        <v>Community Self-Management (0)</v>
      </c>
      <c r="AI146" s="205">
        <f>COUNTIFS(tbl_data[12. Consultation Group of],$D$2,tbl_data[1:T1A],$A146,tbl_data[T1],$D$3)</f>
        <v>0</v>
      </c>
      <c r="AJ146" s="198">
        <f>COUNTIFS(tbl_data[12. Consultation Group of],$D$2,tbl_data[2:T1A],$A146,tbl_data[T1],$D$3)</f>
        <v>0</v>
      </c>
      <c r="AK146" s="198">
        <f>COUNTIFS(tbl_data[12. Consultation Group of],$D$2,tbl_data[3:T1A],$A146,tbl_data[T1],$D$3)</f>
        <v>0</v>
      </c>
      <c r="AL146" s="198">
        <f>COUNTIFS(tbl_data[12. Consultation Group of],$D$2,tbl_data[1:T2A],$A146,tbl_data[T2],$D$3)</f>
        <v>0</v>
      </c>
      <c r="AM146" s="198">
        <f>COUNTIFS(tbl_data[12. Consultation Group of],$D$2,tbl_data[2:T2A],$A146,tbl_data[T2],$D$3)</f>
        <v>0</v>
      </c>
      <c r="AN146" s="198">
        <f>COUNTIFS(tbl_data[12. Consultation Group of],$D$2,tbl_data[3:T2A],$A146,tbl_data[T2],$D$3)</f>
        <v>0</v>
      </c>
      <c r="AO146" s="198">
        <f>COUNTIFS(tbl_data[12. Consultation Group of],$D$2,tbl_data[1:T3A],$A146,tbl_data[T3],$D$3)</f>
        <v>0</v>
      </c>
      <c r="AP146" s="198">
        <f>COUNTIFS(tbl_data[12. Consultation Group of],$D$2,tbl_data[2:T3A],$A146,tbl_data[T3],$D$3)</f>
        <v>0</v>
      </c>
      <c r="AQ146" s="198">
        <f>COUNTIFS(tbl_data[12. Consultation Group of],$D$2,tbl_data[3:T3A],$A146,tbl_data[T3],$D$3)</f>
        <v>0</v>
      </c>
      <c r="AR146" s="198">
        <f t="shared" si="34"/>
        <v>0</v>
      </c>
      <c r="AS146" s="199" t="str">
        <f t="shared" si="35"/>
        <v>Community Self-Management (0)</v>
      </c>
      <c r="AT146" s="205">
        <f>COUNTIFS(tbl_data[12. Consultation Group of],$E$2,tbl_data[1:T1A],$A146,tbl_data[T1],$E$3)</f>
        <v>0</v>
      </c>
      <c r="AU146" s="198">
        <f>COUNTIFS(tbl_data[12. Consultation Group of],$E$2,tbl_data[2:T1A],$A146,tbl_data[T1],$E$3)</f>
        <v>0</v>
      </c>
      <c r="AV146" s="198">
        <f>COUNTIFS(tbl_data[12. Consultation Group of],$E$2,tbl_data[3:T1A],$A146,tbl_data[T1],$E$3)</f>
        <v>0</v>
      </c>
      <c r="AW146" s="198">
        <f>COUNTIFS(tbl_data[12. Consultation Group of],$E$2,tbl_data[1:T2A],$A146,tbl_data[T2],$E$3)</f>
        <v>0</v>
      </c>
      <c r="AX146" s="198">
        <f>COUNTIFS(tbl_data[12. Consultation Group of],$E$2,tbl_data[2:T2A],$A146,tbl_data[T2],$E$3)</f>
        <v>0</v>
      </c>
      <c r="AY146" s="198">
        <f>COUNTIFS(tbl_data[12. Consultation Group of],$E$2,tbl_data[3:T2A],$A146,tbl_data[T2],$E$3)</f>
        <v>0</v>
      </c>
      <c r="AZ146" s="198">
        <f>COUNTIFS(tbl_data[12. Consultation Group of],$E$2,tbl_data[1:T3A],$A146,tbl_data[T3],$E$3)</f>
        <v>0</v>
      </c>
      <c r="BA146" s="198">
        <f>COUNTIFS(tbl_data[12. Consultation Group of],$E$2,tbl_data[2:T3A],$A146,tbl_data[T3],$E$3)</f>
        <v>0</v>
      </c>
      <c r="BB146" s="198">
        <f>COUNTIFS(tbl_data[12. Consultation Group of],$E$2,tbl_data[3:T3A],$A146,tbl_data[T3],$E$3)</f>
        <v>0</v>
      </c>
      <c r="BC146" s="198">
        <f t="shared" si="36"/>
        <v>0</v>
      </c>
      <c r="BD146" s="199" t="str">
        <f t="shared" si="37"/>
        <v>Community Self-Management (0)</v>
      </c>
      <c r="BE146" s="205">
        <f>COUNTIFS(tbl_data[1:T1A],$A146,tbl_data[T1],$F$3)</f>
        <v>0</v>
      </c>
      <c r="BF146" s="198">
        <f>COUNTIFS(tbl_data[2:T1A],$A146,tbl_data[T1],$F$3)</f>
        <v>0</v>
      </c>
      <c r="BG146" s="198">
        <f>COUNTIFS(tbl_data[3:T1A],$A146,tbl_data[T1],$F$3)</f>
        <v>0</v>
      </c>
      <c r="BH146" s="198">
        <f>COUNTIFS(tbl_data[1:T2A],$A146,tbl_data[T2],$F$3)</f>
        <v>0</v>
      </c>
      <c r="BI146" s="198">
        <f>COUNTIFS(tbl_data[2:T2A],$A146,tbl_data[T2],$F$3)</f>
        <v>0</v>
      </c>
      <c r="BJ146" s="198">
        <f>COUNTIFS(tbl_data[3:T2A],$A146,tbl_data[T2],$F$3)</f>
        <v>0</v>
      </c>
      <c r="BK146" s="198">
        <f>COUNTIFS(tbl_data[1:T3A],$A146,tbl_data[T3],$F$3)</f>
        <v>0</v>
      </c>
      <c r="BL146" s="198">
        <f>COUNTIFS(tbl_data[2:T3A],$A146,tbl_data[T3],$F$3)</f>
        <v>0</v>
      </c>
      <c r="BM146" s="198">
        <f>COUNTIFS(tbl_data[3:T3A],$A146,tbl_data[T3],$F$3)</f>
        <v>0</v>
      </c>
      <c r="BN146" s="198">
        <f t="shared" si="38"/>
        <v>0</v>
      </c>
      <c r="BO146" s="199" t="str">
        <f t="shared" si="39"/>
        <v>Community Self-Management (0)</v>
      </c>
      <c r="BQ146" t="str">
        <f t="shared" si="40"/>
        <v>Community Self-Management</v>
      </c>
      <c r="BR146">
        <f t="shared" si="41"/>
        <v>0</v>
      </c>
    </row>
    <row r="147" spans="1:74" x14ac:dyDescent="0.25">
      <c r="A147" s="215" t="s">
        <v>438</v>
      </c>
      <c r="B147" s="205">
        <f>COUNTIFS(tbl_data[12. Consultation Group of],$A$2,tbl_data[1:T1A],$A147,tbl_data[T1],$A$3)</f>
        <v>0</v>
      </c>
      <c r="C147" s="198">
        <f>COUNTIFS(tbl_data[12. Consultation Group of],$A$2,tbl_data[2:T1A],$A147,tbl_data[T1],$A$3)</f>
        <v>0</v>
      </c>
      <c r="D147" s="198">
        <f>COUNTIFS(tbl_data[12. Consultation Group of],$A$2,tbl_data[3:T1A],$A147,tbl_data[T1],$A$3)</f>
        <v>0</v>
      </c>
      <c r="E147" s="198">
        <f>COUNTIFS(tbl_data[12. Consultation Group of],$A$2,tbl_data[1:T2A],$A147,tbl_data[T2],$A$3)</f>
        <v>0</v>
      </c>
      <c r="F147" s="198">
        <f>COUNTIFS(tbl_data[12. Consultation Group of],$A$2,tbl_data[2:T2A],$A147,tbl_data[T2],$A$3)</f>
        <v>0</v>
      </c>
      <c r="G147" s="198">
        <f>COUNTIFS(tbl_data[12. Consultation Group of],$A$2,tbl_data[3:T2A],$A147,tbl_data[T2],$A$3)</f>
        <v>0</v>
      </c>
      <c r="H147" s="198">
        <f>COUNTIFS(tbl_data[12. Consultation Group of],$A$2,tbl_data[1:T3A],$A147,tbl_data[T3],$A$3)</f>
        <v>0</v>
      </c>
      <c r="I147" s="198">
        <f>COUNTIFS(tbl_data[12. Consultation Group of],$A$2,tbl_data[2:T3A],$A147,tbl_data[T3],$A$3)</f>
        <v>0</v>
      </c>
      <c r="J147" s="198">
        <f>COUNTIFS(tbl_data[12. Consultation Group of],$A$2,tbl_data[3:T3A],$A147,tbl_data[T3],$A$3)</f>
        <v>0</v>
      </c>
      <c r="K147" s="198">
        <f t="shared" si="28"/>
        <v>0</v>
      </c>
      <c r="L147" s="199" t="str">
        <f t="shared" si="29"/>
        <v>Committee Establishment (0)</v>
      </c>
      <c r="M147" s="205">
        <f>COUNTIFS(tbl_data[12. Consultation Group of],$B$2,tbl_data[1:T1A],$A147,tbl_data[T1],$B$3)</f>
        <v>0</v>
      </c>
      <c r="N147" s="198">
        <f>COUNTIFS(tbl_data[12. Consultation Group of],$B$2,tbl_data[2:T1A],$A147,tbl_data[T1],$B$3)</f>
        <v>0</v>
      </c>
      <c r="O147" s="198">
        <f>COUNTIFS(tbl_data[12. Consultation Group of],$B$2,tbl_data[3:T1A],$A147,tbl_data[T1],$B$3)</f>
        <v>0</v>
      </c>
      <c r="P147" s="198">
        <f>COUNTIFS(tbl_data[12. Consultation Group of],$B$2,tbl_data[1:T2A],$A147,tbl_data[T2],$B$3)</f>
        <v>0</v>
      </c>
      <c r="Q147" s="198">
        <f>COUNTIFS(tbl_data[12. Consultation Group of],$B$2,tbl_data[2:T2A],$A147,tbl_data[T2],$B$3)</f>
        <v>0</v>
      </c>
      <c r="R147" s="198">
        <f>COUNTIFS(tbl_data[12. Consultation Group of],$B$2,tbl_data[3:T2A],$A147,tbl_data[T2],$B$3)</f>
        <v>0</v>
      </c>
      <c r="S147" s="198">
        <f>COUNTIFS(tbl_data[12. Consultation Group of],$B$2,tbl_data[1:T3A],$A147,tbl_data[T3],$B$3)</f>
        <v>0</v>
      </c>
      <c r="T147" s="198">
        <f>COUNTIFS(tbl_data[12. Consultation Group of],$B$2,tbl_data[2:T3A],$A147,tbl_data[T3],$B$3)</f>
        <v>0</v>
      </c>
      <c r="U147" s="198">
        <f>COUNTIFS(tbl_data[12. Consultation Group of],$B$2,tbl_data[3:T3A],$A147,tbl_data[T3],$B$3)</f>
        <v>0</v>
      </c>
      <c r="V147" s="198">
        <f t="shared" si="30"/>
        <v>0</v>
      </c>
      <c r="W147" s="199" t="str">
        <f t="shared" si="31"/>
        <v>Committee Establishment (0)</v>
      </c>
      <c r="X147" s="205">
        <f>COUNTIFS(tbl_data[12. Consultation Group of],$C$2,tbl_data[1:T1A],$A147,tbl_data[T1],$C$3)</f>
        <v>0</v>
      </c>
      <c r="Y147" s="198">
        <f>COUNTIFS(tbl_data[12. Consultation Group of],$C$2,tbl_data[2:T1A],$A147,tbl_data[T1],$C$3)</f>
        <v>0</v>
      </c>
      <c r="Z147" s="198">
        <f>COUNTIFS(tbl_data[12. Consultation Group of],$C$2,tbl_data[3:T1A],$A147,tbl_data[T1],$C$3)</f>
        <v>0</v>
      </c>
      <c r="AA147" s="198">
        <f>COUNTIFS(tbl_data[12. Consultation Group of],$C$2,tbl_data[1:T2A],$A147,tbl_data[T2],$C$3)</f>
        <v>0</v>
      </c>
      <c r="AB147" s="198">
        <f>COUNTIFS(tbl_data[12. Consultation Group of],$C$2,tbl_data[2:T2A],$A147,tbl_data[T2],$C$3)</f>
        <v>0</v>
      </c>
      <c r="AC147" s="198">
        <f>COUNTIFS(tbl_data[12. Consultation Group of],$C$2,tbl_data[3:T2A],$A147,tbl_data[T2],$C$3)</f>
        <v>0</v>
      </c>
      <c r="AD147" s="198">
        <f>COUNTIFS(tbl_data[12. Consultation Group of],$C$2,tbl_data[1:T3A],$A147,tbl_data[T3],$C$3)</f>
        <v>0</v>
      </c>
      <c r="AE147" s="198">
        <f>COUNTIFS(tbl_data[12. Consultation Group of],$C$2,tbl_data[2:T3A],$A147,tbl_data[T3],$C$3)</f>
        <v>0</v>
      </c>
      <c r="AF147" s="198">
        <f>COUNTIFS(tbl_data[12. Consultation Group of],$C$2,tbl_data[3:T3A],$A147,tbl_data[T3],$C$3)</f>
        <v>0</v>
      </c>
      <c r="AG147" s="198">
        <f t="shared" si="32"/>
        <v>0</v>
      </c>
      <c r="AH147" s="199" t="str">
        <f t="shared" si="33"/>
        <v>Committee Establishment (0)</v>
      </c>
      <c r="AI147" s="205">
        <f>COUNTIFS(tbl_data[12. Consultation Group of],$D$2,tbl_data[1:T1A],$A147,tbl_data[T1],$D$3)</f>
        <v>0</v>
      </c>
      <c r="AJ147" s="198">
        <f>COUNTIFS(tbl_data[12. Consultation Group of],$D$2,tbl_data[2:T1A],$A147,tbl_data[T1],$D$3)</f>
        <v>0</v>
      </c>
      <c r="AK147" s="198">
        <f>COUNTIFS(tbl_data[12. Consultation Group of],$D$2,tbl_data[3:T1A],$A147,tbl_data[T1],$D$3)</f>
        <v>0</v>
      </c>
      <c r="AL147" s="198">
        <f>COUNTIFS(tbl_data[12. Consultation Group of],$D$2,tbl_data[1:T2A],$A147,tbl_data[T2],$D$3)</f>
        <v>0</v>
      </c>
      <c r="AM147" s="198">
        <f>COUNTIFS(tbl_data[12. Consultation Group of],$D$2,tbl_data[2:T2A],$A147,tbl_data[T2],$D$3)</f>
        <v>0</v>
      </c>
      <c r="AN147" s="198">
        <f>COUNTIFS(tbl_data[12. Consultation Group of],$D$2,tbl_data[3:T2A],$A147,tbl_data[T2],$D$3)</f>
        <v>0</v>
      </c>
      <c r="AO147" s="198">
        <f>COUNTIFS(tbl_data[12. Consultation Group of],$D$2,tbl_data[1:T3A],$A147,tbl_data[T3],$D$3)</f>
        <v>0</v>
      </c>
      <c r="AP147" s="198">
        <f>COUNTIFS(tbl_data[12. Consultation Group of],$D$2,tbl_data[2:T3A],$A147,tbl_data[T3],$D$3)</f>
        <v>0</v>
      </c>
      <c r="AQ147" s="198">
        <f>COUNTIFS(tbl_data[12. Consultation Group of],$D$2,tbl_data[3:T3A],$A147,tbl_data[T3],$D$3)</f>
        <v>0</v>
      </c>
      <c r="AR147" s="198">
        <f t="shared" si="34"/>
        <v>0</v>
      </c>
      <c r="AS147" s="199" t="str">
        <f t="shared" si="35"/>
        <v>Committee Establishment (0)</v>
      </c>
      <c r="AT147" s="205">
        <f>COUNTIFS(tbl_data[12. Consultation Group of],$E$2,tbl_data[1:T1A],$A147,tbl_data[T1],$E$3)</f>
        <v>0</v>
      </c>
      <c r="AU147" s="198">
        <f>COUNTIFS(tbl_data[12. Consultation Group of],$E$2,tbl_data[2:T1A],$A147,tbl_data[T1],$E$3)</f>
        <v>0</v>
      </c>
      <c r="AV147" s="198">
        <f>COUNTIFS(tbl_data[12. Consultation Group of],$E$2,tbl_data[3:T1A],$A147,tbl_data[T1],$E$3)</f>
        <v>0</v>
      </c>
      <c r="AW147" s="198">
        <f>COUNTIFS(tbl_data[12. Consultation Group of],$E$2,tbl_data[1:T2A],$A147,tbl_data[T2],$E$3)</f>
        <v>0</v>
      </c>
      <c r="AX147" s="198">
        <f>COUNTIFS(tbl_data[12. Consultation Group of],$E$2,tbl_data[2:T2A],$A147,tbl_data[T2],$E$3)</f>
        <v>0</v>
      </c>
      <c r="AY147" s="198">
        <f>COUNTIFS(tbl_data[12. Consultation Group of],$E$2,tbl_data[3:T2A],$A147,tbl_data[T2],$E$3)</f>
        <v>0</v>
      </c>
      <c r="AZ147" s="198">
        <f>COUNTIFS(tbl_data[12. Consultation Group of],$E$2,tbl_data[1:T3A],$A147,tbl_data[T3],$E$3)</f>
        <v>0</v>
      </c>
      <c r="BA147" s="198">
        <f>COUNTIFS(tbl_data[12. Consultation Group of],$E$2,tbl_data[2:T3A],$A147,tbl_data[T3],$E$3)</f>
        <v>0</v>
      </c>
      <c r="BB147" s="198">
        <f>COUNTIFS(tbl_data[12. Consultation Group of],$E$2,tbl_data[3:T3A],$A147,tbl_data[T3],$E$3)</f>
        <v>0</v>
      </c>
      <c r="BC147" s="198">
        <f t="shared" si="36"/>
        <v>0</v>
      </c>
      <c r="BD147" s="199" t="str">
        <f t="shared" si="37"/>
        <v>Committee Establishment (0)</v>
      </c>
      <c r="BE147" s="205">
        <f>COUNTIFS(tbl_data[1:T1A],$A147,tbl_data[T1],$F$3)</f>
        <v>0</v>
      </c>
      <c r="BF147" s="198">
        <f>COUNTIFS(tbl_data[2:T1A],$A147,tbl_data[T1],$F$3)</f>
        <v>0</v>
      </c>
      <c r="BG147" s="198">
        <f>COUNTIFS(tbl_data[3:T1A],$A147,tbl_data[T1],$F$3)</f>
        <v>0</v>
      </c>
      <c r="BH147" s="198">
        <f>COUNTIFS(tbl_data[1:T2A],$A147,tbl_data[T2],$F$3)</f>
        <v>0</v>
      </c>
      <c r="BI147" s="198">
        <f>COUNTIFS(tbl_data[2:T2A],$A147,tbl_data[T2],$F$3)</f>
        <v>0</v>
      </c>
      <c r="BJ147" s="198">
        <f>COUNTIFS(tbl_data[3:T2A],$A147,tbl_data[T2],$F$3)</f>
        <v>0</v>
      </c>
      <c r="BK147" s="198">
        <f>COUNTIFS(tbl_data[1:T3A],$A147,tbl_data[T3],$F$3)</f>
        <v>0</v>
      </c>
      <c r="BL147" s="198">
        <f>COUNTIFS(tbl_data[2:T3A],$A147,tbl_data[T3],$F$3)</f>
        <v>0</v>
      </c>
      <c r="BM147" s="198">
        <f>COUNTIFS(tbl_data[3:T3A],$A147,tbl_data[T3],$F$3)</f>
        <v>0</v>
      </c>
      <c r="BN147" s="198">
        <f t="shared" si="38"/>
        <v>0</v>
      </c>
      <c r="BO147" s="199" t="str">
        <f t="shared" si="39"/>
        <v>Committee Establishment (0)</v>
      </c>
      <c r="BQ147" t="str">
        <f t="shared" si="40"/>
        <v>Committee Establishment</v>
      </c>
      <c r="BR147">
        <f t="shared" si="41"/>
        <v>0</v>
      </c>
    </row>
    <row r="148" spans="1:74" x14ac:dyDescent="0.25">
      <c r="A148" s="215" t="s">
        <v>264</v>
      </c>
      <c r="B148" s="205">
        <f>COUNTIFS(tbl_data[12. Consultation Group of],$A$2,tbl_data[1:T1A],$A148,tbl_data[T1],$A$3)</f>
        <v>0</v>
      </c>
      <c r="C148" s="198">
        <f>COUNTIFS(tbl_data[12. Consultation Group of],$A$2,tbl_data[2:T1A],$A148,tbl_data[T1],$A$3)</f>
        <v>0</v>
      </c>
      <c r="D148" s="198">
        <f>COUNTIFS(tbl_data[12. Consultation Group of],$A$2,tbl_data[3:T1A],$A148,tbl_data[T1],$A$3)</f>
        <v>0</v>
      </c>
      <c r="E148" s="198">
        <f>COUNTIFS(tbl_data[12. Consultation Group of],$A$2,tbl_data[1:T2A],$A148,tbl_data[T2],$A$3)</f>
        <v>0</v>
      </c>
      <c r="F148" s="198">
        <f>COUNTIFS(tbl_data[12. Consultation Group of],$A$2,tbl_data[2:T2A],$A148,tbl_data[T2],$A$3)</f>
        <v>0</v>
      </c>
      <c r="G148" s="198">
        <f>COUNTIFS(tbl_data[12. Consultation Group of],$A$2,tbl_data[3:T2A],$A148,tbl_data[T2],$A$3)</f>
        <v>0</v>
      </c>
      <c r="H148" s="198">
        <f>COUNTIFS(tbl_data[12. Consultation Group of],$A$2,tbl_data[1:T3A],$A148,tbl_data[T3],$A$3)</f>
        <v>0</v>
      </c>
      <c r="I148" s="198">
        <f>COUNTIFS(tbl_data[12. Consultation Group of],$A$2,tbl_data[2:T3A],$A148,tbl_data[T3],$A$3)</f>
        <v>0</v>
      </c>
      <c r="J148" s="198">
        <f>COUNTIFS(tbl_data[12. Consultation Group of],$A$2,tbl_data[3:T3A],$A148,tbl_data[T3],$A$3)</f>
        <v>0</v>
      </c>
      <c r="K148" s="198">
        <f t="shared" si="28"/>
        <v>0</v>
      </c>
      <c r="L148" s="199" t="str">
        <f t="shared" si="29"/>
        <v>Drainage Channels (0)</v>
      </c>
      <c r="M148" s="205">
        <f>COUNTIFS(tbl_data[12. Consultation Group of],$B$2,tbl_data[1:T1A],$A148,tbl_data[T1],$B$3)</f>
        <v>0</v>
      </c>
      <c r="N148" s="198">
        <f>COUNTIFS(tbl_data[12. Consultation Group of],$B$2,tbl_data[2:T1A],$A148,tbl_data[T1],$B$3)</f>
        <v>0</v>
      </c>
      <c r="O148" s="198">
        <f>COUNTIFS(tbl_data[12. Consultation Group of],$B$2,tbl_data[3:T1A],$A148,tbl_data[T1],$B$3)</f>
        <v>0</v>
      </c>
      <c r="P148" s="198">
        <f>COUNTIFS(tbl_data[12. Consultation Group of],$B$2,tbl_data[1:T2A],$A148,tbl_data[T2],$B$3)</f>
        <v>0</v>
      </c>
      <c r="Q148" s="198">
        <f>COUNTIFS(tbl_data[12. Consultation Group of],$B$2,tbl_data[2:T2A],$A148,tbl_data[T2],$B$3)</f>
        <v>0</v>
      </c>
      <c r="R148" s="198">
        <f>COUNTIFS(tbl_data[12. Consultation Group of],$B$2,tbl_data[3:T2A],$A148,tbl_data[T2],$B$3)</f>
        <v>0</v>
      </c>
      <c r="S148" s="198">
        <f>COUNTIFS(tbl_data[12. Consultation Group of],$B$2,tbl_data[1:T3A],$A148,tbl_data[T3],$B$3)</f>
        <v>0</v>
      </c>
      <c r="T148" s="198">
        <f>COUNTIFS(tbl_data[12. Consultation Group of],$B$2,tbl_data[2:T3A],$A148,tbl_data[T3],$B$3)</f>
        <v>0</v>
      </c>
      <c r="U148" s="198">
        <f>COUNTIFS(tbl_data[12. Consultation Group of],$B$2,tbl_data[3:T3A],$A148,tbl_data[T3],$B$3)</f>
        <v>0</v>
      </c>
      <c r="V148" s="198">
        <f t="shared" si="30"/>
        <v>0</v>
      </c>
      <c r="W148" s="199" t="str">
        <f t="shared" si="31"/>
        <v>Drainage Channels (0)</v>
      </c>
      <c r="X148" s="205">
        <f>COUNTIFS(tbl_data[12. Consultation Group of],$C$2,tbl_data[1:T1A],$A148,tbl_data[T1],$C$3)</f>
        <v>0</v>
      </c>
      <c r="Y148" s="198">
        <f>COUNTIFS(tbl_data[12. Consultation Group of],$C$2,tbl_data[2:T1A],$A148,tbl_data[T1],$C$3)</f>
        <v>0</v>
      </c>
      <c r="Z148" s="198">
        <f>COUNTIFS(tbl_data[12. Consultation Group of],$C$2,tbl_data[3:T1A],$A148,tbl_data[T1],$C$3)</f>
        <v>0</v>
      </c>
      <c r="AA148" s="198">
        <f>COUNTIFS(tbl_data[12. Consultation Group of],$C$2,tbl_data[1:T2A],$A148,tbl_data[T2],$C$3)</f>
        <v>0</v>
      </c>
      <c r="AB148" s="198">
        <f>COUNTIFS(tbl_data[12. Consultation Group of],$C$2,tbl_data[2:T2A],$A148,tbl_data[T2],$C$3)</f>
        <v>0</v>
      </c>
      <c r="AC148" s="198">
        <f>COUNTIFS(tbl_data[12. Consultation Group of],$C$2,tbl_data[3:T2A],$A148,tbl_data[T2],$C$3)</f>
        <v>0</v>
      </c>
      <c r="AD148" s="198">
        <f>COUNTIFS(tbl_data[12. Consultation Group of],$C$2,tbl_data[1:T3A],$A148,tbl_data[T3],$C$3)</f>
        <v>0</v>
      </c>
      <c r="AE148" s="198">
        <f>COUNTIFS(tbl_data[12. Consultation Group of],$C$2,tbl_data[2:T3A],$A148,tbl_data[T3],$C$3)</f>
        <v>0</v>
      </c>
      <c r="AF148" s="198">
        <f>COUNTIFS(tbl_data[12. Consultation Group of],$C$2,tbl_data[3:T3A],$A148,tbl_data[T3],$C$3)</f>
        <v>0</v>
      </c>
      <c r="AG148" s="198">
        <f t="shared" si="32"/>
        <v>0</v>
      </c>
      <c r="AH148" s="199" t="str">
        <f t="shared" si="33"/>
        <v>Drainage Channels (0)</v>
      </c>
      <c r="AI148" s="205">
        <f>COUNTIFS(tbl_data[12. Consultation Group of],$D$2,tbl_data[1:T1A],$A148,tbl_data[T1],$D$3)</f>
        <v>0</v>
      </c>
      <c r="AJ148" s="198">
        <f>COUNTIFS(tbl_data[12. Consultation Group of],$D$2,tbl_data[2:T1A],$A148,tbl_data[T1],$D$3)</f>
        <v>1</v>
      </c>
      <c r="AK148" s="198">
        <f>COUNTIFS(tbl_data[12. Consultation Group of],$D$2,tbl_data[3:T1A],$A148,tbl_data[T1],$D$3)</f>
        <v>0</v>
      </c>
      <c r="AL148" s="198">
        <f>COUNTIFS(tbl_data[12. Consultation Group of],$D$2,tbl_data[1:T2A],$A148,tbl_data[T2],$D$3)</f>
        <v>0</v>
      </c>
      <c r="AM148" s="198">
        <f>COUNTIFS(tbl_data[12. Consultation Group of],$D$2,tbl_data[2:T2A],$A148,tbl_data[T2],$D$3)</f>
        <v>0</v>
      </c>
      <c r="AN148" s="198">
        <f>COUNTIFS(tbl_data[12. Consultation Group of],$D$2,tbl_data[3:T2A],$A148,tbl_data[T2],$D$3)</f>
        <v>0</v>
      </c>
      <c r="AO148" s="198">
        <f>COUNTIFS(tbl_data[12. Consultation Group of],$D$2,tbl_data[1:T3A],$A148,tbl_data[T3],$D$3)</f>
        <v>0</v>
      </c>
      <c r="AP148" s="198">
        <f>COUNTIFS(tbl_data[12. Consultation Group of],$D$2,tbl_data[2:T3A],$A148,tbl_data[T3],$D$3)</f>
        <v>0</v>
      </c>
      <c r="AQ148" s="198">
        <f>COUNTIFS(tbl_data[12. Consultation Group of],$D$2,tbl_data[3:T3A],$A148,tbl_data[T3],$D$3)</f>
        <v>0</v>
      </c>
      <c r="AR148" s="198">
        <f t="shared" si="34"/>
        <v>1</v>
      </c>
      <c r="AS148" s="199" t="str">
        <f t="shared" si="35"/>
        <v>Drainage Channels (1)</v>
      </c>
      <c r="AT148" s="205">
        <f>COUNTIFS(tbl_data[12. Consultation Group of],$E$2,tbl_data[1:T1A],$A148,tbl_data[T1],$E$3)</f>
        <v>0</v>
      </c>
      <c r="AU148" s="198">
        <f>COUNTIFS(tbl_data[12. Consultation Group of],$E$2,tbl_data[2:T1A],$A148,tbl_data[T1],$E$3)</f>
        <v>1</v>
      </c>
      <c r="AV148" s="198">
        <f>COUNTIFS(tbl_data[12. Consultation Group of],$E$2,tbl_data[3:T1A],$A148,tbl_data[T1],$E$3)</f>
        <v>0</v>
      </c>
      <c r="AW148" s="198">
        <f>COUNTIFS(tbl_data[12. Consultation Group of],$E$2,tbl_data[1:T2A],$A148,tbl_data[T2],$E$3)</f>
        <v>0</v>
      </c>
      <c r="AX148" s="198">
        <f>COUNTIFS(tbl_data[12. Consultation Group of],$E$2,tbl_data[2:T2A],$A148,tbl_data[T2],$E$3)</f>
        <v>0</v>
      </c>
      <c r="AY148" s="198">
        <f>COUNTIFS(tbl_data[12. Consultation Group of],$E$2,tbl_data[3:T2A],$A148,tbl_data[T2],$E$3)</f>
        <v>0</v>
      </c>
      <c r="AZ148" s="198">
        <f>COUNTIFS(tbl_data[12. Consultation Group of],$E$2,tbl_data[1:T3A],$A148,tbl_data[T3],$E$3)</f>
        <v>0</v>
      </c>
      <c r="BA148" s="198">
        <f>COUNTIFS(tbl_data[12. Consultation Group of],$E$2,tbl_data[2:T3A],$A148,tbl_data[T3],$E$3)</f>
        <v>0</v>
      </c>
      <c r="BB148" s="198">
        <f>COUNTIFS(tbl_data[12. Consultation Group of],$E$2,tbl_data[3:T3A],$A148,tbl_data[T3],$E$3)</f>
        <v>0</v>
      </c>
      <c r="BC148" s="198">
        <f t="shared" si="36"/>
        <v>1</v>
      </c>
      <c r="BD148" s="199" t="str">
        <f t="shared" si="37"/>
        <v>Drainage Channels (1)</v>
      </c>
      <c r="BE148" s="205">
        <f>COUNTIFS(tbl_data[1:T1A],$A148,tbl_data[T1],$F$3)</f>
        <v>0</v>
      </c>
      <c r="BF148" s="198">
        <f>COUNTIFS(tbl_data[2:T1A],$A148,tbl_data[T1],$F$3)</f>
        <v>1</v>
      </c>
      <c r="BG148" s="198">
        <f>COUNTIFS(tbl_data[3:T1A],$A148,tbl_data[T1],$F$3)</f>
        <v>0</v>
      </c>
      <c r="BH148" s="198">
        <f>COUNTIFS(tbl_data[1:T2A],$A148,tbl_data[T2],$F$3)</f>
        <v>0</v>
      </c>
      <c r="BI148" s="198">
        <f>COUNTIFS(tbl_data[2:T2A],$A148,tbl_data[T2],$F$3)</f>
        <v>0</v>
      </c>
      <c r="BJ148" s="198">
        <f>COUNTIFS(tbl_data[3:T2A],$A148,tbl_data[T2],$F$3)</f>
        <v>0</v>
      </c>
      <c r="BK148" s="198">
        <f>COUNTIFS(tbl_data[1:T3A],$A148,tbl_data[T3],$F$3)</f>
        <v>0</v>
      </c>
      <c r="BL148" s="198">
        <f>COUNTIFS(tbl_data[2:T3A],$A148,tbl_data[T3],$F$3)</f>
        <v>0</v>
      </c>
      <c r="BM148" s="198">
        <f>COUNTIFS(tbl_data[3:T3A],$A148,tbl_data[T3],$F$3)</f>
        <v>0</v>
      </c>
      <c r="BN148" s="198">
        <f t="shared" si="38"/>
        <v>1</v>
      </c>
      <c r="BO148" s="199" t="str">
        <f t="shared" si="39"/>
        <v>Drainage Channels (1)</v>
      </c>
      <c r="BQ148" t="str">
        <f t="shared" si="40"/>
        <v>Drainage Channels</v>
      </c>
      <c r="BR148">
        <f t="shared" si="41"/>
        <v>3</v>
      </c>
      <c r="BS148" t="s">
        <v>927</v>
      </c>
      <c r="BT148" t="s">
        <v>927</v>
      </c>
      <c r="BU148" s="275" t="s">
        <v>940</v>
      </c>
      <c r="BV148" t="s">
        <v>941</v>
      </c>
    </row>
    <row r="149" spans="1:74" x14ac:dyDescent="0.25">
      <c r="A149" t="s">
        <v>291</v>
      </c>
      <c r="B149" s="205">
        <f>COUNTIFS(tbl_data[12. Consultation Group of],$A$2,tbl_data[1:T1A],$A149,tbl_data[T1],$A$3)</f>
        <v>0</v>
      </c>
      <c r="C149" s="198">
        <f>COUNTIFS(tbl_data[12. Consultation Group of],$A$2,tbl_data[2:T1A],$A149,tbl_data[T1],$A$3)</f>
        <v>0</v>
      </c>
      <c r="D149" s="198">
        <f>COUNTIFS(tbl_data[12. Consultation Group of],$A$2,tbl_data[3:T1A],$A149,tbl_data[T1],$A$3)</f>
        <v>0</v>
      </c>
      <c r="E149" s="198">
        <f>COUNTIFS(tbl_data[12. Consultation Group of],$A$2,tbl_data[1:T2A],$A149,tbl_data[T2],$A$3)</f>
        <v>0</v>
      </c>
      <c r="F149" s="198">
        <f>COUNTIFS(tbl_data[12. Consultation Group of],$A$2,tbl_data[2:T2A],$A149,tbl_data[T2],$A$3)</f>
        <v>0</v>
      </c>
      <c r="G149" s="198">
        <f>COUNTIFS(tbl_data[12. Consultation Group of],$A$2,tbl_data[3:T2A],$A149,tbl_data[T2],$A$3)</f>
        <v>0</v>
      </c>
      <c r="H149" s="198">
        <f>COUNTIFS(tbl_data[12. Consultation Group of],$A$2,tbl_data[1:T3A],$A149,tbl_data[T3],$A$3)</f>
        <v>0</v>
      </c>
      <c r="I149" s="198">
        <f>COUNTIFS(tbl_data[12. Consultation Group of],$A$2,tbl_data[2:T3A],$A149,tbl_data[T3],$A$3)</f>
        <v>0</v>
      </c>
      <c r="J149" s="198">
        <f>COUNTIFS(tbl_data[12. Consultation Group of],$A$2,tbl_data[3:T3A],$A149,tbl_data[T3],$A$3)</f>
        <v>0</v>
      </c>
      <c r="K149" s="198">
        <f t="shared" si="28"/>
        <v>0</v>
      </c>
      <c r="L149" s="199" t="str">
        <f t="shared" si="29"/>
        <v>Climate Change Mitigation (0)</v>
      </c>
      <c r="M149" s="205">
        <f>COUNTIFS(tbl_data[12. Consultation Group of],$B$2,tbl_data[1:T1A],$A149,tbl_data[T1],$B$3)</f>
        <v>0</v>
      </c>
      <c r="N149" s="198">
        <f>COUNTIFS(tbl_data[12. Consultation Group of],$B$2,tbl_data[2:T1A],$A149,tbl_data[T1],$B$3)</f>
        <v>0</v>
      </c>
      <c r="O149" s="198">
        <f>COUNTIFS(tbl_data[12. Consultation Group of],$B$2,tbl_data[3:T1A],$A149,tbl_data[T1],$B$3)</f>
        <v>0</v>
      </c>
      <c r="P149" s="198">
        <f>COUNTIFS(tbl_data[12. Consultation Group of],$B$2,tbl_data[1:T2A],$A149,tbl_data[T2],$B$3)</f>
        <v>0</v>
      </c>
      <c r="Q149" s="198">
        <f>COUNTIFS(tbl_data[12. Consultation Group of],$B$2,tbl_data[2:T2A],$A149,tbl_data[T2],$B$3)</f>
        <v>0</v>
      </c>
      <c r="R149" s="198">
        <f>COUNTIFS(tbl_data[12. Consultation Group of],$B$2,tbl_data[3:T2A],$A149,tbl_data[T2],$B$3)</f>
        <v>0</v>
      </c>
      <c r="S149" s="198">
        <f>COUNTIFS(tbl_data[12. Consultation Group of],$B$2,tbl_data[1:T3A],$A149,tbl_data[T3],$B$3)</f>
        <v>0</v>
      </c>
      <c r="T149" s="198">
        <f>COUNTIFS(tbl_data[12. Consultation Group of],$B$2,tbl_data[2:T3A],$A149,tbl_data[T3],$B$3)</f>
        <v>1</v>
      </c>
      <c r="U149" s="198">
        <f>COUNTIFS(tbl_data[12. Consultation Group of],$B$2,tbl_data[3:T3A],$A149,tbl_data[T3],$B$3)</f>
        <v>0</v>
      </c>
      <c r="V149" s="198">
        <f t="shared" si="30"/>
        <v>1</v>
      </c>
      <c r="W149" s="199" t="str">
        <f t="shared" si="31"/>
        <v>Climate Change Mitigation (1)</v>
      </c>
      <c r="X149" s="205">
        <f>COUNTIFS(tbl_data[12. Consultation Group of],$C$2,tbl_data[1:T1A],$A149,tbl_data[T1],$C$3)</f>
        <v>0</v>
      </c>
      <c r="Y149" s="198">
        <f>COUNTIFS(tbl_data[12. Consultation Group of],$C$2,tbl_data[2:T1A],$A149,tbl_data[T1],$C$3)</f>
        <v>0</v>
      </c>
      <c r="Z149" s="198">
        <f>COUNTIFS(tbl_data[12. Consultation Group of],$C$2,tbl_data[3:T1A],$A149,tbl_data[T1],$C$3)</f>
        <v>0</v>
      </c>
      <c r="AA149" s="198">
        <f>COUNTIFS(tbl_data[12. Consultation Group of],$C$2,tbl_data[1:T2A],$A149,tbl_data[T2],$C$3)</f>
        <v>0</v>
      </c>
      <c r="AB149" s="198">
        <f>COUNTIFS(tbl_data[12. Consultation Group of],$C$2,tbl_data[2:T2A],$A149,tbl_data[T2],$C$3)</f>
        <v>0</v>
      </c>
      <c r="AC149" s="198">
        <f>COUNTIFS(tbl_data[12. Consultation Group of],$C$2,tbl_data[3:T2A],$A149,tbl_data[T2],$C$3)</f>
        <v>0</v>
      </c>
      <c r="AD149" s="198">
        <f>COUNTIFS(tbl_data[12. Consultation Group of],$C$2,tbl_data[1:T3A],$A149,tbl_data[T3],$C$3)</f>
        <v>0</v>
      </c>
      <c r="AE149" s="198">
        <f>COUNTIFS(tbl_data[12. Consultation Group of],$C$2,tbl_data[2:T3A],$A149,tbl_data[T3],$C$3)</f>
        <v>0</v>
      </c>
      <c r="AF149" s="198">
        <f>COUNTIFS(tbl_data[12. Consultation Group of],$C$2,tbl_data[3:T3A],$A149,tbl_data[T3],$C$3)</f>
        <v>0</v>
      </c>
      <c r="AG149" s="198">
        <f t="shared" si="32"/>
        <v>0</v>
      </c>
      <c r="AH149" s="199" t="str">
        <f t="shared" si="33"/>
        <v>Climate Change Mitigation (0)</v>
      </c>
      <c r="AI149" s="205">
        <f>COUNTIFS(tbl_data[12. Consultation Group of],$D$2,tbl_data[1:T1A],$A149,tbl_data[T1],$D$3)</f>
        <v>0</v>
      </c>
      <c r="AJ149" s="198">
        <f>COUNTIFS(tbl_data[12. Consultation Group of],$D$2,tbl_data[2:T1A],$A149,tbl_data[T1],$D$3)</f>
        <v>1</v>
      </c>
      <c r="AK149" s="198">
        <f>COUNTIFS(tbl_data[12. Consultation Group of],$D$2,tbl_data[3:T1A],$A149,tbl_data[T1],$D$3)</f>
        <v>0</v>
      </c>
      <c r="AL149" s="198">
        <f>COUNTIFS(tbl_data[12. Consultation Group of],$D$2,tbl_data[1:T2A],$A149,tbl_data[T2],$D$3)</f>
        <v>0</v>
      </c>
      <c r="AM149" s="198">
        <f>COUNTIFS(tbl_data[12. Consultation Group of],$D$2,tbl_data[2:T2A],$A149,tbl_data[T2],$D$3)</f>
        <v>0</v>
      </c>
      <c r="AN149" s="198">
        <f>COUNTIFS(tbl_data[12. Consultation Group of],$D$2,tbl_data[3:T2A],$A149,tbl_data[T2],$D$3)</f>
        <v>0</v>
      </c>
      <c r="AO149" s="198">
        <f>COUNTIFS(tbl_data[12. Consultation Group of],$D$2,tbl_data[1:T3A],$A149,tbl_data[T3],$D$3)</f>
        <v>0</v>
      </c>
      <c r="AP149" s="198">
        <f>COUNTIFS(tbl_data[12. Consultation Group of],$D$2,tbl_data[2:T3A],$A149,tbl_data[T3],$D$3)</f>
        <v>0</v>
      </c>
      <c r="AQ149" s="198">
        <f>COUNTIFS(tbl_data[12. Consultation Group of],$D$2,tbl_data[3:T3A],$A149,tbl_data[T3],$D$3)</f>
        <v>0</v>
      </c>
      <c r="AR149" s="198">
        <f t="shared" si="34"/>
        <v>1</v>
      </c>
      <c r="AS149" s="199" t="str">
        <f t="shared" si="35"/>
        <v>Climate Change Mitigation (1)</v>
      </c>
      <c r="AT149" s="205">
        <f>COUNTIFS(tbl_data[12. Consultation Group of],$E$2,tbl_data[1:T1A],$A149,tbl_data[T1],$E$3)</f>
        <v>0</v>
      </c>
      <c r="AU149" s="198">
        <f>COUNTIFS(tbl_data[12. Consultation Group of],$E$2,tbl_data[2:T1A],$A149,tbl_data[T1],$E$3)</f>
        <v>0</v>
      </c>
      <c r="AV149" s="198">
        <f>COUNTIFS(tbl_data[12. Consultation Group of],$E$2,tbl_data[3:T1A],$A149,tbl_data[T1],$E$3)</f>
        <v>0</v>
      </c>
      <c r="AW149" s="198">
        <f>COUNTIFS(tbl_data[12. Consultation Group of],$E$2,tbl_data[1:T2A],$A149,tbl_data[T2],$E$3)</f>
        <v>0</v>
      </c>
      <c r="AX149" s="198">
        <f>COUNTIFS(tbl_data[12. Consultation Group of],$E$2,tbl_data[2:T2A],$A149,tbl_data[T2],$E$3)</f>
        <v>0</v>
      </c>
      <c r="AY149" s="198">
        <f>COUNTIFS(tbl_data[12. Consultation Group of],$E$2,tbl_data[3:T2A],$A149,tbl_data[T2],$E$3)</f>
        <v>0</v>
      </c>
      <c r="AZ149" s="198">
        <f>COUNTIFS(tbl_data[12. Consultation Group of],$E$2,tbl_data[1:T3A],$A149,tbl_data[T3],$E$3)</f>
        <v>0</v>
      </c>
      <c r="BA149" s="198">
        <f>COUNTIFS(tbl_data[12. Consultation Group of],$E$2,tbl_data[2:T3A],$A149,tbl_data[T3],$E$3)</f>
        <v>0</v>
      </c>
      <c r="BB149" s="198">
        <f>COUNTIFS(tbl_data[12. Consultation Group of],$E$2,tbl_data[3:T3A],$A149,tbl_data[T3],$E$3)</f>
        <v>0</v>
      </c>
      <c r="BC149" s="198">
        <f t="shared" si="36"/>
        <v>0</v>
      </c>
      <c r="BD149" s="199" t="str">
        <f t="shared" si="37"/>
        <v>Climate Change Mitigation (0)</v>
      </c>
      <c r="BE149" s="205">
        <f>COUNTIFS(tbl_data[1:T1A],$A149,tbl_data[T1],$F$3)</f>
        <v>0</v>
      </c>
      <c r="BF149" s="198">
        <f>COUNTIFS(tbl_data[2:T1A],$A149,tbl_data[T1],$F$3)</f>
        <v>1</v>
      </c>
      <c r="BG149" s="198">
        <f>COUNTIFS(tbl_data[3:T1A],$A149,tbl_data[T1],$F$3)</f>
        <v>0</v>
      </c>
      <c r="BH149" s="198">
        <f>COUNTIFS(tbl_data[1:T2A],$A149,tbl_data[T2],$F$3)</f>
        <v>0</v>
      </c>
      <c r="BI149" s="198">
        <f>COUNTIFS(tbl_data[2:T2A],$A149,tbl_data[T2],$F$3)</f>
        <v>0</v>
      </c>
      <c r="BJ149" s="198">
        <f>COUNTIFS(tbl_data[3:T2A],$A149,tbl_data[T2],$F$3)</f>
        <v>0</v>
      </c>
      <c r="BK149" s="198">
        <f>COUNTIFS(tbl_data[1:T3A],$A149,tbl_data[T3],$F$3)</f>
        <v>0</v>
      </c>
      <c r="BL149" s="198">
        <f>COUNTIFS(tbl_data[2:T3A],$A149,tbl_data[T3],$F$3)</f>
        <v>0</v>
      </c>
      <c r="BM149" s="198">
        <f>COUNTIFS(tbl_data[3:T3A],$A149,tbl_data[T3],$F$3)</f>
        <v>0</v>
      </c>
      <c r="BN149" s="198">
        <f t="shared" si="38"/>
        <v>1</v>
      </c>
      <c r="BO149" s="199" t="str">
        <f t="shared" si="39"/>
        <v>Climate Change Mitigation (1)</v>
      </c>
      <c r="BQ149" t="str">
        <f t="shared" si="40"/>
        <v>Climate Change Mitigation</v>
      </c>
      <c r="BR149">
        <f t="shared" si="41"/>
        <v>3</v>
      </c>
      <c r="BS149" t="s">
        <v>929</v>
      </c>
      <c r="BT149" t="s">
        <v>929</v>
      </c>
      <c r="BU149" s="39" t="s">
        <v>929</v>
      </c>
    </row>
    <row r="150" spans="1:74" x14ac:dyDescent="0.25">
      <c r="A150" s="215" t="s">
        <v>175</v>
      </c>
      <c r="B150" s="205">
        <f>COUNTIFS(tbl_data[12. Consultation Group of],$A$2,tbl_data[1:T1A],$A150,tbl_data[T1],$A$3)</f>
        <v>0</v>
      </c>
      <c r="C150" s="198">
        <f>COUNTIFS(tbl_data[12. Consultation Group of],$A$2,tbl_data[2:T1A],$A150,tbl_data[T1],$A$3)</f>
        <v>0</v>
      </c>
      <c r="D150" s="198">
        <f>COUNTIFS(tbl_data[12. Consultation Group of],$A$2,tbl_data[3:T1A],$A150,tbl_data[T1],$A$3)</f>
        <v>0</v>
      </c>
      <c r="E150" s="198">
        <f>COUNTIFS(tbl_data[12. Consultation Group of],$A$2,tbl_data[1:T2A],$A150,tbl_data[T2],$A$3)</f>
        <v>0</v>
      </c>
      <c r="F150" s="198">
        <f>COUNTIFS(tbl_data[12. Consultation Group of],$A$2,tbl_data[2:T2A],$A150,tbl_data[T2],$A$3)</f>
        <v>0</v>
      </c>
      <c r="G150" s="198">
        <f>COUNTIFS(tbl_data[12. Consultation Group of],$A$2,tbl_data[3:T2A],$A150,tbl_data[T2],$A$3)</f>
        <v>0</v>
      </c>
      <c r="H150" s="198">
        <f>COUNTIFS(tbl_data[12. Consultation Group of],$A$2,tbl_data[1:T3A],$A150,tbl_data[T3],$A$3)</f>
        <v>0</v>
      </c>
      <c r="I150" s="198">
        <f>COUNTIFS(tbl_data[12. Consultation Group of],$A$2,tbl_data[2:T3A],$A150,tbl_data[T3],$A$3)</f>
        <v>0</v>
      </c>
      <c r="J150" s="198">
        <f>COUNTIFS(tbl_data[12. Consultation Group of],$A$2,tbl_data[3:T3A],$A150,tbl_data[T3],$A$3)</f>
        <v>0</v>
      </c>
      <c r="K150" s="198">
        <f t="shared" si="28"/>
        <v>0</v>
      </c>
      <c r="L150" s="199" t="str">
        <f t="shared" si="29"/>
        <v>Coordination and Inter Institutional Partnerships with NGOs and Other Actors (0)</v>
      </c>
      <c r="M150" s="205">
        <f>COUNTIFS(tbl_data[12. Consultation Group of],$B$2,tbl_data[1:T1A],$A150,tbl_data[T1],$B$3)</f>
        <v>0</v>
      </c>
      <c r="N150" s="198">
        <f>COUNTIFS(tbl_data[12. Consultation Group of],$B$2,tbl_data[2:T1A],$A150,tbl_data[T1],$B$3)</f>
        <v>0</v>
      </c>
      <c r="O150" s="198">
        <f>COUNTIFS(tbl_data[12. Consultation Group of],$B$2,tbl_data[3:T1A],$A150,tbl_data[T1],$B$3)</f>
        <v>0</v>
      </c>
      <c r="P150" s="198">
        <f>COUNTIFS(tbl_data[12. Consultation Group of],$B$2,tbl_data[1:T2A],$A150,tbl_data[T2],$B$3)</f>
        <v>0</v>
      </c>
      <c r="Q150" s="198">
        <f>COUNTIFS(tbl_data[12. Consultation Group of],$B$2,tbl_data[2:T2A],$A150,tbl_data[T2],$B$3)</f>
        <v>0</v>
      </c>
      <c r="R150" s="198">
        <f>COUNTIFS(tbl_data[12. Consultation Group of],$B$2,tbl_data[3:T2A],$A150,tbl_data[T2],$B$3)</f>
        <v>0</v>
      </c>
      <c r="S150" s="198">
        <f>COUNTIFS(tbl_data[12. Consultation Group of],$B$2,tbl_data[1:T3A],$A150,tbl_data[T3],$B$3)</f>
        <v>0</v>
      </c>
      <c r="T150" s="198">
        <f>COUNTIFS(tbl_data[12. Consultation Group of],$B$2,tbl_data[2:T3A],$A150,tbl_data[T3],$B$3)</f>
        <v>0</v>
      </c>
      <c r="U150" s="198">
        <f>COUNTIFS(tbl_data[12. Consultation Group of],$B$2,tbl_data[3:T3A],$A150,tbl_data[T3],$B$3)</f>
        <v>0</v>
      </c>
      <c r="V150" s="198">
        <f t="shared" si="30"/>
        <v>0</v>
      </c>
      <c r="W150" s="199" t="str">
        <f t="shared" si="31"/>
        <v>Coordination and Inter Institutional Partnerships with NGOs and Other Actors (0)</v>
      </c>
      <c r="X150" s="205">
        <f>COUNTIFS(tbl_data[12. Consultation Group of],$C$2,tbl_data[1:T1A],$A150,tbl_data[T1],$C$3)</f>
        <v>0</v>
      </c>
      <c r="Y150" s="198">
        <f>COUNTIFS(tbl_data[12. Consultation Group of],$C$2,tbl_data[2:T1A],$A150,tbl_data[T1],$C$3)</f>
        <v>0</v>
      </c>
      <c r="Z150" s="198">
        <f>COUNTIFS(tbl_data[12. Consultation Group of],$C$2,tbl_data[3:T1A],$A150,tbl_data[T1],$C$3)</f>
        <v>0</v>
      </c>
      <c r="AA150" s="198">
        <f>COUNTIFS(tbl_data[12. Consultation Group of],$C$2,tbl_data[1:T2A],$A150,tbl_data[T2],$C$3)</f>
        <v>0</v>
      </c>
      <c r="AB150" s="198">
        <f>COUNTIFS(tbl_data[12. Consultation Group of],$C$2,tbl_data[2:T2A],$A150,tbl_data[T2],$C$3)</f>
        <v>0</v>
      </c>
      <c r="AC150" s="198">
        <f>COUNTIFS(tbl_data[12. Consultation Group of],$C$2,tbl_data[3:T2A],$A150,tbl_data[T2],$C$3)</f>
        <v>0</v>
      </c>
      <c r="AD150" s="198">
        <f>COUNTIFS(tbl_data[12. Consultation Group of],$C$2,tbl_data[1:T3A],$A150,tbl_data[T3],$C$3)</f>
        <v>0</v>
      </c>
      <c r="AE150" s="198">
        <f>COUNTIFS(tbl_data[12. Consultation Group of],$C$2,tbl_data[2:T3A],$A150,tbl_data[T3],$C$3)</f>
        <v>0</v>
      </c>
      <c r="AF150" s="198">
        <f>COUNTIFS(tbl_data[12. Consultation Group of],$C$2,tbl_data[3:T3A],$A150,tbl_data[T3],$C$3)</f>
        <v>0</v>
      </c>
      <c r="AG150" s="198">
        <f t="shared" si="32"/>
        <v>0</v>
      </c>
      <c r="AH150" s="199" t="str">
        <f t="shared" si="33"/>
        <v>Coordination and Inter Institutional Partnerships with NGOs and Other Actors (0)</v>
      </c>
      <c r="AI150" s="205">
        <f>COUNTIFS(tbl_data[12. Consultation Group of],$D$2,tbl_data[1:T1A],$A150,tbl_data[T1],$D$3)</f>
        <v>0</v>
      </c>
      <c r="AJ150" s="198">
        <f>COUNTIFS(tbl_data[12. Consultation Group of],$D$2,tbl_data[2:T1A],$A150,tbl_data[T1],$D$3)</f>
        <v>0</v>
      </c>
      <c r="AK150" s="198">
        <f>COUNTIFS(tbl_data[12. Consultation Group of],$D$2,tbl_data[3:T1A],$A150,tbl_data[T1],$D$3)</f>
        <v>0</v>
      </c>
      <c r="AL150" s="198">
        <f>COUNTIFS(tbl_data[12. Consultation Group of],$D$2,tbl_data[1:T2A],$A150,tbl_data[T2],$D$3)</f>
        <v>0</v>
      </c>
      <c r="AM150" s="198">
        <f>COUNTIFS(tbl_data[12. Consultation Group of],$D$2,tbl_data[2:T2A],$A150,tbl_data[T2],$D$3)</f>
        <v>0</v>
      </c>
      <c r="AN150" s="198">
        <f>COUNTIFS(tbl_data[12. Consultation Group of],$D$2,tbl_data[3:T2A],$A150,tbl_data[T2],$D$3)</f>
        <v>0</v>
      </c>
      <c r="AO150" s="198">
        <f>COUNTIFS(tbl_data[12. Consultation Group of],$D$2,tbl_data[1:T3A],$A150,tbl_data[T3],$D$3)</f>
        <v>0</v>
      </c>
      <c r="AP150" s="198">
        <f>COUNTIFS(tbl_data[12. Consultation Group of],$D$2,tbl_data[2:T3A],$A150,tbl_data[T3],$D$3)</f>
        <v>0</v>
      </c>
      <c r="AQ150" s="198">
        <f>COUNTIFS(tbl_data[12. Consultation Group of],$D$2,tbl_data[3:T3A],$A150,tbl_data[T3],$D$3)</f>
        <v>0</v>
      </c>
      <c r="AR150" s="198">
        <f t="shared" si="34"/>
        <v>0</v>
      </c>
      <c r="AS150" s="199" t="str">
        <f t="shared" si="35"/>
        <v>Coordination and Inter Institutional Partnerships with NGOs and Other Actors (0)</v>
      </c>
      <c r="AT150" s="205">
        <f>COUNTIFS(tbl_data[12. Consultation Group of],$E$2,tbl_data[1:T1A],$A150,tbl_data[T1],$E$3)</f>
        <v>0</v>
      </c>
      <c r="AU150" s="198">
        <f>COUNTIFS(tbl_data[12. Consultation Group of],$E$2,tbl_data[2:T1A],$A150,tbl_data[T1],$E$3)</f>
        <v>0</v>
      </c>
      <c r="AV150" s="198">
        <f>COUNTIFS(tbl_data[12. Consultation Group of],$E$2,tbl_data[3:T1A],$A150,tbl_data[T1],$E$3)</f>
        <v>0</v>
      </c>
      <c r="AW150" s="198">
        <f>COUNTIFS(tbl_data[12. Consultation Group of],$E$2,tbl_data[1:T2A],$A150,tbl_data[T2],$E$3)</f>
        <v>0</v>
      </c>
      <c r="AX150" s="198">
        <f>COUNTIFS(tbl_data[12. Consultation Group of],$E$2,tbl_data[2:T2A],$A150,tbl_data[T2],$E$3)</f>
        <v>0</v>
      </c>
      <c r="AY150" s="198">
        <f>COUNTIFS(tbl_data[12. Consultation Group of],$E$2,tbl_data[3:T2A],$A150,tbl_data[T2],$E$3)</f>
        <v>0</v>
      </c>
      <c r="AZ150" s="198">
        <f>COUNTIFS(tbl_data[12. Consultation Group of],$E$2,tbl_data[1:T3A],$A150,tbl_data[T3],$E$3)</f>
        <v>0</v>
      </c>
      <c r="BA150" s="198">
        <f>COUNTIFS(tbl_data[12. Consultation Group of],$E$2,tbl_data[2:T3A],$A150,tbl_data[T3],$E$3)</f>
        <v>0</v>
      </c>
      <c r="BB150" s="198">
        <f>COUNTIFS(tbl_data[12. Consultation Group of],$E$2,tbl_data[3:T3A],$A150,tbl_data[T3],$E$3)</f>
        <v>0</v>
      </c>
      <c r="BC150" s="198">
        <f t="shared" si="36"/>
        <v>0</v>
      </c>
      <c r="BD150" s="199" t="str">
        <f t="shared" si="37"/>
        <v>Coordination and Inter Institutional Partnerships with NGOs and Other Actors (0)</v>
      </c>
      <c r="BE150" s="205">
        <f>COUNTIFS(tbl_data[1:T1A],$A150,tbl_data[T1],$F$3)</f>
        <v>0</v>
      </c>
      <c r="BF150" s="198">
        <f>COUNTIFS(tbl_data[2:T1A],$A150,tbl_data[T1],$F$3)</f>
        <v>0</v>
      </c>
      <c r="BG150" s="198">
        <f>COUNTIFS(tbl_data[3:T1A],$A150,tbl_data[T1],$F$3)</f>
        <v>0</v>
      </c>
      <c r="BH150" s="198">
        <f>COUNTIFS(tbl_data[1:T2A],$A150,tbl_data[T2],$F$3)</f>
        <v>0</v>
      </c>
      <c r="BI150" s="198">
        <f>COUNTIFS(tbl_data[2:T2A],$A150,tbl_data[T2],$F$3)</f>
        <v>0</v>
      </c>
      <c r="BJ150" s="198">
        <f>COUNTIFS(tbl_data[3:T2A],$A150,tbl_data[T2],$F$3)</f>
        <v>0</v>
      </c>
      <c r="BK150" s="198">
        <f>COUNTIFS(tbl_data[1:T3A],$A150,tbl_data[T3],$F$3)</f>
        <v>0</v>
      </c>
      <c r="BL150" s="198">
        <f>COUNTIFS(tbl_data[2:T3A],$A150,tbl_data[T3],$F$3)</f>
        <v>0</v>
      </c>
      <c r="BM150" s="198">
        <f>COUNTIFS(tbl_data[3:T3A],$A150,tbl_data[T3],$F$3)</f>
        <v>0</v>
      </c>
      <c r="BN150" s="198">
        <f t="shared" si="38"/>
        <v>0</v>
      </c>
      <c r="BO150" s="199" t="str">
        <f t="shared" si="39"/>
        <v>Coordination and Inter Institutional Partnerships with NGOs and Other Actors (0)</v>
      </c>
      <c r="BQ150" t="str">
        <f t="shared" si="40"/>
        <v>Coordination and Inter Institutional Partnerships with NGOs and Other Actors</v>
      </c>
      <c r="BR150">
        <f t="shared" si="41"/>
        <v>0</v>
      </c>
    </row>
    <row r="151" spans="1:74" x14ac:dyDescent="0.25">
      <c r="A151" s="215" t="s">
        <v>235</v>
      </c>
      <c r="B151" s="205">
        <f>COUNTIFS(tbl_data[12. Consultation Group of],$A$2,tbl_data[1:T1A],$A151,tbl_data[T1],$A$3)</f>
        <v>0</v>
      </c>
      <c r="C151" s="198">
        <f>COUNTIFS(tbl_data[12. Consultation Group of],$A$2,tbl_data[2:T1A],$A151,tbl_data[T1],$A$3)</f>
        <v>0</v>
      </c>
      <c r="D151" s="198">
        <f>COUNTIFS(tbl_data[12. Consultation Group of],$A$2,tbl_data[3:T1A],$A151,tbl_data[T1],$A$3)</f>
        <v>0</v>
      </c>
      <c r="E151" s="198">
        <f>COUNTIFS(tbl_data[12. Consultation Group of],$A$2,tbl_data[1:T2A],$A151,tbl_data[T2],$A$3)</f>
        <v>0</v>
      </c>
      <c r="F151" s="198">
        <f>COUNTIFS(tbl_data[12. Consultation Group of],$A$2,tbl_data[2:T2A],$A151,tbl_data[T2],$A$3)</f>
        <v>0</v>
      </c>
      <c r="G151" s="198">
        <f>COUNTIFS(tbl_data[12. Consultation Group of],$A$2,tbl_data[3:T2A],$A151,tbl_data[T2],$A$3)</f>
        <v>0</v>
      </c>
      <c r="H151" s="198">
        <f>COUNTIFS(tbl_data[12. Consultation Group of],$A$2,tbl_data[1:T3A],$A151,tbl_data[T3],$A$3)</f>
        <v>0</v>
      </c>
      <c r="I151" s="198">
        <f>COUNTIFS(tbl_data[12. Consultation Group of],$A$2,tbl_data[2:T3A],$A151,tbl_data[T3],$A$3)</f>
        <v>0</v>
      </c>
      <c r="J151" s="198">
        <f>COUNTIFS(tbl_data[12. Consultation Group of],$A$2,tbl_data[3:T3A],$A151,tbl_data[T3],$A$3)</f>
        <v>0</v>
      </c>
      <c r="K151" s="198">
        <f t="shared" si="28"/>
        <v>0</v>
      </c>
      <c r="L151" s="199" t="str">
        <f t="shared" si="29"/>
        <v>Promote and Maintain Ancestral Knowledge and Practices (0)</v>
      </c>
      <c r="M151" s="205">
        <f>COUNTIFS(tbl_data[12. Consultation Group of],$B$2,tbl_data[1:T1A],$A151,tbl_data[T1],$B$3)</f>
        <v>0</v>
      </c>
      <c r="N151" s="198">
        <f>COUNTIFS(tbl_data[12. Consultation Group of],$B$2,tbl_data[2:T1A],$A151,tbl_data[T1],$B$3)</f>
        <v>0</v>
      </c>
      <c r="O151" s="198">
        <f>COUNTIFS(tbl_data[12. Consultation Group of],$B$2,tbl_data[3:T1A],$A151,tbl_data[T1],$B$3)</f>
        <v>0</v>
      </c>
      <c r="P151" s="198">
        <f>COUNTIFS(tbl_data[12. Consultation Group of],$B$2,tbl_data[1:T2A],$A151,tbl_data[T2],$B$3)</f>
        <v>0</v>
      </c>
      <c r="Q151" s="198">
        <f>COUNTIFS(tbl_data[12. Consultation Group of],$B$2,tbl_data[2:T2A],$A151,tbl_data[T2],$B$3)</f>
        <v>0</v>
      </c>
      <c r="R151" s="198">
        <f>COUNTIFS(tbl_data[12. Consultation Group of],$B$2,tbl_data[3:T2A],$A151,tbl_data[T2],$B$3)</f>
        <v>0</v>
      </c>
      <c r="S151" s="198">
        <f>COUNTIFS(tbl_data[12. Consultation Group of],$B$2,tbl_data[1:T3A],$A151,tbl_data[T3],$B$3)</f>
        <v>0</v>
      </c>
      <c r="T151" s="198">
        <f>COUNTIFS(tbl_data[12. Consultation Group of],$B$2,tbl_data[2:T3A],$A151,tbl_data[T3],$B$3)</f>
        <v>0</v>
      </c>
      <c r="U151" s="198">
        <f>COUNTIFS(tbl_data[12. Consultation Group of],$B$2,tbl_data[3:T3A],$A151,tbl_data[T3],$B$3)</f>
        <v>0</v>
      </c>
      <c r="V151" s="198">
        <f t="shared" si="30"/>
        <v>0</v>
      </c>
      <c r="W151" s="199" t="str">
        <f t="shared" si="31"/>
        <v>Promote and Maintain Ancestral Knowledge and Practices (0)</v>
      </c>
      <c r="X151" s="205">
        <f>COUNTIFS(tbl_data[12. Consultation Group of],$C$2,tbl_data[1:T1A],$A151,tbl_data[T1],$C$3)</f>
        <v>0</v>
      </c>
      <c r="Y151" s="198">
        <f>COUNTIFS(tbl_data[12. Consultation Group of],$C$2,tbl_data[2:T1A],$A151,tbl_data[T1],$C$3)</f>
        <v>0</v>
      </c>
      <c r="Z151" s="198">
        <f>COUNTIFS(tbl_data[12. Consultation Group of],$C$2,tbl_data[3:T1A],$A151,tbl_data[T1],$C$3)</f>
        <v>0</v>
      </c>
      <c r="AA151" s="198">
        <f>COUNTIFS(tbl_data[12. Consultation Group of],$C$2,tbl_data[1:T2A],$A151,tbl_data[T2],$C$3)</f>
        <v>0</v>
      </c>
      <c r="AB151" s="198">
        <f>COUNTIFS(tbl_data[12. Consultation Group of],$C$2,tbl_data[2:T2A],$A151,tbl_data[T2],$C$3)</f>
        <v>0</v>
      </c>
      <c r="AC151" s="198">
        <f>COUNTIFS(tbl_data[12. Consultation Group of],$C$2,tbl_data[3:T2A],$A151,tbl_data[T2],$C$3)</f>
        <v>0</v>
      </c>
      <c r="AD151" s="198">
        <f>COUNTIFS(tbl_data[12. Consultation Group of],$C$2,tbl_data[1:T3A],$A151,tbl_data[T3],$C$3)</f>
        <v>0</v>
      </c>
      <c r="AE151" s="198">
        <f>COUNTIFS(tbl_data[12. Consultation Group of],$C$2,tbl_data[2:T3A],$A151,tbl_data[T3],$C$3)</f>
        <v>0</v>
      </c>
      <c r="AF151" s="198">
        <f>COUNTIFS(tbl_data[12. Consultation Group of],$C$2,tbl_data[3:T3A],$A151,tbl_data[T3],$C$3)</f>
        <v>0</v>
      </c>
      <c r="AG151" s="198">
        <f t="shared" si="32"/>
        <v>0</v>
      </c>
      <c r="AH151" s="199" t="str">
        <f t="shared" si="33"/>
        <v>Promote and Maintain Ancestral Knowledge and Practices (0)</v>
      </c>
      <c r="AI151" s="205">
        <f>COUNTIFS(tbl_data[12. Consultation Group of],$D$2,tbl_data[1:T1A],$A151,tbl_data[T1],$D$3)</f>
        <v>0</v>
      </c>
      <c r="AJ151" s="198">
        <f>COUNTIFS(tbl_data[12. Consultation Group of],$D$2,tbl_data[2:T1A],$A151,tbl_data[T1],$D$3)</f>
        <v>0</v>
      </c>
      <c r="AK151" s="198">
        <f>COUNTIFS(tbl_data[12. Consultation Group of],$D$2,tbl_data[3:T1A],$A151,tbl_data[T1],$D$3)</f>
        <v>0</v>
      </c>
      <c r="AL151" s="198">
        <f>COUNTIFS(tbl_data[12. Consultation Group of],$D$2,tbl_data[1:T2A],$A151,tbl_data[T2],$D$3)</f>
        <v>0</v>
      </c>
      <c r="AM151" s="198">
        <f>COUNTIFS(tbl_data[12. Consultation Group of],$D$2,tbl_data[2:T2A],$A151,tbl_data[T2],$D$3)</f>
        <v>0</v>
      </c>
      <c r="AN151" s="198">
        <f>COUNTIFS(tbl_data[12. Consultation Group of],$D$2,tbl_data[3:T2A],$A151,tbl_data[T2],$D$3)</f>
        <v>0</v>
      </c>
      <c r="AO151" s="198">
        <f>COUNTIFS(tbl_data[12. Consultation Group of],$D$2,tbl_data[1:T3A],$A151,tbl_data[T3],$D$3)</f>
        <v>0</v>
      </c>
      <c r="AP151" s="198">
        <f>COUNTIFS(tbl_data[12. Consultation Group of],$D$2,tbl_data[2:T3A],$A151,tbl_data[T3],$D$3)</f>
        <v>0</v>
      </c>
      <c r="AQ151" s="198">
        <f>COUNTIFS(tbl_data[12. Consultation Group of],$D$2,tbl_data[3:T3A],$A151,tbl_data[T3],$D$3)</f>
        <v>0</v>
      </c>
      <c r="AR151" s="198">
        <f t="shared" si="34"/>
        <v>0</v>
      </c>
      <c r="AS151" s="199" t="str">
        <f t="shared" si="35"/>
        <v>Promote and Maintain Ancestral Knowledge and Practices (0)</v>
      </c>
      <c r="AT151" s="205">
        <f>COUNTIFS(tbl_data[12. Consultation Group of],$E$2,tbl_data[1:T1A],$A151,tbl_data[T1],$E$3)</f>
        <v>0</v>
      </c>
      <c r="AU151" s="198">
        <f>COUNTIFS(tbl_data[12. Consultation Group of],$E$2,tbl_data[2:T1A],$A151,tbl_data[T1],$E$3)</f>
        <v>0</v>
      </c>
      <c r="AV151" s="198">
        <f>COUNTIFS(tbl_data[12. Consultation Group of],$E$2,tbl_data[3:T1A],$A151,tbl_data[T1],$E$3)</f>
        <v>0</v>
      </c>
      <c r="AW151" s="198">
        <f>COUNTIFS(tbl_data[12. Consultation Group of],$E$2,tbl_data[1:T2A],$A151,tbl_data[T2],$E$3)</f>
        <v>0</v>
      </c>
      <c r="AX151" s="198">
        <f>COUNTIFS(tbl_data[12. Consultation Group of],$E$2,tbl_data[2:T2A],$A151,tbl_data[T2],$E$3)</f>
        <v>0</v>
      </c>
      <c r="AY151" s="198">
        <f>COUNTIFS(tbl_data[12. Consultation Group of],$E$2,tbl_data[3:T2A],$A151,tbl_data[T2],$E$3)</f>
        <v>0</v>
      </c>
      <c r="AZ151" s="198">
        <f>COUNTIFS(tbl_data[12. Consultation Group of],$E$2,tbl_data[1:T3A],$A151,tbl_data[T3],$E$3)</f>
        <v>0</v>
      </c>
      <c r="BA151" s="198">
        <f>COUNTIFS(tbl_data[12. Consultation Group of],$E$2,tbl_data[2:T3A],$A151,tbl_data[T3],$E$3)</f>
        <v>0</v>
      </c>
      <c r="BB151" s="198">
        <f>COUNTIFS(tbl_data[12. Consultation Group of],$E$2,tbl_data[3:T3A],$A151,tbl_data[T3],$E$3)</f>
        <v>0</v>
      </c>
      <c r="BC151" s="198">
        <f t="shared" si="36"/>
        <v>0</v>
      </c>
      <c r="BD151" s="199" t="str">
        <f t="shared" si="37"/>
        <v>Promote and Maintain Ancestral Knowledge and Practices (0)</v>
      </c>
      <c r="BE151" s="205">
        <f>COUNTIFS(tbl_data[1:T1A],$A151,tbl_data[T1],$F$3)</f>
        <v>0</v>
      </c>
      <c r="BF151" s="198">
        <f>COUNTIFS(tbl_data[2:T1A],$A151,tbl_data[T1],$F$3)</f>
        <v>0</v>
      </c>
      <c r="BG151" s="198">
        <f>COUNTIFS(tbl_data[3:T1A],$A151,tbl_data[T1],$F$3)</f>
        <v>0</v>
      </c>
      <c r="BH151" s="198">
        <f>COUNTIFS(tbl_data[1:T2A],$A151,tbl_data[T2],$F$3)</f>
        <v>0</v>
      </c>
      <c r="BI151" s="198">
        <f>COUNTIFS(tbl_data[2:T2A],$A151,tbl_data[T2],$F$3)</f>
        <v>0</v>
      </c>
      <c r="BJ151" s="198">
        <f>COUNTIFS(tbl_data[3:T2A],$A151,tbl_data[T2],$F$3)</f>
        <v>0</v>
      </c>
      <c r="BK151" s="198">
        <f>COUNTIFS(tbl_data[1:T3A],$A151,tbl_data[T3],$F$3)</f>
        <v>0</v>
      </c>
      <c r="BL151" s="198">
        <f>COUNTIFS(tbl_data[2:T3A],$A151,tbl_data[T3],$F$3)</f>
        <v>0</v>
      </c>
      <c r="BM151" s="198">
        <f>COUNTIFS(tbl_data[3:T3A],$A151,tbl_data[T3],$F$3)</f>
        <v>0</v>
      </c>
      <c r="BN151" s="198">
        <f t="shared" si="38"/>
        <v>0</v>
      </c>
      <c r="BO151" s="199" t="str">
        <f t="shared" si="39"/>
        <v>Promote and Maintain Ancestral Knowledge and Practices (0)</v>
      </c>
      <c r="BQ151" t="str">
        <f t="shared" si="40"/>
        <v>Promote and Maintain Ancestral Knowledge and Practices</v>
      </c>
      <c r="BR151">
        <f t="shared" si="41"/>
        <v>0</v>
      </c>
    </row>
    <row r="152" spans="1:74" x14ac:dyDescent="0.25">
      <c r="A152" s="215" t="s">
        <v>279</v>
      </c>
      <c r="B152" s="205">
        <f>COUNTIFS(tbl_data[12. Consultation Group of],$A$2,tbl_data[1:T1A],$A152,tbl_data[T1],$A$3)</f>
        <v>0</v>
      </c>
      <c r="C152" s="198">
        <f>COUNTIFS(tbl_data[12. Consultation Group of],$A$2,tbl_data[2:T1A],$A152,tbl_data[T1],$A$3)</f>
        <v>0</v>
      </c>
      <c r="D152" s="198">
        <f>COUNTIFS(tbl_data[12. Consultation Group of],$A$2,tbl_data[3:T1A],$A152,tbl_data[T1],$A$3)</f>
        <v>0</v>
      </c>
      <c r="E152" s="198">
        <f>COUNTIFS(tbl_data[12. Consultation Group of],$A$2,tbl_data[1:T2A],$A152,tbl_data[T2],$A$3)</f>
        <v>0</v>
      </c>
      <c r="F152" s="198">
        <f>COUNTIFS(tbl_data[12. Consultation Group of],$A$2,tbl_data[2:T2A],$A152,tbl_data[T2],$A$3)</f>
        <v>0</v>
      </c>
      <c r="G152" s="198">
        <f>COUNTIFS(tbl_data[12. Consultation Group of],$A$2,tbl_data[3:T2A],$A152,tbl_data[T2],$A$3)</f>
        <v>0</v>
      </c>
      <c r="H152" s="198">
        <f>COUNTIFS(tbl_data[12. Consultation Group of],$A$2,tbl_data[1:T3A],$A152,tbl_data[T3],$A$3)</f>
        <v>0</v>
      </c>
      <c r="I152" s="198">
        <f>COUNTIFS(tbl_data[12. Consultation Group of],$A$2,tbl_data[2:T3A],$A152,tbl_data[T3],$A$3)</f>
        <v>0</v>
      </c>
      <c r="J152" s="198">
        <f>COUNTIFS(tbl_data[12. Consultation Group of],$A$2,tbl_data[3:T3A],$A152,tbl_data[T3],$A$3)</f>
        <v>0</v>
      </c>
      <c r="K152" s="198">
        <f t="shared" si="28"/>
        <v>0</v>
      </c>
      <c r="L152" s="199" t="str">
        <f t="shared" si="29"/>
        <v>First Aid Course (0)</v>
      </c>
      <c r="M152" s="205">
        <f>COUNTIFS(tbl_data[12. Consultation Group of],$B$2,tbl_data[1:T1A],$A152,tbl_data[T1],$B$3)</f>
        <v>0</v>
      </c>
      <c r="N152" s="198">
        <f>COUNTIFS(tbl_data[12. Consultation Group of],$B$2,tbl_data[2:T1A],$A152,tbl_data[T1],$B$3)</f>
        <v>0</v>
      </c>
      <c r="O152" s="198">
        <f>COUNTIFS(tbl_data[12. Consultation Group of],$B$2,tbl_data[3:T1A],$A152,tbl_data[T1],$B$3)</f>
        <v>0</v>
      </c>
      <c r="P152" s="198">
        <f>COUNTIFS(tbl_data[12. Consultation Group of],$B$2,tbl_data[1:T2A],$A152,tbl_data[T2],$B$3)</f>
        <v>0</v>
      </c>
      <c r="Q152" s="198">
        <f>COUNTIFS(tbl_data[12. Consultation Group of],$B$2,tbl_data[2:T2A],$A152,tbl_data[T2],$B$3)</f>
        <v>0</v>
      </c>
      <c r="R152" s="198">
        <f>COUNTIFS(tbl_data[12. Consultation Group of],$B$2,tbl_data[3:T2A],$A152,tbl_data[T2],$B$3)</f>
        <v>0</v>
      </c>
      <c r="S152" s="198">
        <f>COUNTIFS(tbl_data[12. Consultation Group of],$B$2,tbl_data[1:T3A],$A152,tbl_data[T3],$B$3)</f>
        <v>0</v>
      </c>
      <c r="T152" s="198">
        <f>COUNTIFS(tbl_data[12. Consultation Group of],$B$2,tbl_data[2:T3A],$A152,tbl_data[T3],$B$3)</f>
        <v>0</v>
      </c>
      <c r="U152" s="198">
        <f>COUNTIFS(tbl_data[12. Consultation Group of],$B$2,tbl_data[3:T3A],$A152,tbl_data[T3],$B$3)</f>
        <v>0</v>
      </c>
      <c r="V152" s="198">
        <f t="shared" si="30"/>
        <v>0</v>
      </c>
      <c r="W152" s="199" t="str">
        <f t="shared" si="31"/>
        <v>First Aid Course (0)</v>
      </c>
      <c r="X152" s="205">
        <f>COUNTIFS(tbl_data[12. Consultation Group of],$C$2,tbl_data[1:T1A],$A152,tbl_data[T1],$C$3)</f>
        <v>0</v>
      </c>
      <c r="Y152" s="198">
        <f>COUNTIFS(tbl_data[12. Consultation Group of],$C$2,tbl_data[2:T1A],$A152,tbl_data[T1],$C$3)</f>
        <v>0</v>
      </c>
      <c r="Z152" s="198">
        <f>COUNTIFS(tbl_data[12. Consultation Group of],$C$2,tbl_data[3:T1A],$A152,tbl_data[T1],$C$3)</f>
        <v>0</v>
      </c>
      <c r="AA152" s="198">
        <f>COUNTIFS(tbl_data[12. Consultation Group of],$C$2,tbl_data[1:T2A],$A152,tbl_data[T2],$C$3)</f>
        <v>0</v>
      </c>
      <c r="AB152" s="198">
        <f>COUNTIFS(tbl_data[12. Consultation Group of],$C$2,tbl_data[2:T2A],$A152,tbl_data[T2],$C$3)</f>
        <v>0</v>
      </c>
      <c r="AC152" s="198">
        <f>COUNTIFS(tbl_data[12. Consultation Group of],$C$2,tbl_data[3:T2A],$A152,tbl_data[T2],$C$3)</f>
        <v>0</v>
      </c>
      <c r="AD152" s="198">
        <f>COUNTIFS(tbl_data[12. Consultation Group of],$C$2,tbl_data[1:T3A],$A152,tbl_data[T3],$C$3)</f>
        <v>0</v>
      </c>
      <c r="AE152" s="198">
        <f>COUNTIFS(tbl_data[12. Consultation Group of],$C$2,tbl_data[2:T3A],$A152,tbl_data[T3],$C$3)</f>
        <v>0</v>
      </c>
      <c r="AF152" s="198">
        <f>COUNTIFS(tbl_data[12. Consultation Group of],$C$2,tbl_data[3:T3A],$A152,tbl_data[T3],$C$3)</f>
        <v>0</v>
      </c>
      <c r="AG152" s="198">
        <f t="shared" si="32"/>
        <v>0</v>
      </c>
      <c r="AH152" s="199" t="str">
        <f t="shared" si="33"/>
        <v>First Aid Course (0)</v>
      </c>
      <c r="AI152" s="205">
        <f>COUNTIFS(tbl_data[12. Consultation Group of],$D$2,tbl_data[1:T1A],$A152,tbl_data[T1],$D$3)</f>
        <v>0</v>
      </c>
      <c r="AJ152" s="198">
        <f>COUNTIFS(tbl_data[12. Consultation Group of],$D$2,tbl_data[2:T1A],$A152,tbl_data[T1],$D$3)</f>
        <v>0</v>
      </c>
      <c r="AK152" s="198">
        <f>COUNTIFS(tbl_data[12. Consultation Group of],$D$2,tbl_data[3:T1A],$A152,tbl_data[T1],$D$3)</f>
        <v>0</v>
      </c>
      <c r="AL152" s="198">
        <f>COUNTIFS(tbl_data[12. Consultation Group of],$D$2,tbl_data[1:T2A],$A152,tbl_data[T2],$D$3)</f>
        <v>0</v>
      </c>
      <c r="AM152" s="198">
        <f>COUNTIFS(tbl_data[12. Consultation Group of],$D$2,tbl_data[2:T2A],$A152,tbl_data[T2],$D$3)</f>
        <v>0</v>
      </c>
      <c r="AN152" s="198">
        <f>COUNTIFS(tbl_data[12. Consultation Group of],$D$2,tbl_data[3:T2A],$A152,tbl_data[T2],$D$3)</f>
        <v>0</v>
      </c>
      <c r="AO152" s="198">
        <f>COUNTIFS(tbl_data[12. Consultation Group of],$D$2,tbl_data[1:T3A],$A152,tbl_data[T3],$D$3)</f>
        <v>0</v>
      </c>
      <c r="AP152" s="198">
        <f>COUNTIFS(tbl_data[12. Consultation Group of],$D$2,tbl_data[2:T3A],$A152,tbl_data[T3],$D$3)</f>
        <v>0</v>
      </c>
      <c r="AQ152" s="198">
        <f>COUNTIFS(tbl_data[12. Consultation Group of],$D$2,tbl_data[3:T3A],$A152,tbl_data[T3],$D$3)</f>
        <v>0</v>
      </c>
      <c r="AR152" s="198">
        <f t="shared" si="34"/>
        <v>0</v>
      </c>
      <c r="AS152" s="199" t="str">
        <f t="shared" si="35"/>
        <v>First Aid Course (0)</v>
      </c>
      <c r="AT152" s="205">
        <f>COUNTIFS(tbl_data[12. Consultation Group of],$E$2,tbl_data[1:T1A],$A152,tbl_data[T1],$E$3)</f>
        <v>0</v>
      </c>
      <c r="AU152" s="198">
        <f>COUNTIFS(tbl_data[12. Consultation Group of],$E$2,tbl_data[2:T1A],$A152,tbl_data[T1],$E$3)</f>
        <v>0</v>
      </c>
      <c r="AV152" s="198">
        <f>COUNTIFS(tbl_data[12. Consultation Group of],$E$2,tbl_data[3:T1A],$A152,tbl_data[T1],$E$3)</f>
        <v>0</v>
      </c>
      <c r="AW152" s="198">
        <f>COUNTIFS(tbl_data[12. Consultation Group of],$E$2,tbl_data[1:T2A],$A152,tbl_data[T2],$E$3)</f>
        <v>0</v>
      </c>
      <c r="AX152" s="198">
        <f>COUNTIFS(tbl_data[12. Consultation Group of],$E$2,tbl_data[2:T2A],$A152,tbl_data[T2],$E$3)</f>
        <v>0</v>
      </c>
      <c r="AY152" s="198">
        <f>COUNTIFS(tbl_data[12. Consultation Group of],$E$2,tbl_data[3:T2A],$A152,tbl_data[T2],$E$3)</f>
        <v>0</v>
      </c>
      <c r="AZ152" s="198">
        <f>COUNTIFS(tbl_data[12. Consultation Group of],$E$2,tbl_data[1:T3A],$A152,tbl_data[T3],$E$3)</f>
        <v>0</v>
      </c>
      <c r="BA152" s="198">
        <f>COUNTIFS(tbl_data[12. Consultation Group of],$E$2,tbl_data[2:T3A],$A152,tbl_data[T3],$E$3)</f>
        <v>0</v>
      </c>
      <c r="BB152" s="198">
        <f>COUNTIFS(tbl_data[12. Consultation Group of],$E$2,tbl_data[3:T3A],$A152,tbl_data[T3],$E$3)</f>
        <v>0</v>
      </c>
      <c r="BC152" s="198">
        <f t="shared" si="36"/>
        <v>0</v>
      </c>
      <c r="BD152" s="199" t="str">
        <f t="shared" si="37"/>
        <v>First Aid Course (0)</v>
      </c>
      <c r="BE152" s="205">
        <f>COUNTIFS(tbl_data[1:T1A],$A152,tbl_data[T1],$F$3)</f>
        <v>0</v>
      </c>
      <c r="BF152" s="198">
        <f>COUNTIFS(tbl_data[2:T1A],$A152,tbl_data[T1],$F$3)</f>
        <v>0</v>
      </c>
      <c r="BG152" s="198">
        <f>COUNTIFS(tbl_data[3:T1A],$A152,tbl_data[T1],$F$3)</f>
        <v>0</v>
      </c>
      <c r="BH152" s="198">
        <f>COUNTIFS(tbl_data[1:T2A],$A152,tbl_data[T2],$F$3)</f>
        <v>0</v>
      </c>
      <c r="BI152" s="198">
        <f>COUNTIFS(tbl_data[2:T2A],$A152,tbl_data[T2],$F$3)</f>
        <v>0</v>
      </c>
      <c r="BJ152" s="198">
        <f>COUNTIFS(tbl_data[3:T2A],$A152,tbl_data[T2],$F$3)</f>
        <v>0</v>
      </c>
      <c r="BK152" s="198">
        <f>COUNTIFS(tbl_data[1:T3A],$A152,tbl_data[T3],$F$3)</f>
        <v>0</v>
      </c>
      <c r="BL152" s="198">
        <f>COUNTIFS(tbl_data[2:T3A],$A152,tbl_data[T3],$F$3)</f>
        <v>0</v>
      </c>
      <c r="BM152" s="198">
        <f>COUNTIFS(tbl_data[3:T3A],$A152,tbl_data[T3],$F$3)</f>
        <v>0</v>
      </c>
      <c r="BN152" s="198">
        <f t="shared" si="38"/>
        <v>0</v>
      </c>
      <c r="BO152" s="199" t="str">
        <f t="shared" si="39"/>
        <v>First Aid Course (0)</v>
      </c>
      <c r="BQ152" t="str">
        <f t="shared" si="40"/>
        <v>First Aid Course</v>
      </c>
      <c r="BR152">
        <f t="shared" si="41"/>
        <v>0</v>
      </c>
    </row>
    <row r="153" spans="1:74" x14ac:dyDescent="0.25">
      <c r="A153" s="215" t="s">
        <v>289</v>
      </c>
      <c r="B153" s="205">
        <f>COUNTIFS(tbl_data[12. Consultation Group of],$A$2,tbl_data[1:T1A],$A153,tbl_data[T1],$A$3)</f>
        <v>0</v>
      </c>
      <c r="C153" s="198">
        <f>COUNTIFS(tbl_data[12. Consultation Group of],$A$2,tbl_data[2:T1A],$A153,tbl_data[T1],$A$3)</f>
        <v>0</v>
      </c>
      <c r="D153" s="198">
        <f>COUNTIFS(tbl_data[12. Consultation Group of],$A$2,tbl_data[3:T1A],$A153,tbl_data[T1],$A$3)</f>
        <v>0</v>
      </c>
      <c r="E153" s="198">
        <f>COUNTIFS(tbl_data[12. Consultation Group of],$A$2,tbl_data[1:T2A],$A153,tbl_data[T2],$A$3)</f>
        <v>0</v>
      </c>
      <c r="F153" s="198">
        <f>COUNTIFS(tbl_data[12. Consultation Group of],$A$2,tbl_data[2:T2A],$A153,tbl_data[T2],$A$3)</f>
        <v>0</v>
      </c>
      <c r="G153" s="198">
        <f>COUNTIFS(tbl_data[12. Consultation Group of],$A$2,tbl_data[3:T2A],$A153,tbl_data[T2],$A$3)</f>
        <v>0</v>
      </c>
      <c r="H153" s="198">
        <f>COUNTIFS(tbl_data[12. Consultation Group of],$A$2,tbl_data[1:T3A],$A153,tbl_data[T3],$A$3)</f>
        <v>0</v>
      </c>
      <c r="I153" s="198">
        <f>COUNTIFS(tbl_data[12. Consultation Group of],$A$2,tbl_data[2:T3A],$A153,tbl_data[T3],$A$3)</f>
        <v>0</v>
      </c>
      <c r="J153" s="198">
        <f>COUNTIFS(tbl_data[12. Consultation Group of],$A$2,tbl_data[3:T3A],$A153,tbl_data[T3],$A$3)</f>
        <v>0</v>
      </c>
      <c r="K153" s="198">
        <f t="shared" si="28"/>
        <v>0</v>
      </c>
      <c r="L153" s="199" t="str">
        <f t="shared" si="29"/>
        <v>Psychological intervention (0)</v>
      </c>
      <c r="M153" s="205">
        <f>COUNTIFS(tbl_data[12. Consultation Group of],$B$2,tbl_data[1:T1A],$A153,tbl_data[T1],$B$3)</f>
        <v>0</v>
      </c>
      <c r="N153" s="198">
        <f>COUNTIFS(tbl_data[12. Consultation Group of],$B$2,tbl_data[2:T1A],$A153,tbl_data[T1],$B$3)</f>
        <v>0</v>
      </c>
      <c r="O153" s="198">
        <f>COUNTIFS(tbl_data[12. Consultation Group of],$B$2,tbl_data[3:T1A],$A153,tbl_data[T1],$B$3)</f>
        <v>0</v>
      </c>
      <c r="P153" s="198">
        <f>COUNTIFS(tbl_data[12. Consultation Group of],$B$2,tbl_data[1:T2A],$A153,tbl_data[T2],$B$3)</f>
        <v>0</v>
      </c>
      <c r="Q153" s="198">
        <f>COUNTIFS(tbl_data[12. Consultation Group of],$B$2,tbl_data[2:T2A],$A153,tbl_data[T2],$B$3)</f>
        <v>0</v>
      </c>
      <c r="R153" s="198">
        <f>COUNTIFS(tbl_data[12. Consultation Group of],$B$2,tbl_data[3:T2A],$A153,tbl_data[T2],$B$3)</f>
        <v>0</v>
      </c>
      <c r="S153" s="198">
        <f>COUNTIFS(tbl_data[12. Consultation Group of],$B$2,tbl_data[1:T3A],$A153,tbl_data[T3],$B$3)</f>
        <v>0</v>
      </c>
      <c r="T153" s="198">
        <f>COUNTIFS(tbl_data[12. Consultation Group of],$B$2,tbl_data[2:T3A],$A153,tbl_data[T3],$B$3)</f>
        <v>0</v>
      </c>
      <c r="U153" s="198">
        <f>COUNTIFS(tbl_data[12. Consultation Group of],$B$2,tbl_data[3:T3A],$A153,tbl_data[T3],$B$3)</f>
        <v>0</v>
      </c>
      <c r="V153" s="198">
        <f t="shared" si="30"/>
        <v>0</v>
      </c>
      <c r="W153" s="199" t="str">
        <f t="shared" si="31"/>
        <v>Psychological intervention (0)</v>
      </c>
      <c r="X153" s="205">
        <f>COUNTIFS(tbl_data[12. Consultation Group of],$C$2,tbl_data[1:T1A],$A153,tbl_data[T1],$C$3)</f>
        <v>0</v>
      </c>
      <c r="Y153" s="198">
        <f>COUNTIFS(tbl_data[12. Consultation Group of],$C$2,tbl_data[2:T1A],$A153,tbl_data[T1],$C$3)</f>
        <v>0</v>
      </c>
      <c r="Z153" s="198">
        <f>COUNTIFS(tbl_data[12. Consultation Group of],$C$2,tbl_data[3:T1A],$A153,tbl_data[T1],$C$3)</f>
        <v>0</v>
      </c>
      <c r="AA153" s="198">
        <f>COUNTIFS(tbl_data[12. Consultation Group of],$C$2,tbl_data[1:T2A],$A153,tbl_data[T2],$C$3)</f>
        <v>0</v>
      </c>
      <c r="AB153" s="198">
        <f>COUNTIFS(tbl_data[12. Consultation Group of],$C$2,tbl_data[2:T2A],$A153,tbl_data[T2],$C$3)</f>
        <v>0</v>
      </c>
      <c r="AC153" s="198">
        <f>COUNTIFS(tbl_data[12. Consultation Group of],$C$2,tbl_data[3:T2A],$A153,tbl_data[T2],$C$3)</f>
        <v>0</v>
      </c>
      <c r="AD153" s="198">
        <f>COUNTIFS(tbl_data[12. Consultation Group of],$C$2,tbl_data[1:T3A],$A153,tbl_data[T3],$C$3)</f>
        <v>0</v>
      </c>
      <c r="AE153" s="198">
        <f>COUNTIFS(tbl_data[12. Consultation Group of],$C$2,tbl_data[2:T3A],$A153,tbl_data[T3],$C$3)</f>
        <v>0</v>
      </c>
      <c r="AF153" s="198">
        <f>COUNTIFS(tbl_data[12. Consultation Group of],$C$2,tbl_data[3:T3A],$A153,tbl_data[T3],$C$3)</f>
        <v>0</v>
      </c>
      <c r="AG153" s="198">
        <f t="shared" si="32"/>
        <v>0</v>
      </c>
      <c r="AH153" s="199" t="str">
        <f t="shared" si="33"/>
        <v>Psychological intervention (0)</v>
      </c>
      <c r="AI153" s="205">
        <f>COUNTIFS(tbl_data[12. Consultation Group of],$D$2,tbl_data[1:T1A],$A153,tbl_data[T1],$D$3)</f>
        <v>0</v>
      </c>
      <c r="AJ153" s="198">
        <f>COUNTIFS(tbl_data[12. Consultation Group of],$D$2,tbl_data[2:T1A],$A153,tbl_data[T1],$D$3)</f>
        <v>0</v>
      </c>
      <c r="AK153" s="198">
        <f>COUNTIFS(tbl_data[12. Consultation Group of],$D$2,tbl_data[3:T1A],$A153,tbl_data[T1],$D$3)</f>
        <v>0</v>
      </c>
      <c r="AL153" s="198">
        <f>COUNTIFS(tbl_data[12. Consultation Group of],$D$2,tbl_data[1:T2A],$A153,tbl_data[T2],$D$3)</f>
        <v>0</v>
      </c>
      <c r="AM153" s="198">
        <f>COUNTIFS(tbl_data[12. Consultation Group of],$D$2,tbl_data[2:T2A],$A153,tbl_data[T2],$D$3)</f>
        <v>0</v>
      </c>
      <c r="AN153" s="198">
        <f>COUNTIFS(tbl_data[12. Consultation Group of],$D$2,tbl_data[3:T2A],$A153,tbl_data[T2],$D$3)</f>
        <v>0</v>
      </c>
      <c r="AO153" s="198">
        <f>COUNTIFS(tbl_data[12. Consultation Group of],$D$2,tbl_data[1:T3A],$A153,tbl_data[T3],$D$3)</f>
        <v>0</v>
      </c>
      <c r="AP153" s="198">
        <f>COUNTIFS(tbl_data[12. Consultation Group of],$D$2,tbl_data[2:T3A],$A153,tbl_data[T3],$D$3)</f>
        <v>0</v>
      </c>
      <c r="AQ153" s="198">
        <f>COUNTIFS(tbl_data[12. Consultation Group of],$D$2,tbl_data[3:T3A],$A153,tbl_data[T3],$D$3)</f>
        <v>0</v>
      </c>
      <c r="AR153" s="198">
        <f t="shared" si="34"/>
        <v>0</v>
      </c>
      <c r="AS153" s="199" t="str">
        <f t="shared" si="35"/>
        <v>Psychological intervention (0)</v>
      </c>
      <c r="AT153" s="205">
        <f>COUNTIFS(tbl_data[12. Consultation Group of],$E$2,tbl_data[1:T1A],$A153,tbl_data[T1],$E$3)</f>
        <v>0</v>
      </c>
      <c r="AU153" s="198">
        <f>COUNTIFS(tbl_data[12. Consultation Group of],$E$2,tbl_data[2:T1A],$A153,tbl_data[T1],$E$3)</f>
        <v>0</v>
      </c>
      <c r="AV153" s="198">
        <f>COUNTIFS(tbl_data[12. Consultation Group of],$E$2,tbl_data[3:T1A],$A153,tbl_data[T1],$E$3)</f>
        <v>0</v>
      </c>
      <c r="AW153" s="198">
        <f>COUNTIFS(tbl_data[12. Consultation Group of],$E$2,tbl_data[1:T2A],$A153,tbl_data[T2],$E$3)</f>
        <v>0</v>
      </c>
      <c r="AX153" s="198">
        <f>COUNTIFS(tbl_data[12. Consultation Group of],$E$2,tbl_data[2:T2A],$A153,tbl_data[T2],$E$3)</f>
        <v>0</v>
      </c>
      <c r="AY153" s="198">
        <f>COUNTIFS(tbl_data[12. Consultation Group of],$E$2,tbl_data[3:T2A],$A153,tbl_data[T2],$E$3)</f>
        <v>0</v>
      </c>
      <c r="AZ153" s="198">
        <f>COUNTIFS(tbl_data[12. Consultation Group of],$E$2,tbl_data[1:T3A],$A153,tbl_data[T3],$E$3)</f>
        <v>0</v>
      </c>
      <c r="BA153" s="198">
        <f>COUNTIFS(tbl_data[12. Consultation Group of],$E$2,tbl_data[2:T3A],$A153,tbl_data[T3],$E$3)</f>
        <v>0</v>
      </c>
      <c r="BB153" s="198">
        <f>COUNTIFS(tbl_data[12. Consultation Group of],$E$2,tbl_data[3:T3A],$A153,tbl_data[T3],$E$3)</f>
        <v>0</v>
      </c>
      <c r="BC153" s="198">
        <f t="shared" si="36"/>
        <v>0</v>
      </c>
      <c r="BD153" s="199" t="str">
        <f t="shared" si="37"/>
        <v>Psychological intervention (0)</v>
      </c>
      <c r="BE153" s="205">
        <f>COUNTIFS(tbl_data[1:T1A],$A153,tbl_data[T1],$F$3)</f>
        <v>0</v>
      </c>
      <c r="BF153" s="198">
        <f>COUNTIFS(tbl_data[2:T1A],$A153,tbl_data[T1],$F$3)</f>
        <v>0</v>
      </c>
      <c r="BG153" s="198">
        <f>COUNTIFS(tbl_data[3:T1A],$A153,tbl_data[T1],$F$3)</f>
        <v>0</v>
      </c>
      <c r="BH153" s="198">
        <f>COUNTIFS(tbl_data[1:T2A],$A153,tbl_data[T2],$F$3)</f>
        <v>0</v>
      </c>
      <c r="BI153" s="198">
        <f>COUNTIFS(tbl_data[2:T2A],$A153,tbl_data[T2],$F$3)</f>
        <v>0</v>
      </c>
      <c r="BJ153" s="198">
        <f>COUNTIFS(tbl_data[3:T2A],$A153,tbl_data[T2],$F$3)</f>
        <v>0</v>
      </c>
      <c r="BK153" s="198">
        <f>COUNTIFS(tbl_data[1:T3A],$A153,tbl_data[T3],$F$3)</f>
        <v>0</v>
      </c>
      <c r="BL153" s="198">
        <f>COUNTIFS(tbl_data[2:T3A],$A153,tbl_data[T3],$F$3)</f>
        <v>0</v>
      </c>
      <c r="BM153" s="198">
        <f>COUNTIFS(tbl_data[3:T3A],$A153,tbl_data[T3],$F$3)</f>
        <v>0</v>
      </c>
      <c r="BN153" s="198">
        <f t="shared" si="38"/>
        <v>0</v>
      </c>
      <c r="BO153" s="199" t="str">
        <f t="shared" si="39"/>
        <v>Psychological intervention (0)</v>
      </c>
      <c r="BQ153" t="str">
        <f t="shared" si="40"/>
        <v>Psychological intervention</v>
      </c>
      <c r="BR153">
        <f t="shared" si="41"/>
        <v>0</v>
      </c>
    </row>
    <row r="154" spans="1:74" x14ac:dyDescent="0.25">
      <c r="A154" s="215" t="s">
        <v>299</v>
      </c>
      <c r="B154" s="205">
        <f>COUNTIFS(tbl_data[12. Consultation Group of],$A$2,tbl_data[1:T1A],$A154,tbl_data[T1],$A$3)</f>
        <v>0</v>
      </c>
      <c r="C154" s="198">
        <f>COUNTIFS(tbl_data[12. Consultation Group of],$A$2,tbl_data[2:T1A],$A154,tbl_data[T1],$A$3)</f>
        <v>0</v>
      </c>
      <c r="D154" s="198">
        <f>COUNTIFS(tbl_data[12. Consultation Group of],$A$2,tbl_data[3:T1A],$A154,tbl_data[T1],$A$3)</f>
        <v>0</v>
      </c>
      <c r="E154" s="198">
        <f>COUNTIFS(tbl_data[12. Consultation Group of],$A$2,tbl_data[1:T2A],$A154,tbl_data[T2],$A$3)</f>
        <v>0</v>
      </c>
      <c r="F154" s="198">
        <f>COUNTIFS(tbl_data[12. Consultation Group of],$A$2,tbl_data[2:T2A],$A154,tbl_data[T2],$A$3)</f>
        <v>0</v>
      </c>
      <c r="G154" s="198">
        <f>COUNTIFS(tbl_data[12. Consultation Group of],$A$2,tbl_data[3:T2A],$A154,tbl_data[T2],$A$3)</f>
        <v>0</v>
      </c>
      <c r="H154" s="198">
        <f>COUNTIFS(tbl_data[12. Consultation Group of],$A$2,tbl_data[1:T3A],$A154,tbl_data[T3],$A$3)</f>
        <v>0</v>
      </c>
      <c r="I154" s="198">
        <f>COUNTIFS(tbl_data[12. Consultation Group of],$A$2,tbl_data[2:T3A],$A154,tbl_data[T3],$A$3)</f>
        <v>0</v>
      </c>
      <c r="J154" s="198">
        <f>COUNTIFS(tbl_data[12. Consultation Group of],$A$2,tbl_data[3:T3A],$A154,tbl_data[T3],$A$3)</f>
        <v>0</v>
      </c>
      <c r="K154" s="198">
        <f t="shared" si="28"/>
        <v>0</v>
      </c>
      <c r="L154" s="199" t="str">
        <f t="shared" si="29"/>
        <v>Contingency Planning (0)</v>
      </c>
      <c r="M154" s="205">
        <f>COUNTIFS(tbl_data[12. Consultation Group of],$B$2,tbl_data[1:T1A],$A154,tbl_data[T1],$B$3)</f>
        <v>0</v>
      </c>
      <c r="N154" s="198">
        <f>COUNTIFS(tbl_data[12. Consultation Group of],$B$2,tbl_data[2:T1A],$A154,tbl_data[T1],$B$3)</f>
        <v>0</v>
      </c>
      <c r="O154" s="198">
        <f>COUNTIFS(tbl_data[12. Consultation Group of],$B$2,tbl_data[3:T1A],$A154,tbl_data[T1],$B$3)</f>
        <v>0</v>
      </c>
      <c r="P154" s="198">
        <f>COUNTIFS(tbl_data[12. Consultation Group of],$B$2,tbl_data[1:T2A],$A154,tbl_data[T2],$B$3)</f>
        <v>0</v>
      </c>
      <c r="Q154" s="198">
        <f>COUNTIFS(tbl_data[12. Consultation Group of],$B$2,tbl_data[2:T2A],$A154,tbl_data[T2],$B$3)</f>
        <v>0</v>
      </c>
      <c r="R154" s="198">
        <f>COUNTIFS(tbl_data[12. Consultation Group of],$B$2,tbl_data[3:T2A],$A154,tbl_data[T2],$B$3)</f>
        <v>0</v>
      </c>
      <c r="S154" s="198">
        <f>COUNTIFS(tbl_data[12. Consultation Group of],$B$2,tbl_data[1:T3A],$A154,tbl_data[T3],$B$3)</f>
        <v>0</v>
      </c>
      <c r="T154" s="198">
        <f>COUNTIFS(tbl_data[12. Consultation Group of],$B$2,tbl_data[2:T3A],$A154,tbl_data[T3],$B$3)</f>
        <v>0</v>
      </c>
      <c r="U154" s="198">
        <f>COUNTIFS(tbl_data[12. Consultation Group of],$B$2,tbl_data[3:T3A],$A154,tbl_data[T3],$B$3)</f>
        <v>0</v>
      </c>
      <c r="V154" s="198">
        <f t="shared" si="30"/>
        <v>0</v>
      </c>
      <c r="W154" s="199" t="str">
        <f t="shared" si="31"/>
        <v>Contingency Planning (0)</v>
      </c>
      <c r="X154" s="205">
        <f>COUNTIFS(tbl_data[12. Consultation Group of],$C$2,tbl_data[1:T1A],$A154,tbl_data[T1],$C$3)</f>
        <v>0</v>
      </c>
      <c r="Y154" s="198">
        <f>COUNTIFS(tbl_data[12. Consultation Group of],$C$2,tbl_data[2:T1A],$A154,tbl_data[T1],$C$3)</f>
        <v>0</v>
      </c>
      <c r="Z154" s="198">
        <f>COUNTIFS(tbl_data[12. Consultation Group of],$C$2,tbl_data[3:T1A],$A154,tbl_data[T1],$C$3)</f>
        <v>0</v>
      </c>
      <c r="AA154" s="198">
        <f>COUNTIFS(tbl_data[12. Consultation Group of],$C$2,tbl_data[1:T2A],$A154,tbl_data[T2],$C$3)</f>
        <v>0</v>
      </c>
      <c r="AB154" s="198">
        <f>COUNTIFS(tbl_data[12. Consultation Group of],$C$2,tbl_data[2:T2A],$A154,tbl_data[T2],$C$3)</f>
        <v>0</v>
      </c>
      <c r="AC154" s="198">
        <f>COUNTIFS(tbl_data[12. Consultation Group of],$C$2,tbl_data[3:T2A],$A154,tbl_data[T2],$C$3)</f>
        <v>0</v>
      </c>
      <c r="AD154" s="198">
        <f>COUNTIFS(tbl_data[12. Consultation Group of],$C$2,tbl_data[1:T3A],$A154,tbl_data[T3],$C$3)</f>
        <v>0</v>
      </c>
      <c r="AE154" s="198">
        <f>COUNTIFS(tbl_data[12. Consultation Group of],$C$2,tbl_data[2:T3A],$A154,tbl_data[T3],$C$3)</f>
        <v>0</v>
      </c>
      <c r="AF154" s="198">
        <f>COUNTIFS(tbl_data[12. Consultation Group of],$C$2,tbl_data[3:T3A],$A154,tbl_data[T3],$C$3)</f>
        <v>0</v>
      </c>
      <c r="AG154" s="198">
        <f t="shared" si="32"/>
        <v>0</v>
      </c>
      <c r="AH154" s="199" t="str">
        <f t="shared" si="33"/>
        <v>Contingency Planning (0)</v>
      </c>
      <c r="AI154" s="205">
        <f>COUNTIFS(tbl_data[12. Consultation Group of],$D$2,tbl_data[1:T1A],$A154,tbl_data[T1],$D$3)</f>
        <v>0</v>
      </c>
      <c r="AJ154" s="198">
        <f>COUNTIFS(tbl_data[12. Consultation Group of],$D$2,tbl_data[2:T1A],$A154,tbl_data[T1],$D$3)</f>
        <v>0</v>
      </c>
      <c r="AK154" s="198">
        <f>COUNTIFS(tbl_data[12. Consultation Group of],$D$2,tbl_data[3:T1A],$A154,tbl_data[T1],$D$3)</f>
        <v>0</v>
      </c>
      <c r="AL154" s="198">
        <f>COUNTIFS(tbl_data[12. Consultation Group of],$D$2,tbl_data[1:T2A],$A154,tbl_data[T2],$D$3)</f>
        <v>0</v>
      </c>
      <c r="AM154" s="198">
        <f>COUNTIFS(tbl_data[12. Consultation Group of],$D$2,tbl_data[2:T2A],$A154,tbl_data[T2],$D$3)</f>
        <v>0</v>
      </c>
      <c r="AN154" s="198">
        <f>COUNTIFS(tbl_data[12. Consultation Group of],$D$2,tbl_data[3:T2A],$A154,tbl_data[T2],$D$3)</f>
        <v>0</v>
      </c>
      <c r="AO154" s="198">
        <f>COUNTIFS(tbl_data[12. Consultation Group of],$D$2,tbl_data[1:T3A],$A154,tbl_data[T3],$D$3)</f>
        <v>0</v>
      </c>
      <c r="AP154" s="198">
        <f>COUNTIFS(tbl_data[12. Consultation Group of],$D$2,tbl_data[2:T3A],$A154,tbl_data[T3],$D$3)</f>
        <v>0</v>
      </c>
      <c r="AQ154" s="198">
        <f>COUNTIFS(tbl_data[12. Consultation Group of],$D$2,tbl_data[3:T3A],$A154,tbl_data[T3],$D$3)</f>
        <v>0</v>
      </c>
      <c r="AR154" s="198">
        <f t="shared" si="34"/>
        <v>0</v>
      </c>
      <c r="AS154" s="199" t="str">
        <f t="shared" si="35"/>
        <v>Contingency Planning (0)</v>
      </c>
      <c r="AT154" s="205">
        <f>COUNTIFS(tbl_data[12. Consultation Group of],$E$2,tbl_data[1:T1A],$A154,tbl_data[T1],$E$3)</f>
        <v>0</v>
      </c>
      <c r="AU154" s="198">
        <f>COUNTIFS(tbl_data[12. Consultation Group of],$E$2,tbl_data[2:T1A],$A154,tbl_data[T1],$E$3)</f>
        <v>0</v>
      </c>
      <c r="AV154" s="198">
        <f>COUNTIFS(tbl_data[12. Consultation Group of],$E$2,tbl_data[3:T1A],$A154,tbl_data[T1],$E$3)</f>
        <v>0</v>
      </c>
      <c r="AW154" s="198">
        <f>COUNTIFS(tbl_data[12. Consultation Group of],$E$2,tbl_data[1:T2A],$A154,tbl_data[T2],$E$3)</f>
        <v>0</v>
      </c>
      <c r="AX154" s="198">
        <f>COUNTIFS(tbl_data[12. Consultation Group of],$E$2,tbl_data[2:T2A],$A154,tbl_data[T2],$E$3)</f>
        <v>0</v>
      </c>
      <c r="AY154" s="198">
        <f>COUNTIFS(tbl_data[12. Consultation Group of],$E$2,tbl_data[3:T2A],$A154,tbl_data[T2],$E$3)</f>
        <v>0</v>
      </c>
      <c r="AZ154" s="198">
        <f>COUNTIFS(tbl_data[12. Consultation Group of],$E$2,tbl_data[1:T3A],$A154,tbl_data[T3],$E$3)</f>
        <v>0</v>
      </c>
      <c r="BA154" s="198">
        <f>COUNTIFS(tbl_data[12. Consultation Group of],$E$2,tbl_data[2:T3A],$A154,tbl_data[T3],$E$3)</f>
        <v>0</v>
      </c>
      <c r="BB154" s="198">
        <f>COUNTIFS(tbl_data[12. Consultation Group of],$E$2,tbl_data[3:T3A],$A154,tbl_data[T3],$E$3)</f>
        <v>0</v>
      </c>
      <c r="BC154" s="198">
        <f t="shared" si="36"/>
        <v>0</v>
      </c>
      <c r="BD154" s="199" t="str">
        <f t="shared" si="37"/>
        <v>Contingency Planning (0)</v>
      </c>
      <c r="BE154" s="205">
        <f>COUNTIFS(tbl_data[1:T1A],$A154,tbl_data[T1],$F$3)</f>
        <v>0</v>
      </c>
      <c r="BF154" s="198">
        <f>COUNTIFS(tbl_data[2:T1A],$A154,tbl_data[T1],$F$3)</f>
        <v>0</v>
      </c>
      <c r="BG154" s="198">
        <f>COUNTIFS(tbl_data[3:T1A],$A154,tbl_data[T1],$F$3)</f>
        <v>0</v>
      </c>
      <c r="BH154" s="198">
        <f>COUNTIFS(tbl_data[1:T2A],$A154,tbl_data[T2],$F$3)</f>
        <v>0</v>
      </c>
      <c r="BI154" s="198">
        <f>COUNTIFS(tbl_data[2:T2A],$A154,tbl_data[T2],$F$3)</f>
        <v>0</v>
      </c>
      <c r="BJ154" s="198">
        <f>COUNTIFS(tbl_data[3:T2A],$A154,tbl_data[T2],$F$3)</f>
        <v>0</v>
      </c>
      <c r="BK154" s="198">
        <f>COUNTIFS(tbl_data[1:T3A],$A154,tbl_data[T3],$F$3)</f>
        <v>0</v>
      </c>
      <c r="BL154" s="198">
        <f>COUNTIFS(tbl_data[2:T3A],$A154,tbl_data[T3],$F$3)</f>
        <v>0</v>
      </c>
      <c r="BM154" s="198">
        <f>COUNTIFS(tbl_data[3:T3A],$A154,tbl_data[T3],$F$3)</f>
        <v>0</v>
      </c>
      <c r="BN154" s="198">
        <f t="shared" si="38"/>
        <v>0</v>
      </c>
      <c r="BO154" s="199" t="str">
        <f t="shared" si="39"/>
        <v>Contingency Planning (0)</v>
      </c>
      <c r="BQ154" t="str">
        <f t="shared" si="40"/>
        <v>Contingency Planning</v>
      </c>
      <c r="BR154">
        <f t="shared" si="41"/>
        <v>0</v>
      </c>
    </row>
    <row r="155" spans="1:74" x14ac:dyDescent="0.25">
      <c r="A155" s="215" t="s">
        <v>450</v>
      </c>
      <c r="B155" s="205">
        <f>COUNTIFS(tbl_data[12. Consultation Group of],$A$2,tbl_data[1:T1A],$A155,tbl_data[T1],$A$3)</f>
        <v>0</v>
      </c>
      <c r="C155" s="198">
        <f>COUNTIFS(tbl_data[12. Consultation Group of],$A$2,tbl_data[2:T1A],$A155,tbl_data[T1],$A$3)</f>
        <v>0</v>
      </c>
      <c r="D155" s="198">
        <f>COUNTIFS(tbl_data[12. Consultation Group of],$A$2,tbl_data[3:T1A],$A155,tbl_data[T1],$A$3)</f>
        <v>0</v>
      </c>
      <c r="E155" s="198">
        <f>COUNTIFS(tbl_data[12. Consultation Group of],$A$2,tbl_data[1:T2A],$A155,tbl_data[T2],$A$3)</f>
        <v>0</v>
      </c>
      <c r="F155" s="198">
        <f>COUNTIFS(tbl_data[12. Consultation Group of],$A$2,tbl_data[2:T2A],$A155,tbl_data[T2],$A$3)</f>
        <v>0</v>
      </c>
      <c r="G155" s="198">
        <f>COUNTIFS(tbl_data[12. Consultation Group of],$A$2,tbl_data[3:T2A],$A155,tbl_data[T2],$A$3)</f>
        <v>0</v>
      </c>
      <c r="H155" s="198">
        <f>COUNTIFS(tbl_data[12. Consultation Group of],$A$2,tbl_data[1:T3A],$A155,tbl_data[T3],$A$3)</f>
        <v>0</v>
      </c>
      <c r="I155" s="198">
        <f>COUNTIFS(tbl_data[12. Consultation Group of],$A$2,tbl_data[2:T3A],$A155,tbl_data[T3],$A$3)</f>
        <v>0</v>
      </c>
      <c r="J155" s="198">
        <f>COUNTIFS(tbl_data[12. Consultation Group of],$A$2,tbl_data[3:T3A],$A155,tbl_data[T3],$A$3)</f>
        <v>0</v>
      </c>
      <c r="K155" s="198">
        <f t="shared" si="28"/>
        <v>0</v>
      </c>
      <c r="L155" s="199" t="str">
        <f t="shared" si="29"/>
        <v>Coastal Zone Development (0)</v>
      </c>
      <c r="M155" s="205">
        <f>COUNTIFS(tbl_data[12. Consultation Group of],$B$2,tbl_data[1:T1A],$A155,tbl_data[T1],$B$3)</f>
        <v>0</v>
      </c>
      <c r="N155" s="198">
        <f>COUNTIFS(tbl_data[12. Consultation Group of],$B$2,tbl_data[2:T1A],$A155,tbl_data[T1],$B$3)</f>
        <v>0</v>
      </c>
      <c r="O155" s="198">
        <f>COUNTIFS(tbl_data[12. Consultation Group of],$B$2,tbl_data[3:T1A],$A155,tbl_data[T1],$B$3)</f>
        <v>0</v>
      </c>
      <c r="P155" s="198">
        <f>COUNTIFS(tbl_data[12. Consultation Group of],$B$2,tbl_data[1:T2A],$A155,tbl_data[T2],$B$3)</f>
        <v>0</v>
      </c>
      <c r="Q155" s="198">
        <f>COUNTIFS(tbl_data[12. Consultation Group of],$B$2,tbl_data[2:T2A],$A155,tbl_data[T2],$B$3)</f>
        <v>0</v>
      </c>
      <c r="R155" s="198">
        <f>COUNTIFS(tbl_data[12. Consultation Group of],$B$2,tbl_data[3:T2A],$A155,tbl_data[T2],$B$3)</f>
        <v>0</v>
      </c>
      <c r="S155" s="198">
        <f>COUNTIFS(tbl_data[12. Consultation Group of],$B$2,tbl_data[1:T3A],$A155,tbl_data[T3],$B$3)</f>
        <v>0</v>
      </c>
      <c r="T155" s="198">
        <f>COUNTIFS(tbl_data[12. Consultation Group of],$B$2,tbl_data[2:T3A],$A155,tbl_data[T3],$B$3)</f>
        <v>0</v>
      </c>
      <c r="U155" s="198">
        <f>COUNTIFS(tbl_data[12. Consultation Group of],$B$2,tbl_data[3:T3A],$A155,tbl_data[T3],$B$3)</f>
        <v>0</v>
      </c>
      <c r="V155" s="198">
        <f t="shared" si="30"/>
        <v>0</v>
      </c>
      <c r="W155" s="199" t="str">
        <f t="shared" si="31"/>
        <v>Coastal Zone Development (0)</v>
      </c>
      <c r="X155" s="205">
        <f>COUNTIFS(tbl_data[12. Consultation Group of],$C$2,tbl_data[1:T1A],$A155,tbl_data[T1],$C$3)</f>
        <v>0</v>
      </c>
      <c r="Y155" s="198">
        <f>COUNTIFS(tbl_data[12. Consultation Group of],$C$2,tbl_data[2:T1A],$A155,tbl_data[T1],$C$3)</f>
        <v>0</v>
      </c>
      <c r="Z155" s="198">
        <f>COUNTIFS(tbl_data[12. Consultation Group of],$C$2,tbl_data[3:T1A],$A155,tbl_data[T1],$C$3)</f>
        <v>0</v>
      </c>
      <c r="AA155" s="198">
        <f>COUNTIFS(tbl_data[12. Consultation Group of],$C$2,tbl_data[1:T2A],$A155,tbl_data[T2],$C$3)</f>
        <v>0</v>
      </c>
      <c r="AB155" s="198">
        <f>COUNTIFS(tbl_data[12. Consultation Group of],$C$2,tbl_data[2:T2A],$A155,tbl_data[T2],$C$3)</f>
        <v>0</v>
      </c>
      <c r="AC155" s="198">
        <f>COUNTIFS(tbl_data[12. Consultation Group of],$C$2,tbl_data[3:T2A],$A155,tbl_data[T2],$C$3)</f>
        <v>0</v>
      </c>
      <c r="AD155" s="198">
        <f>COUNTIFS(tbl_data[12. Consultation Group of],$C$2,tbl_data[1:T3A],$A155,tbl_data[T3],$C$3)</f>
        <v>0</v>
      </c>
      <c r="AE155" s="198">
        <f>COUNTIFS(tbl_data[12. Consultation Group of],$C$2,tbl_data[2:T3A],$A155,tbl_data[T3],$C$3)</f>
        <v>0</v>
      </c>
      <c r="AF155" s="198">
        <f>COUNTIFS(tbl_data[12. Consultation Group of],$C$2,tbl_data[3:T3A],$A155,tbl_data[T3],$C$3)</f>
        <v>0</v>
      </c>
      <c r="AG155" s="198">
        <f t="shared" si="32"/>
        <v>0</v>
      </c>
      <c r="AH155" s="199" t="str">
        <f t="shared" si="33"/>
        <v>Coastal Zone Development (0)</v>
      </c>
      <c r="AI155" s="205">
        <f>COUNTIFS(tbl_data[12. Consultation Group of],$D$2,tbl_data[1:T1A],$A155,tbl_data[T1],$D$3)</f>
        <v>0</v>
      </c>
      <c r="AJ155" s="198">
        <f>COUNTIFS(tbl_data[12. Consultation Group of],$D$2,tbl_data[2:T1A],$A155,tbl_data[T1],$D$3)</f>
        <v>0</v>
      </c>
      <c r="AK155" s="198">
        <f>COUNTIFS(tbl_data[12. Consultation Group of],$D$2,tbl_data[3:T1A],$A155,tbl_data[T1],$D$3)</f>
        <v>0</v>
      </c>
      <c r="AL155" s="198">
        <f>COUNTIFS(tbl_data[12. Consultation Group of],$D$2,tbl_data[1:T2A],$A155,tbl_data[T2],$D$3)</f>
        <v>0</v>
      </c>
      <c r="AM155" s="198">
        <f>COUNTIFS(tbl_data[12. Consultation Group of],$D$2,tbl_data[2:T2A],$A155,tbl_data[T2],$D$3)</f>
        <v>0</v>
      </c>
      <c r="AN155" s="198">
        <f>COUNTIFS(tbl_data[12. Consultation Group of],$D$2,tbl_data[3:T2A],$A155,tbl_data[T2],$D$3)</f>
        <v>0</v>
      </c>
      <c r="AO155" s="198">
        <f>COUNTIFS(tbl_data[12. Consultation Group of],$D$2,tbl_data[1:T3A],$A155,tbl_data[T3],$D$3)</f>
        <v>0</v>
      </c>
      <c r="AP155" s="198">
        <f>COUNTIFS(tbl_data[12. Consultation Group of],$D$2,tbl_data[2:T3A],$A155,tbl_data[T3],$D$3)</f>
        <v>0</v>
      </c>
      <c r="AQ155" s="198">
        <f>COUNTIFS(tbl_data[12. Consultation Group of],$D$2,tbl_data[3:T3A],$A155,tbl_data[T3],$D$3)</f>
        <v>0</v>
      </c>
      <c r="AR155" s="198">
        <f t="shared" si="34"/>
        <v>0</v>
      </c>
      <c r="AS155" s="199" t="str">
        <f t="shared" si="35"/>
        <v>Coastal Zone Development (0)</v>
      </c>
      <c r="AT155" s="205">
        <f>COUNTIFS(tbl_data[12. Consultation Group of],$E$2,tbl_data[1:T1A],$A155,tbl_data[T1],$E$3)</f>
        <v>0</v>
      </c>
      <c r="AU155" s="198">
        <f>COUNTIFS(tbl_data[12. Consultation Group of],$E$2,tbl_data[2:T1A],$A155,tbl_data[T1],$E$3)</f>
        <v>0</v>
      </c>
      <c r="AV155" s="198">
        <f>COUNTIFS(tbl_data[12. Consultation Group of],$E$2,tbl_data[3:T1A],$A155,tbl_data[T1],$E$3)</f>
        <v>0</v>
      </c>
      <c r="AW155" s="198">
        <f>COUNTIFS(tbl_data[12. Consultation Group of],$E$2,tbl_data[1:T2A],$A155,tbl_data[T2],$E$3)</f>
        <v>0</v>
      </c>
      <c r="AX155" s="198">
        <f>COUNTIFS(tbl_data[12. Consultation Group of],$E$2,tbl_data[2:T2A],$A155,tbl_data[T2],$E$3)</f>
        <v>0</v>
      </c>
      <c r="AY155" s="198">
        <f>COUNTIFS(tbl_data[12. Consultation Group of],$E$2,tbl_data[3:T2A],$A155,tbl_data[T2],$E$3)</f>
        <v>0</v>
      </c>
      <c r="AZ155" s="198">
        <f>COUNTIFS(tbl_data[12. Consultation Group of],$E$2,tbl_data[1:T3A],$A155,tbl_data[T3],$E$3)</f>
        <v>0</v>
      </c>
      <c r="BA155" s="198">
        <f>COUNTIFS(tbl_data[12. Consultation Group of],$E$2,tbl_data[2:T3A],$A155,tbl_data[T3],$E$3)</f>
        <v>0</v>
      </c>
      <c r="BB155" s="198">
        <f>COUNTIFS(tbl_data[12. Consultation Group of],$E$2,tbl_data[3:T3A],$A155,tbl_data[T3],$E$3)</f>
        <v>0</v>
      </c>
      <c r="BC155" s="198">
        <f t="shared" si="36"/>
        <v>0</v>
      </c>
      <c r="BD155" s="199" t="str">
        <f t="shared" si="37"/>
        <v>Coastal Zone Development (0)</v>
      </c>
      <c r="BE155" s="205">
        <f>COUNTIFS(tbl_data[1:T1A],$A155,tbl_data[T1],$F$3)</f>
        <v>0</v>
      </c>
      <c r="BF155" s="198">
        <f>COUNTIFS(tbl_data[2:T1A],$A155,tbl_data[T1],$F$3)</f>
        <v>0</v>
      </c>
      <c r="BG155" s="198">
        <f>COUNTIFS(tbl_data[3:T1A],$A155,tbl_data[T1],$F$3)</f>
        <v>0</v>
      </c>
      <c r="BH155" s="198">
        <f>COUNTIFS(tbl_data[1:T2A],$A155,tbl_data[T2],$F$3)</f>
        <v>0</v>
      </c>
      <c r="BI155" s="198">
        <f>COUNTIFS(tbl_data[2:T2A],$A155,tbl_data[T2],$F$3)</f>
        <v>0</v>
      </c>
      <c r="BJ155" s="198">
        <f>COUNTIFS(tbl_data[3:T2A],$A155,tbl_data[T2],$F$3)</f>
        <v>0</v>
      </c>
      <c r="BK155" s="198">
        <f>COUNTIFS(tbl_data[1:T3A],$A155,tbl_data[T3],$F$3)</f>
        <v>0</v>
      </c>
      <c r="BL155" s="198">
        <f>COUNTIFS(tbl_data[2:T3A],$A155,tbl_data[T3],$F$3)</f>
        <v>0</v>
      </c>
      <c r="BM155" s="198">
        <f>COUNTIFS(tbl_data[3:T3A],$A155,tbl_data[T3],$F$3)</f>
        <v>0</v>
      </c>
      <c r="BN155" s="198">
        <f t="shared" si="38"/>
        <v>0</v>
      </c>
      <c r="BO155" s="199" t="str">
        <f t="shared" si="39"/>
        <v>Coastal Zone Development (0)</v>
      </c>
      <c r="BQ155" t="str">
        <f t="shared" si="40"/>
        <v>Coastal Zone Development</v>
      </c>
      <c r="BR155">
        <f t="shared" si="41"/>
        <v>0</v>
      </c>
    </row>
    <row r="156" spans="1:74" x14ac:dyDescent="0.25">
      <c r="A156" s="215" t="s">
        <v>321</v>
      </c>
      <c r="B156" s="205">
        <f>COUNTIFS(tbl_data[12. Consultation Group of],$A$2,tbl_data[1:T1A],$A156,tbl_data[T1],$A$3)</f>
        <v>0</v>
      </c>
      <c r="C156" s="198">
        <f>COUNTIFS(tbl_data[12. Consultation Group of],$A$2,tbl_data[2:T1A],$A156,tbl_data[T1],$A$3)</f>
        <v>0</v>
      </c>
      <c r="D156" s="198">
        <f>COUNTIFS(tbl_data[12. Consultation Group of],$A$2,tbl_data[3:T1A],$A156,tbl_data[T1],$A$3)</f>
        <v>0</v>
      </c>
      <c r="E156" s="198">
        <f>COUNTIFS(tbl_data[12. Consultation Group of],$A$2,tbl_data[1:T2A],$A156,tbl_data[T2],$A$3)</f>
        <v>0</v>
      </c>
      <c r="F156" s="198">
        <f>COUNTIFS(tbl_data[12. Consultation Group of],$A$2,tbl_data[2:T2A],$A156,tbl_data[T2],$A$3)</f>
        <v>0</v>
      </c>
      <c r="G156" s="198">
        <f>COUNTIFS(tbl_data[12. Consultation Group of],$A$2,tbl_data[3:T2A],$A156,tbl_data[T2],$A$3)</f>
        <v>0</v>
      </c>
      <c r="H156" s="198">
        <f>COUNTIFS(tbl_data[12. Consultation Group of],$A$2,tbl_data[1:T3A],$A156,tbl_data[T3],$A$3)</f>
        <v>0</v>
      </c>
      <c r="I156" s="198">
        <f>COUNTIFS(tbl_data[12. Consultation Group of],$A$2,tbl_data[2:T3A],$A156,tbl_data[T3],$A$3)</f>
        <v>0</v>
      </c>
      <c r="J156" s="198">
        <f>COUNTIFS(tbl_data[12. Consultation Group of],$A$2,tbl_data[3:T3A],$A156,tbl_data[T3],$A$3)</f>
        <v>0</v>
      </c>
      <c r="K156" s="198">
        <f t="shared" si="28"/>
        <v>0</v>
      </c>
      <c r="L156" s="199" t="str">
        <f t="shared" si="29"/>
        <v>Coordination with government and authorities (0)</v>
      </c>
      <c r="M156" s="205">
        <f>COUNTIFS(tbl_data[12. Consultation Group of],$B$2,tbl_data[1:T1A],$A156,tbl_data[T1],$B$3)</f>
        <v>0</v>
      </c>
      <c r="N156" s="198">
        <f>COUNTIFS(tbl_data[12. Consultation Group of],$B$2,tbl_data[2:T1A],$A156,tbl_data[T1],$B$3)</f>
        <v>0</v>
      </c>
      <c r="O156" s="198">
        <f>COUNTIFS(tbl_data[12. Consultation Group of],$B$2,tbl_data[3:T1A],$A156,tbl_data[T1],$B$3)</f>
        <v>0</v>
      </c>
      <c r="P156" s="198">
        <f>COUNTIFS(tbl_data[12. Consultation Group of],$B$2,tbl_data[1:T2A],$A156,tbl_data[T2],$B$3)</f>
        <v>0</v>
      </c>
      <c r="Q156" s="198">
        <f>COUNTIFS(tbl_data[12. Consultation Group of],$B$2,tbl_data[2:T2A],$A156,tbl_data[T2],$B$3)</f>
        <v>0</v>
      </c>
      <c r="R156" s="198">
        <f>COUNTIFS(tbl_data[12. Consultation Group of],$B$2,tbl_data[3:T2A],$A156,tbl_data[T2],$B$3)</f>
        <v>0</v>
      </c>
      <c r="S156" s="198">
        <f>COUNTIFS(tbl_data[12. Consultation Group of],$B$2,tbl_data[1:T3A],$A156,tbl_data[T3],$B$3)</f>
        <v>0</v>
      </c>
      <c r="T156" s="198">
        <f>COUNTIFS(tbl_data[12. Consultation Group of],$B$2,tbl_data[2:T3A],$A156,tbl_data[T3],$B$3)</f>
        <v>0</v>
      </c>
      <c r="U156" s="198">
        <f>COUNTIFS(tbl_data[12. Consultation Group of],$B$2,tbl_data[3:T3A],$A156,tbl_data[T3],$B$3)</f>
        <v>0</v>
      </c>
      <c r="V156" s="198">
        <f t="shared" si="30"/>
        <v>0</v>
      </c>
      <c r="W156" s="199" t="str">
        <f t="shared" si="31"/>
        <v>Coordination with government and authorities (0)</v>
      </c>
      <c r="X156" s="205">
        <f>COUNTIFS(tbl_data[12. Consultation Group of],$C$2,tbl_data[1:T1A],$A156,tbl_data[T1],$C$3)</f>
        <v>0</v>
      </c>
      <c r="Y156" s="198">
        <f>COUNTIFS(tbl_data[12. Consultation Group of],$C$2,tbl_data[2:T1A],$A156,tbl_data[T1],$C$3)</f>
        <v>0</v>
      </c>
      <c r="Z156" s="198">
        <f>COUNTIFS(tbl_data[12. Consultation Group of],$C$2,tbl_data[3:T1A],$A156,tbl_data[T1],$C$3)</f>
        <v>0</v>
      </c>
      <c r="AA156" s="198">
        <f>COUNTIFS(tbl_data[12. Consultation Group of],$C$2,tbl_data[1:T2A],$A156,tbl_data[T2],$C$3)</f>
        <v>0</v>
      </c>
      <c r="AB156" s="198">
        <f>COUNTIFS(tbl_data[12. Consultation Group of],$C$2,tbl_data[2:T2A],$A156,tbl_data[T2],$C$3)</f>
        <v>0</v>
      </c>
      <c r="AC156" s="198">
        <f>COUNTIFS(tbl_data[12. Consultation Group of],$C$2,tbl_data[3:T2A],$A156,tbl_data[T2],$C$3)</f>
        <v>0</v>
      </c>
      <c r="AD156" s="198">
        <f>COUNTIFS(tbl_data[12. Consultation Group of],$C$2,tbl_data[1:T3A],$A156,tbl_data[T3],$C$3)</f>
        <v>0</v>
      </c>
      <c r="AE156" s="198">
        <f>COUNTIFS(tbl_data[12. Consultation Group of],$C$2,tbl_data[2:T3A],$A156,tbl_data[T3],$C$3)</f>
        <v>0</v>
      </c>
      <c r="AF156" s="198">
        <f>COUNTIFS(tbl_data[12. Consultation Group of],$C$2,tbl_data[3:T3A],$A156,tbl_data[T3],$C$3)</f>
        <v>0</v>
      </c>
      <c r="AG156" s="198">
        <f t="shared" si="32"/>
        <v>0</v>
      </c>
      <c r="AH156" s="199" t="str">
        <f t="shared" si="33"/>
        <v>Coordination with government and authorities (0)</v>
      </c>
      <c r="AI156" s="205">
        <f>COUNTIFS(tbl_data[12. Consultation Group of],$D$2,tbl_data[1:T1A],$A156,tbl_data[T1],$D$3)</f>
        <v>0</v>
      </c>
      <c r="AJ156" s="198">
        <f>COUNTIFS(tbl_data[12. Consultation Group of],$D$2,tbl_data[2:T1A],$A156,tbl_data[T1],$D$3)</f>
        <v>0</v>
      </c>
      <c r="AK156" s="198">
        <f>COUNTIFS(tbl_data[12. Consultation Group of],$D$2,tbl_data[3:T1A],$A156,tbl_data[T1],$D$3)</f>
        <v>0</v>
      </c>
      <c r="AL156" s="198">
        <f>COUNTIFS(tbl_data[12. Consultation Group of],$D$2,tbl_data[1:T2A],$A156,tbl_data[T2],$D$3)</f>
        <v>0</v>
      </c>
      <c r="AM156" s="198">
        <f>COUNTIFS(tbl_data[12. Consultation Group of],$D$2,tbl_data[2:T2A],$A156,tbl_data[T2],$D$3)</f>
        <v>0</v>
      </c>
      <c r="AN156" s="198">
        <f>COUNTIFS(tbl_data[12. Consultation Group of],$D$2,tbl_data[3:T2A],$A156,tbl_data[T2],$D$3)</f>
        <v>0</v>
      </c>
      <c r="AO156" s="198">
        <f>COUNTIFS(tbl_data[12. Consultation Group of],$D$2,tbl_data[1:T3A],$A156,tbl_data[T3],$D$3)</f>
        <v>0</v>
      </c>
      <c r="AP156" s="198">
        <f>COUNTIFS(tbl_data[12. Consultation Group of],$D$2,tbl_data[2:T3A],$A156,tbl_data[T3],$D$3)</f>
        <v>0</v>
      </c>
      <c r="AQ156" s="198">
        <f>COUNTIFS(tbl_data[12. Consultation Group of],$D$2,tbl_data[3:T3A],$A156,tbl_data[T3],$D$3)</f>
        <v>0</v>
      </c>
      <c r="AR156" s="198">
        <f t="shared" si="34"/>
        <v>0</v>
      </c>
      <c r="AS156" s="199" t="str">
        <f t="shared" si="35"/>
        <v>Coordination with government and authorities (0)</v>
      </c>
      <c r="AT156" s="205">
        <f>COUNTIFS(tbl_data[12. Consultation Group of],$E$2,tbl_data[1:T1A],$A156,tbl_data[T1],$E$3)</f>
        <v>0</v>
      </c>
      <c r="AU156" s="198">
        <f>COUNTIFS(tbl_data[12. Consultation Group of],$E$2,tbl_data[2:T1A],$A156,tbl_data[T1],$E$3)</f>
        <v>0</v>
      </c>
      <c r="AV156" s="198">
        <f>COUNTIFS(tbl_data[12. Consultation Group of],$E$2,tbl_data[3:T1A],$A156,tbl_data[T1],$E$3)</f>
        <v>0</v>
      </c>
      <c r="AW156" s="198">
        <f>COUNTIFS(tbl_data[12. Consultation Group of],$E$2,tbl_data[1:T2A],$A156,tbl_data[T2],$E$3)</f>
        <v>0</v>
      </c>
      <c r="AX156" s="198">
        <f>COUNTIFS(tbl_data[12. Consultation Group of],$E$2,tbl_data[2:T2A],$A156,tbl_data[T2],$E$3)</f>
        <v>0</v>
      </c>
      <c r="AY156" s="198">
        <f>COUNTIFS(tbl_data[12. Consultation Group of],$E$2,tbl_data[3:T2A],$A156,tbl_data[T2],$E$3)</f>
        <v>0</v>
      </c>
      <c r="AZ156" s="198">
        <f>COUNTIFS(tbl_data[12. Consultation Group of],$E$2,tbl_data[1:T3A],$A156,tbl_data[T3],$E$3)</f>
        <v>0</v>
      </c>
      <c r="BA156" s="198">
        <f>COUNTIFS(tbl_data[12. Consultation Group of],$E$2,tbl_data[2:T3A],$A156,tbl_data[T3],$E$3)</f>
        <v>0</v>
      </c>
      <c r="BB156" s="198">
        <f>COUNTIFS(tbl_data[12. Consultation Group of],$E$2,tbl_data[3:T3A],$A156,tbl_data[T3],$E$3)</f>
        <v>0</v>
      </c>
      <c r="BC156" s="198">
        <f t="shared" si="36"/>
        <v>0</v>
      </c>
      <c r="BD156" s="199" t="str">
        <f t="shared" si="37"/>
        <v>Coordination with government and authorities (0)</v>
      </c>
      <c r="BE156" s="205">
        <f>COUNTIFS(tbl_data[1:T1A],$A156,tbl_data[T1],$F$3)</f>
        <v>0</v>
      </c>
      <c r="BF156" s="198">
        <f>COUNTIFS(tbl_data[2:T1A],$A156,tbl_data[T1],$F$3)</f>
        <v>0</v>
      </c>
      <c r="BG156" s="198">
        <f>COUNTIFS(tbl_data[3:T1A],$A156,tbl_data[T1],$F$3)</f>
        <v>0</v>
      </c>
      <c r="BH156" s="198">
        <f>COUNTIFS(tbl_data[1:T2A],$A156,tbl_data[T2],$F$3)</f>
        <v>0</v>
      </c>
      <c r="BI156" s="198">
        <f>COUNTIFS(tbl_data[2:T2A],$A156,tbl_data[T2],$F$3)</f>
        <v>0</v>
      </c>
      <c r="BJ156" s="198">
        <f>COUNTIFS(tbl_data[3:T2A],$A156,tbl_data[T2],$F$3)</f>
        <v>0</v>
      </c>
      <c r="BK156" s="198">
        <f>COUNTIFS(tbl_data[1:T3A],$A156,tbl_data[T3],$F$3)</f>
        <v>0</v>
      </c>
      <c r="BL156" s="198">
        <f>COUNTIFS(tbl_data[2:T3A],$A156,tbl_data[T3],$F$3)</f>
        <v>0</v>
      </c>
      <c r="BM156" s="198">
        <f>COUNTIFS(tbl_data[3:T3A],$A156,tbl_data[T3],$F$3)</f>
        <v>0</v>
      </c>
      <c r="BN156" s="198">
        <f t="shared" si="38"/>
        <v>0</v>
      </c>
      <c r="BO156" s="199" t="str">
        <f t="shared" si="39"/>
        <v>Coordination with government and authorities (0)</v>
      </c>
      <c r="BQ156" t="str">
        <f t="shared" si="40"/>
        <v>Coordination with government and authorities</v>
      </c>
      <c r="BR156">
        <f t="shared" si="41"/>
        <v>0</v>
      </c>
    </row>
    <row r="157" spans="1:74" x14ac:dyDescent="0.25">
      <c r="A157" s="215" t="s">
        <v>521</v>
      </c>
      <c r="B157" s="205">
        <f>COUNTIFS(tbl_data[12. Consultation Group of],$A$2,tbl_data[1:T1A],$A157,tbl_data[T1],$A$3)</f>
        <v>0</v>
      </c>
      <c r="C157" s="198">
        <f>COUNTIFS(tbl_data[12. Consultation Group of],$A$2,tbl_data[2:T1A],$A157,tbl_data[T1],$A$3)</f>
        <v>0</v>
      </c>
      <c r="D157" s="198">
        <f>COUNTIFS(tbl_data[12. Consultation Group of],$A$2,tbl_data[3:T1A],$A157,tbl_data[T1],$A$3)</f>
        <v>0</v>
      </c>
      <c r="E157" s="198">
        <f>COUNTIFS(tbl_data[12. Consultation Group of],$A$2,tbl_data[1:T2A],$A157,tbl_data[T2],$A$3)</f>
        <v>0</v>
      </c>
      <c r="F157" s="198">
        <f>COUNTIFS(tbl_data[12. Consultation Group of],$A$2,tbl_data[2:T2A],$A157,tbl_data[T2],$A$3)</f>
        <v>0</v>
      </c>
      <c r="G157" s="198">
        <f>COUNTIFS(tbl_data[12. Consultation Group of],$A$2,tbl_data[3:T2A],$A157,tbl_data[T2],$A$3)</f>
        <v>0</v>
      </c>
      <c r="H157" s="198">
        <f>COUNTIFS(tbl_data[12. Consultation Group of],$A$2,tbl_data[1:T3A],$A157,tbl_data[T3],$A$3)</f>
        <v>0</v>
      </c>
      <c r="I157" s="198">
        <f>COUNTIFS(tbl_data[12. Consultation Group of],$A$2,tbl_data[2:T3A],$A157,tbl_data[T3],$A$3)</f>
        <v>0</v>
      </c>
      <c r="J157" s="198">
        <f>COUNTIFS(tbl_data[12. Consultation Group of],$A$2,tbl_data[3:T3A],$A157,tbl_data[T3],$A$3)</f>
        <v>0</v>
      </c>
      <c r="K157" s="198">
        <f t="shared" si="28"/>
        <v>0</v>
      </c>
      <c r="L157" s="199" t="str">
        <f t="shared" si="29"/>
        <v>Recovery of Native Seeds (0)</v>
      </c>
      <c r="M157" s="205">
        <f>COUNTIFS(tbl_data[12. Consultation Group of],$B$2,tbl_data[1:T1A],$A157,tbl_data[T1],$B$3)</f>
        <v>0</v>
      </c>
      <c r="N157" s="198">
        <f>COUNTIFS(tbl_data[12. Consultation Group of],$B$2,tbl_data[2:T1A],$A157,tbl_data[T1],$B$3)</f>
        <v>0</v>
      </c>
      <c r="O157" s="198">
        <f>COUNTIFS(tbl_data[12. Consultation Group of],$B$2,tbl_data[3:T1A],$A157,tbl_data[T1],$B$3)</f>
        <v>0</v>
      </c>
      <c r="P157" s="198">
        <f>COUNTIFS(tbl_data[12. Consultation Group of],$B$2,tbl_data[1:T2A],$A157,tbl_data[T2],$B$3)</f>
        <v>0</v>
      </c>
      <c r="Q157" s="198">
        <f>COUNTIFS(tbl_data[12. Consultation Group of],$B$2,tbl_data[2:T2A],$A157,tbl_data[T2],$B$3)</f>
        <v>0</v>
      </c>
      <c r="R157" s="198">
        <f>COUNTIFS(tbl_data[12. Consultation Group of],$B$2,tbl_data[3:T2A],$A157,tbl_data[T2],$B$3)</f>
        <v>0</v>
      </c>
      <c r="S157" s="198">
        <f>COUNTIFS(tbl_data[12. Consultation Group of],$B$2,tbl_data[1:T3A],$A157,tbl_data[T3],$B$3)</f>
        <v>0</v>
      </c>
      <c r="T157" s="198">
        <f>COUNTIFS(tbl_data[12. Consultation Group of],$B$2,tbl_data[2:T3A],$A157,tbl_data[T3],$B$3)</f>
        <v>0</v>
      </c>
      <c r="U157" s="198">
        <f>COUNTIFS(tbl_data[12. Consultation Group of],$B$2,tbl_data[3:T3A],$A157,tbl_data[T3],$B$3)</f>
        <v>0</v>
      </c>
      <c r="V157" s="198">
        <f t="shared" si="30"/>
        <v>0</v>
      </c>
      <c r="W157" s="199" t="str">
        <f t="shared" si="31"/>
        <v>Recovery of Native Seeds (0)</v>
      </c>
      <c r="X157" s="205">
        <f>COUNTIFS(tbl_data[12. Consultation Group of],$C$2,tbl_data[1:T1A],$A157,tbl_data[T1],$C$3)</f>
        <v>0</v>
      </c>
      <c r="Y157" s="198">
        <f>COUNTIFS(tbl_data[12. Consultation Group of],$C$2,tbl_data[2:T1A],$A157,tbl_data[T1],$C$3)</f>
        <v>0</v>
      </c>
      <c r="Z157" s="198">
        <f>COUNTIFS(tbl_data[12. Consultation Group of],$C$2,tbl_data[3:T1A],$A157,tbl_data[T1],$C$3)</f>
        <v>0</v>
      </c>
      <c r="AA157" s="198">
        <f>COUNTIFS(tbl_data[12. Consultation Group of],$C$2,tbl_data[1:T2A],$A157,tbl_data[T2],$C$3)</f>
        <v>0</v>
      </c>
      <c r="AB157" s="198">
        <f>COUNTIFS(tbl_data[12. Consultation Group of],$C$2,tbl_data[2:T2A],$A157,tbl_data[T2],$C$3)</f>
        <v>0</v>
      </c>
      <c r="AC157" s="198">
        <f>COUNTIFS(tbl_data[12. Consultation Group of],$C$2,tbl_data[3:T2A],$A157,tbl_data[T2],$C$3)</f>
        <v>0</v>
      </c>
      <c r="AD157" s="198">
        <f>COUNTIFS(tbl_data[12. Consultation Group of],$C$2,tbl_data[1:T3A],$A157,tbl_data[T3],$C$3)</f>
        <v>0</v>
      </c>
      <c r="AE157" s="198">
        <f>COUNTIFS(tbl_data[12. Consultation Group of],$C$2,tbl_data[2:T3A],$A157,tbl_data[T3],$C$3)</f>
        <v>0</v>
      </c>
      <c r="AF157" s="198">
        <f>COUNTIFS(tbl_data[12. Consultation Group of],$C$2,tbl_data[3:T3A],$A157,tbl_data[T3],$C$3)</f>
        <v>0</v>
      </c>
      <c r="AG157" s="198">
        <f t="shared" si="32"/>
        <v>0</v>
      </c>
      <c r="AH157" s="199" t="str">
        <f t="shared" si="33"/>
        <v>Recovery of Native Seeds (0)</v>
      </c>
      <c r="AI157" s="205">
        <f>COUNTIFS(tbl_data[12. Consultation Group of],$D$2,tbl_data[1:T1A],$A157,tbl_data[T1],$D$3)</f>
        <v>0</v>
      </c>
      <c r="AJ157" s="198">
        <f>COUNTIFS(tbl_data[12. Consultation Group of],$D$2,tbl_data[2:T1A],$A157,tbl_data[T1],$D$3)</f>
        <v>0</v>
      </c>
      <c r="AK157" s="198">
        <f>COUNTIFS(tbl_data[12. Consultation Group of],$D$2,tbl_data[3:T1A],$A157,tbl_data[T1],$D$3)</f>
        <v>0</v>
      </c>
      <c r="AL157" s="198">
        <f>COUNTIFS(tbl_data[12. Consultation Group of],$D$2,tbl_data[1:T2A],$A157,tbl_data[T2],$D$3)</f>
        <v>0</v>
      </c>
      <c r="AM157" s="198">
        <f>COUNTIFS(tbl_data[12. Consultation Group of],$D$2,tbl_data[2:T2A],$A157,tbl_data[T2],$D$3)</f>
        <v>0</v>
      </c>
      <c r="AN157" s="198">
        <f>COUNTIFS(tbl_data[12. Consultation Group of],$D$2,tbl_data[3:T2A],$A157,tbl_data[T2],$D$3)</f>
        <v>0</v>
      </c>
      <c r="AO157" s="198">
        <f>COUNTIFS(tbl_data[12. Consultation Group of],$D$2,tbl_data[1:T3A],$A157,tbl_data[T3],$D$3)</f>
        <v>0</v>
      </c>
      <c r="AP157" s="198">
        <f>COUNTIFS(tbl_data[12. Consultation Group of],$D$2,tbl_data[2:T3A],$A157,tbl_data[T3],$D$3)</f>
        <v>0</v>
      </c>
      <c r="AQ157" s="198">
        <f>COUNTIFS(tbl_data[12. Consultation Group of],$D$2,tbl_data[3:T3A],$A157,tbl_data[T3],$D$3)</f>
        <v>0</v>
      </c>
      <c r="AR157" s="198">
        <f t="shared" si="34"/>
        <v>0</v>
      </c>
      <c r="AS157" s="199" t="str">
        <f t="shared" si="35"/>
        <v>Recovery of Native Seeds (0)</v>
      </c>
      <c r="AT157" s="205">
        <f>COUNTIFS(tbl_data[12. Consultation Group of],$E$2,tbl_data[1:T1A],$A157,tbl_data[T1],$E$3)</f>
        <v>0</v>
      </c>
      <c r="AU157" s="198">
        <f>COUNTIFS(tbl_data[12. Consultation Group of],$E$2,tbl_data[2:T1A],$A157,tbl_data[T1],$E$3)</f>
        <v>0</v>
      </c>
      <c r="AV157" s="198">
        <f>COUNTIFS(tbl_data[12. Consultation Group of],$E$2,tbl_data[3:T1A],$A157,tbl_data[T1],$E$3)</f>
        <v>0</v>
      </c>
      <c r="AW157" s="198">
        <f>COUNTIFS(tbl_data[12. Consultation Group of],$E$2,tbl_data[1:T2A],$A157,tbl_data[T2],$E$3)</f>
        <v>0</v>
      </c>
      <c r="AX157" s="198">
        <f>COUNTIFS(tbl_data[12. Consultation Group of],$E$2,tbl_data[2:T2A],$A157,tbl_data[T2],$E$3)</f>
        <v>0</v>
      </c>
      <c r="AY157" s="198">
        <f>COUNTIFS(tbl_data[12. Consultation Group of],$E$2,tbl_data[3:T2A],$A157,tbl_data[T2],$E$3)</f>
        <v>0</v>
      </c>
      <c r="AZ157" s="198">
        <f>COUNTIFS(tbl_data[12. Consultation Group of],$E$2,tbl_data[1:T3A],$A157,tbl_data[T3],$E$3)</f>
        <v>0</v>
      </c>
      <c r="BA157" s="198">
        <f>COUNTIFS(tbl_data[12. Consultation Group of],$E$2,tbl_data[2:T3A],$A157,tbl_data[T3],$E$3)</f>
        <v>0</v>
      </c>
      <c r="BB157" s="198">
        <f>COUNTIFS(tbl_data[12. Consultation Group of],$E$2,tbl_data[3:T3A],$A157,tbl_data[T3],$E$3)</f>
        <v>0</v>
      </c>
      <c r="BC157" s="198">
        <f t="shared" si="36"/>
        <v>0</v>
      </c>
      <c r="BD157" s="199" t="str">
        <f t="shared" si="37"/>
        <v>Recovery of Native Seeds (0)</v>
      </c>
      <c r="BE157" s="205">
        <f>COUNTIFS(tbl_data[1:T1A],$A157,tbl_data[T1],$F$3)</f>
        <v>0</v>
      </c>
      <c r="BF157" s="198">
        <f>COUNTIFS(tbl_data[2:T1A],$A157,tbl_data[T1],$F$3)</f>
        <v>0</v>
      </c>
      <c r="BG157" s="198">
        <f>COUNTIFS(tbl_data[3:T1A],$A157,tbl_data[T1],$F$3)</f>
        <v>0</v>
      </c>
      <c r="BH157" s="198">
        <f>COUNTIFS(tbl_data[1:T2A],$A157,tbl_data[T2],$F$3)</f>
        <v>0</v>
      </c>
      <c r="BI157" s="198">
        <f>COUNTIFS(tbl_data[2:T2A],$A157,tbl_data[T2],$F$3)</f>
        <v>0</v>
      </c>
      <c r="BJ157" s="198">
        <f>COUNTIFS(tbl_data[3:T2A],$A157,tbl_data[T2],$F$3)</f>
        <v>0</v>
      </c>
      <c r="BK157" s="198">
        <f>COUNTIFS(tbl_data[1:T3A],$A157,tbl_data[T3],$F$3)</f>
        <v>0</v>
      </c>
      <c r="BL157" s="198">
        <f>COUNTIFS(tbl_data[2:T3A],$A157,tbl_data[T3],$F$3)</f>
        <v>0</v>
      </c>
      <c r="BM157" s="198">
        <f>COUNTIFS(tbl_data[3:T3A],$A157,tbl_data[T3],$F$3)</f>
        <v>0</v>
      </c>
      <c r="BN157" s="198">
        <f t="shared" si="38"/>
        <v>0</v>
      </c>
      <c r="BO157" s="199" t="str">
        <f t="shared" si="39"/>
        <v>Recovery of Native Seeds (0)</v>
      </c>
      <c r="BQ157" t="str">
        <f t="shared" si="40"/>
        <v>Recovery of Native Seeds</v>
      </c>
      <c r="BR157">
        <f t="shared" si="41"/>
        <v>0</v>
      </c>
    </row>
    <row r="158" spans="1:74" x14ac:dyDescent="0.25">
      <c r="A158" s="215" t="s">
        <v>473</v>
      </c>
      <c r="B158" s="205">
        <f>COUNTIFS(tbl_data[12. Consultation Group of],$A$2,tbl_data[1:T1A],$A158,tbl_data[T1],$A$3)</f>
        <v>0</v>
      </c>
      <c r="C158" s="198">
        <f>COUNTIFS(tbl_data[12. Consultation Group of],$A$2,tbl_data[2:T1A],$A158,tbl_data[T1],$A$3)</f>
        <v>0</v>
      </c>
      <c r="D158" s="198">
        <f>COUNTIFS(tbl_data[12. Consultation Group of],$A$2,tbl_data[3:T1A],$A158,tbl_data[T1],$A$3)</f>
        <v>0</v>
      </c>
      <c r="E158" s="198">
        <f>COUNTIFS(tbl_data[12. Consultation Group of],$A$2,tbl_data[1:T2A],$A158,tbl_data[T2],$A$3)</f>
        <v>0</v>
      </c>
      <c r="F158" s="198">
        <f>COUNTIFS(tbl_data[12. Consultation Group of],$A$2,tbl_data[2:T2A],$A158,tbl_data[T2],$A$3)</f>
        <v>0</v>
      </c>
      <c r="G158" s="198">
        <f>COUNTIFS(tbl_data[12. Consultation Group of],$A$2,tbl_data[3:T2A],$A158,tbl_data[T2],$A$3)</f>
        <v>0</v>
      </c>
      <c r="H158" s="198">
        <f>COUNTIFS(tbl_data[12. Consultation Group of],$A$2,tbl_data[1:T3A],$A158,tbl_data[T3],$A$3)</f>
        <v>0</v>
      </c>
      <c r="I158" s="198">
        <f>COUNTIFS(tbl_data[12. Consultation Group of],$A$2,tbl_data[2:T3A],$A158,tbl_data[T3],$A$3)</f>
        <v>0</v>
      </c>
      <c r="J158" s="198">
        <f>COUNTIFS(tbl_data[12. Consultation Group of],$A$2,tbl_data[3:T3A],$A158,tbl_data[T3],$A$3)</f>
        <v>0</v>
      </c>
      <c r="K158" s="198">
        <f t="shared" si="28"/>
        <v>0</v>
      </c>
      <c r="L158" s="199" t="str">
        <f t="shared" si="29"/>
        <v>Improved Waste Management (0)</v>
      </c>
      <c r="M158" s="205">
        <f>COUNTIFS(tbl_data[12. Consultation Group of],$B$2,tbl_data[1:T1A],$A158,tbl_data[T1],$B$3)</f>
        <v>0</v>
      </c>
      <c r="N158" s="198">
        <f>COUNTIFS(tbl_data[12. Consultation Group of],$B$2,tbl_data[2:T1A],$A158,tbl_data[T1],$B$3)</f>
        <v>0</v>
      </c>
      <c r="O158" s="198">
        <f>COUNTIFS(tbl_data[12. Consultation Group of],$B$2,tbl_data[3:T1A],$A158,tbl_data[T1],$B$3)</f>
        <v>0</v>
      </c>
      <c r="P158" s="198">
        <f>COUNTIFS(tbl_data[12. Consultation Group of],$B$2,tbl_data[1:T2A],$A158,tbl_data[T2],$B$3)</f>
        <v>0</v>
      </c>
      <c r="Q158" s="198">
        <f>COUNTIFS(tbl_data[12. Consultation Group of],$B$2,tbl_data[2:T2A],$A158,tbl_data[T2],$B$3)</f>
        <v>0</v>
      </c>
      <c r="R158" s="198">
        <f>COUNTIFS(tbl_data[12. Consultation Group of],$B$2,tbl_data[3:T2A],$A158,tbl_data[T2],$B$3)</f>
        <v>0</v>
      </c>
      <c r="S158" s="198">
        <f>COUNTIFS(tbl_data[12. Consultation Group of],$B$2,tbl_data[1:T3A],$A158,tbl_data[T3],$B$3)</f>
        <v>0</v>
      </c>
      <c r="T158" s="198">
        <f>COUNTIFS(tbl_data[12. Consultation Group of],$B$2,tbl_data[2:T3A],$A158,tbl_data[T3],$B$3)</f>
        <v>0</v>
      </c>
      <c r="U158" s="198">
        <f>COUNTIFS(tbl_data[12. Consultation Group of],$B$2,tbl_data[3:T3A],$A158,tbl_data[T3],$B$3)</f>
        <v>0</v>
      </c>
      <c r="V158" s="198">
        <f t="shared" si="30"/>
        <v>0</v>
      </c>
      <c r="W158" s="199" t="str">
        <f t="shared" si="31"/>
        <v>Improved Waste Management (0)</v>
      </c>
      <c r="X158" s="205">
        <f>COUNTIFS(tbl_data[12. Consultation Group of],$C$2,tbl_data[1:T1A],$A158,tbl_data[T1],$C$3)</f>
        <v>0</v>
      </c>
      <c r="Y158" s="198">
        <f>COUNTIFS(tbl_data[12. Consultation Group of],$C$2,tbl_data[2:T1A],$A158,tbl_data[T1],$C$3)</f>
        <v>0</v>
      </c>
      <c r="Z158" s="198">
        <f>COUNTIFS(tbl_data[12. Consultation Group of],$C$2,tbl_data[3:T1A],$A158,tbl_data[T1],$C$3)</f>
        <v>0</v>
      </c>
      <c r="AA158" s="198">
        <f>COUNTIFS(tbl_data[12. Consultation Group of],$C$2,tbl_data[1:T2A],$A158,tbl_data[T2],$C$3)</f>
        <v>0</v>
      </c>
      <c r="AB158" s="198">
        <f>COUNTIFS(tbl_data[12. Consultation Group of],$C$2,tbl_data[2:T2A],$A158,tbl_data[T2],$C$3)</f>
        <v>0</v>
      </c>
      <c r="AC158" s="198">
        <f>COUNTIFS(tbl_data[12. Consultation Group of],$C$2,tbl_data[3:T2A],$A158,tbl_data[T2],$C$3)</f>
        <v>0</v>
      </c>
      <c r="AD158" s="198">
        <f>COUNTIFS(tbl_data[12. Consultation Group of],$C$2,tbl_data[1:T3A],$A158,tbl_data[T3],$C$3)</f>
        <v>0</v>
      </c>
      <c r="AE158" s="198">
        <f>COUNTIFS(tbl_data[12. Consultation Group of],$C$2,tbl_data[2:T3A],$A158,tbl_data[T3],$C$3)</f>
        <v>0</v>
      </c>
      <c r="AF158" s="198">
        <f>COUNTIFS(tbl_data[12. Consultation Group of],$C$2,tbl_data[3:T3A],$A158,tbl_data[T3],$C$3)</f>
        <v>0</v>
      </c>
      <c r="AG158" s="198">
        <f t="shared" si="32"/>
        <v>0</v>
      </c>
      <c r="AH158" s="199" t="str">
        <f t="shared" si="33"/>
        <v>Improved Waste Management (0)</v>
      </c>
      <c r="AI158" s="205">
        <f>COUNTIFS(tbl_data[12. Consultation Group of],$D$2,tbl_data[1:T1A],$A158,tbl_data[T1],$D$3)</f>
        <v>0</v>
      </c>
      <c r="AJ158" s="198">
        <f>COUNTIFS(tbl_data[12. Consultation Group of],$D$2,tbl_data[2:T1A],$A158,tbl_data[T1],$D$3)</f>
        <v>0</v>
      </c>
      <c r="AK158" s="198">
        <f>COUNTIFS(tbl_data[12. Consultation Group of],$D$2,tbl_data[3:T1A],$A158,tbl_data[T1],$D$3)</f>
        <v>0</v>
      </c>
      <c r="AL158" s="198">
        <f>COUNTIFS(tbl_data[12. Consultation Group of],$D$2,tbl_data[1:T2A],$A158,tbl_data[T2],$D$3)</f>
        <v>0</v>
      </c>
      <c r="AM158" s="198">
        <f>COUNTIFS(tbl_data[12. Consultation Group of],$D$2,tbl_data[2:T2A],$A158,tbl_data[T2],$D$3)</f>
        <v>0</v>
      </c>
      <c r="AN158" s="198">
        <f>COUNTIFS(tbl_data[12. Consultation Group of],$D$2,tbl_data[3:T2A],$A158,tbl_data[T2],$D$3)</f>
        <v>0</v>
      </c>
      <c r="AO158" s="198">
        <f>COUNTIFS(tbl_data[12. Consultation Group of],$D$2,tbl_data[1:T3A],$A158,tbl_data[T3],$D$3)</f>
        <v>0</v>
      </c>
      <c r="AP158" s="198">
        <f>COUNTIFS(tbl_data[12. Consultation Group of],$D$2,tbl_data[2:T3A],$A158,tbl_data[T3],$D$3)</f>
        <v>0</v>
      </c>
      <c r="AQ158" s="198">
        <f>COUNTIFS(tbl_data[12. Consultation Group of],$D$2,tbl_data[3:T3A],$A158,tbl_data[T3],$D$3)</f>
        <v>0</v>
      </c>
      <c r="AR158" s="198">
        <f t="shared" si="34"/>
        <v>0</v>
      </c>
      <c r="AS158" s="199" t="str">
        <f t="shared" si="35"/>
        <v>Improved Waste Management (0)</v>
      </c>
      <c r="AT158" s="205">
        <f>COUNTIFS(tbl_data[12. Consultation Group of],$E$2,tbl_data[1:T1A],$A158,tbl_data[T1],$E$3)</f>
        <v>0</v>
      </c>
      <c r="AU158" s="198">
        <f>COUNTIFS(tbl_data[12. Consultation Group of],$E$2,tbl_data[2:T1A],$A158,tbl_data[T1],$E$3)</f>
        <v>0</v>
      </c>
      <c r="AV158" s="198">
        <f>COUNTIFS(tbl_data[12. Consultation Group of],$E$2,tbl_data[3:T1A],$A158,tbl_data[T1],$E$3)</f>
        <v>0</v>
      </c>
      <c r="AW158" s="198">
        <f>COUNTIFS(tbl_data[12. Consultation Group of],$E$2,tbl_data[1:T2A],$A158,tbl_data[T2],$E$3)</f>
        <v>0</v>
      </c>
      <c r="AX158" s="198">
        <f>COUNTIFS(tbl_data[12. Consultation Group of],$E$2,tbl_data[2:T2A],$A158,tbl_data[T2],$E$3)</f>
        <v>0</v>
      </c>
      <c r="AY158" s="198">
        <f>COUNTIFS(tbl_data[12. Consultation Group of],$E$2,tbl_data[3:T2A],$A158,tbl_data[T2],$E$3)</f>
        <v>0</v>
      </c>
      <c r="AZ158" s="198">
        <f>COUNTIFS(tbl_data[12. Consultation Group of],$E$2,tbl_data[1:T3A],$A158,tbl_data[T3],$E$3)</f>
        <v>0</v>
      </c>
      <c r="BA158" s="198">
        <f>COUNTIFS(tbl_data[12. Consultation Group of],$E$2,tbl_data[2:T3A],$A158,tbl_data[T3],$E$3)</f>
        <v>0</v>
      </c>
      <c r="BB158" s="198">
        <f>COUNTIFS(tbl_data[12. Consultation Group of],$E$2,tbl_data[3:T3A],$A158,tbl_data[T3],$E$3)</f>
        <v>0</v>
      </c>
      <c r="BC158" s="198">
        <f t="shared" si="36"/>
        <v>0</v>
      </c>
      <c r="BD158" s="199" t="str">
        <f t="shared" si="37"/>
        <v>Improved Waste Management (0)</v>
      </c>
      <c r="BE158" s="205">
        <f>COUNTIFS(tbl_data[1:T1A],$A158,tbl_data[T1],$F$3)</f>
        <v>0</v>
      </c>
      <c r="BF158" s="198">
        <f>COUNTIFS(tbl_data[2:T1A],$A158,tbl_data[T1],$F$3)</f>
        <v>0</v>
      </c>
      <c r="BG158" s="198">
        <f>COUNTIFS(tbl_data[3:T1A],$A158,tbl_data[T1],$F$3)</f>
        <v>0</v>
      </c>
      <c r="BH158" s="198">
        <f>COUNTIFS(tbl_data[1:T2A],$A158,tbl_data[T2],$F$3)</f>
        <v>0</v>
      </c>
      <c r="BI158" s="198">
        <f>COUNTIFS(tbl_data[2:T2A],$A158,tbl_data[T2],$F$3)</f>
        <v>0</v>
      </c>
      <c r="BJ158" s="198">
        <f>COUNTIFS(tbl_data[3:T2A],$A158,tbl_data[T2],$F$3)</f>
        <v>0</v>
      </c>
      <c r="BK158" s="198">
        <f>COUNTIFS(tbl_data[1:T3A],$A158,tbl_data[T3],$F$3)</f>
        <v>0</v>
      </c>
      <c r="BL158" s="198">
        <f>COUNTIFS(tbl_data[2:T3A],$A158,tbl_data[T3],$F$3)</f>
        <v>0</v>
      </c>
      <c r="BM158" s="198">
        <f>COUNTIFS(tbl_data[3:T3A],$A158,tbl_data[T3],$F$3)</f>
        <v>0</v>
      </c>
      <c r="BN158" s="198">
        <f t="shared" si="38"/>
        <v>0</v>
      </c>
      <c r="BO158" s="199" t="str">
        <f t="shared" si="39"/>
        <v>Improved Waste Management (0)</v>
      </c>
      <c r="BQ158" t="str">
        <f t="shared" si="40"/>
        <v>Improved Waste Management</v>
      </c>
      <c r="BR158">
        <f t="shared" si="41"/>
        <v>0</v>
      </c>
    </row>
    <row r="159" spans="1:74" x14ac:dyDescent="0.25">
      <c r="A159" s="215" t="s">
        <v>331</v>
      </c>
      <c r="B159" s="205">
        <f>COUNTIFS(tbl_data[12. Consultation Group of],$A$2,tbl_data[1:T1A],$A159,tbl_data[T1],$A$3)</f>
        <v>0</v>
      </c>
      <c r="C159" s="198">
        <f>COUNTIFS(tbl_data[12. Consultation Group of],$A$2,tbl_data[2:T1A],$A159,tbl_data[T1],$A$3)</f>
        <v>0</v>
      </c>
      <c r="D159" s="198">
        <f>COUNTIFS(tbl_data[12. Consultation Group of],$A$2,tbl_data[3:T1A],$A159,tbl_data[T1],$A$3)</f>
        <v>0</v>
      </c>
      <c r="E159" s="198">
        <f>COUNTIFS(tbl_data[12. Consultation Group of],$A$2,tbl_data[1:T2A],$A159,tbl_data[T2],$A$3)</f>
        <v>0</v>
      </c>
      <c r="F159" s="198">
        <f>COUNTIFS(tbl_data[12. Consultation Group of],$A$2,tbl_data[2:T2A],$A159,tbl_data[T2],$A$3)</f>
        <v>0</v>
      </c>
      <c r="G159" s="198">
        <f>COUNTIFS(tbl_data[12. Consultation Group of],$A$2,tbl_data[3:T2A],$A159,tbl_data[T2],$A$3)</f>
        <v>0</v>
      </c>
      <c r="H159" s="198">
        <f>COUNTIFS(tbl_data[12. Consultation Group of],$A$2,tbl_data[1:T3A],$A159,tbl_data[T3],$A$3)</f>
        <v>0</v>
      </c>
      <c r="I159" s="198">
        <f>COUNTIFS(tbl_data[12. Consultation Group of],$A$2,tbl_data[2:T3A],$A159,tbl_data[T3],$A$3)</f>
        <v>0</v>
      </c>
      <c r="J159" s="198">
        <f>COUNTIFS(tbl_data[12. Consultation Group of],$A$2,tbl_data[3:T3A],$A159,tbl_data[T3],$A$3)</f>
        <v>0</v>
      </c>
      <c r="K159" s="198">
        <f t="shared" si="28"/>
        <v>0</v>
      </c>
      <c r="L159" s="199" t="str">
        <f t="shared" si="29"/>
        <v>Ecosystem Management and Restoration (0)</v>
      </c>
      <c r="M159" s="205">
        <f>COUNTIFS(tbl_data[12. Consultation Group of],$B$2,tbl_data[1:T1A],$A159,tbl_data[T1],$B$3)</f>
        <v>0</v>
      </c>
      <c r="N159" s="198">
        <f>COUNTIFS(tbl_data[12. Consultation Group of],$B$2,tbl_data[2:T1A],$A159,tbl_data[T1],$B$3)</f>
        <v>0</v>
      </c>
      <c r="O159" s="198">
        <f>COUNTIFS(tbl_data[12. Consultation Group of],$B$2,tbl_data[3:T1A],$A159,tbl_data[T1],$B$3)</f>
        <v>0</v>
      </c>
      <c r="P159" s="198">
        <f>COUNTIFS(tbl_data[12. Consultation Group of],$B$2,tbl_data[1:T2A],$A159,tbl_data[T2],$B$3)</f>
        <v>0</v>
      </c>
      <c r="Q159" s="198">
        <f>COUNTIFS(tbl_data[12. Consultation Group of],$B$2,tbl_data[2:T2A],$A159,tbl_data[T2],$B$3)</f>
        <v>0</v>
      </c>
      <c r="R159" s="198">
        <f>COUNTIFS(tbl_data[12. Consultation Group of],$B$2,tbl_data[3:T2A],$A159,tbl_data[T2],$B$3)</f>
        <v>0</v>
      </c>
      <c r="S159" s="198">
        <f>COUNTIFS(tbl_data[12. Consultation Group of],$B$2,tbl_data[1:T3A],$A159,tbl_data[T3],$B$3)</f>
        <v>0</v>
      </c>
      <c r="T159" s="198">
        <f>COUNTIFS(tbl_data[12. Consultation Group of],$B$2,tbl_data[2:T3A],$A159,tbl_data[T3],$B$3)</f>
        <v>0</v>
      </c>
      <c r="U159" s="198">
        <f>COUNTIFS(tbl_data[12. Consultation Group of],$B$2,tbl_data[3:T3A],$A159,tbl_data[T3],$B$3)</f>
        <v>0</v>
      </c>
      <c r="V159" s="198">
        <f t="shared" si="30"/>
        <v>0</v>
      </c>
      <c r="W159" s="199" t="str">
        <f t="shared" si="31"/>
        <v>Ecosystem Management and Restoration (0)</v>
      </c>
      <c r="X159" s="205">
        <f>COUNTIFS(tbl_data[12. Consultation Group of],$C$2,tbl_data[1:T1A],$A159,tbl_data[T1],$C$3)</f>
        <v>0</v>
      </c>
      <c r="Y159" s="198">
        <f>COUNTIFS(tbl_data[12. Consultation Group of],$C$2,tbl_data[2:T1A],$A159,tbl_data[T1],$C$3)</f>
        <v>0</v>
      </c>
      <c r="Z159" s="198">
        <f>COUNTIFS(tbl_data[12. Consultation Group of],$C$2,tbl_data[3:T1A],$A159,tbl_data[T1],$C$3)</f>
        <v>0</v>
      </c>
      <c r="AA159" s="198">
        <f>COUNTIFS(tbl_data[12. Consultation Group of],$C$2,tbl_data[1:T2A],$A159,tbl_data[T2],$C$3)</f>
        <v>0</v>
      </c>
      <c r="AB159" s="198">
        <f>COUNTIFS(tbl_data[12. Consultation Group of],$C$2,tbl_data[2:T2A],$A159,tbl_data[T2],$C$3)</f>
        <v>0</v>
      </c>
      <c r="AC159" s="198">
        <f>COUNTIFS(tbl_data[12. Consultation Group of],$C$2,tbl_data[3:T2A],$A159,tbl_data[T2],$C$3)</f>
        <v>0</v>
      </c>
      <c r="AD159" s="198">
        <f>COUNTIFS(tbl_data[12. Consultation Group of],$C$2,tbl_data[1:T3A],$A159,tbl_data[T3],$C$3)</f>
        <v>0</v>
      </c>
      <c r="AE159" s="198">
        <f>COUNTIFS(tbl_data[12. Consultation Group of],$C$2,tbl_data[2:T3A],$A159,tbl_data[T3],$C$3)</f>
        <v>0</v>
      </c>
      <c r="AF159" s="198">
        <f>COUNTIFS(tbl_data[12. Consultation Group of],$C$2,tbl_data[3:T3A],$A159,tbl_data[T3],$C$3)</f>
        <v>0</v>
      </c>
      <c r="AG159" s="198">
        <f t="shared" si="32"/>
        <v>0</v>
      </c>
      <c r="AH159" s="199" t="str">
        <f t="shared" si="33"/>
        <v>Ecosystem Management and Restoration (0)</v>
      </c>
      <c r="AI159" s="205">
        <f>COUNTIFS(tbl_data[12. Consultation Group of],$D$2,tbl_data[1:T1A],$A159,tbl_data[T1],$D$3)</f>
        <v>0</v>
      </c>
      <c r="AJ159" s="198">
        <f>COUNTIFS(tbl_data[12. Consultation Group of],$D$2,tbl_data[2:T1A],$A159,tbl_data[T1],$D$3)</f>
        <v>0</v>
      </c>
      <c r="AK159" s="198">
        <f>COUNTIFS(tbl_data[12. Consultation Group of],$D$2,tbl_data[3:T1A],$A159,tbl_data[T1],$D$3)</f>
        <v>0</v>
      </c>
      <c r="AL159" s="198">
        <f>COUNTIFS(tbl_data[12. Consultation Group of],$D$2,tbl_data[1:T2A],$A159,tbl_data[T2],$D$3)</f>
        <v>0</v>
      </c>
      <c r="AM159" s="198">
        <f>COUNTIFS(tbl_data[12. Consultation Group of],$D$2,tbl_data[2:T2A],$A159,tbl_data[T2],$D$3)</f>
        <v>0</v>
      </c>
      <c r="AN159" s="198">
        <f>COUNTIFS(tbl_data[12. Consultation Group of],$D$2,tbl_data[3:T2A],$A159,tbl_data[T2],$D$3)</f>
        <v>0</v>
      </c>
      <c r="AO159" s="198">
        <f>COUNTIFS(tbl_data[12. Consultation Group of],$D$2,tbl_data[1:T3A],$A159,tbl_data[T3],$D$3)</f>
        <v>0</v>
      </c>
      <c r="AP159" s="198">
        <f>COUNTIFS(tbl_data[12. Consultation Group of],$D$2,tbl_data[2:T3A],$A159,tbl_data[T3],$D$3)</f>
        <v>0</v>
      </c>
      <c r="AQ159" s="198">
        <f>COUNTIFS(tbl_data[12. Consultation Group of],$D$2,tbl_data[3:T3A],$A159,tbl_data[T3],$D$3)</f>
        <v>0</v>
      </c>
      <c r="AR159" s="198">
        <f t="shared" si="34"/>
        <v>0</v>
      </c>
      <c r="AS159" s="199" t="str">
        <f t="shared" si="35"/>
        <v>Ecosystem Management and Restoration (0)</v>
      </c>
      <c r="AT159" s="205">
        <f>COUNTIFS(tbl_data[12. Consultation Group of],$E$2,tbl_data[1:T1A],$A159,tbl_data[T1],$E$3)</f>
        <v>0</v>
      </c>
      <c r="AU159" s="198">
        <f>COUNTIFS(tbl_data[12. Consultation Group of],$E$2,tbl_data[2:T1A],$A159,tbl_data[T1],$E$3)</f>
        <v>0</v>
      </c>
      <c r="AV159" s="198">
        <f>COUNTIFS(tbl_data[12. Consultation Group of],$E$2,tbl_data[3:T1A],$A159,tbl_data[T1],$E$3)</f>
        <v>0</v>
      </c>
      <c r="AW159" s="198">
        <f>COUNTIFS(tbl_data[12. Consultation Group of],$E$2,tbl_data[1:T2A],$A159,tbl_data[T2],$E$3)</f>
        <v>0</v>
      </c>
      <c r="AX159" s="198">
        <f>COUNTIFS(tbl_data[12. Consultation Group of],$E$2,tbl_data[2:T2A],$A159,tbl_data[T2],$E$3)</f>
        <v>0</v>
      </c>
      <c r="AY159" s="198">
        <f>COUNTIFS(tbl_data[12. Consultation Group of],$E$2,tbl_data[3:T2A],$A159,tbl_data[T2],$E$3)</f>
        <v>0</v>
      </c>
      <c r="AZ159" s="198">
        <f>COUNTIFS(tbl_data[12. Consultation Group of],$E$2,tbl_data[1:T3A],$A159,tbl_data[T3],$E$3)</f>
        <v>0</v>
      </c>
      <c r="BA159" s="198">
        <f>COUNTIFS(tbl_data[12. Consultation Group of],$E$2,tbl_data[2:T3A],$A159,tbl_data[T3],$E$3)</f>
        <v>0</v>
      </c>
      <c r="BB159" s="198">
        <f>COUNTIFS(tbl_data[12. Consultation Group of],$E$2,tbl_data[3:T3A],$A159,tbl_data[T3],$E$3)</f>
        <v>0</v>
      </c>
      <c r="BC159" s="198">
        <f t="shared" si="36"/>
        <v>0</v>
      </c>
      <c r="BD159" s="199" t="str">
        <f t="shared" si="37"/>
        <v>Ecosystem Management and Restoration (0)</v>
      </c>
      <c r="BE159" s="205">
        <f>COUNTIFS(tbl_data[1:T1A],$A159,tbl_data[T1],$F$3)</f>
        <v>0</v>
      </c>
      <c r="BF159" s="198">
        <f>COUNTIFS(tbl_data[2:T1A],$A159,tbl_data[T1],$F$3)</f>
        <v>0</v>
      </c>
      <c r="BG159" s="198">
        <f>COUNTIFS(tbl_data[3:T1A],$A159,tbl_data[T1],$F$3)</f>
        <v>0</v>
      </c>
      <c r="BH159" s="198">
        <f>COUNTIFS(tbl_data[1:T2A],$A159,tbl_data[T2],$F$3)</f>
        <v>0</v>
      </c>
      <c r="BI159" s="198">
        <f>COUNTIFS(tbl_data[2:T2A],$A159,tbl_data[T2],$F$3)</f>
        <v>0</v>
      </c>
      <c r="BJ159" s="198">
        <f>COUNTIFS(tbl_data[3:T2A],$A159,tbl_data[T2],$F$3)</f>
        <v>0</v>
      </c>
      <c r="BK159" s="198">
        <f>COUNTIFS(tbl_data[1:T3A],$A159,tbl_data[T3],$F$3)</f>
        <v>0</v>
      </c>
      <c r="BL159" s="198">
        <f>COUNTIFS(tbl_data[2:T3A],$A159,tbl_data[T3],$F$3)</f>
        <v>0</v>
      </c>
      <c r="BM159" s="198">
        <f>COUNTIFS(tbl_data[3:T3A],$A159,tbl_data[T3],$F$3)</f>
        <v>0</v>
      </c>
      <c r="BN159" s="198">
        <f t="shared" si="38"/>
        <v>0</v>
      </c>
      <c r="BO159" s="199" t="str">
        <f t="shared" si="39"/>
        <v>Ecosystem Management and Restoration (0)</v>
      </c>
      <c r="BQ159" t="str">
        <f t="shared" si="40"/>
        <v>Ecosystem Management and Restoration</v>
      </c>
      <c r="BR159">
        <f t="shared" si="41"/>
        <v>0</v>
      </c>
    </row>
    <row r="160" spans="1:74" x14ac:dyDescent="0.25">
      <c r="A160" s="215" t="s">
        <v>642</v>
      </c>
      <c r="B160" s="205">
        <f>COUNTIFS(tbl_data[12. Consultation Group of],$A$2,tbl_data[1:T1A],$A160,tbl_data[T1],$A$3)</f>
        <v>0</v>
      </c>
      <c r="C160" s="198">
        <f>COUNTIFS(tbl_data[12. Consultation Group of],$A$2,tbl_data[2:T1A],$A160,tbl_data[T1],$A$3)</f>
        <v>0</v>
      </c>
      <c r="D160" s="198">
        <f>COUNTIFS(tbl_data[12. Consultation Group of],$A$2,tbl_data[3:T1A],$A160,tbl_data[T1],$A$3)</f>
        <v>0</v>
      </c>
      <c r="E160" s="198">
        <f>COUNTIFS(tbl_data[12. Consultation Group of],$A$2,tbl_data[1:T2A],$A160,tbl_data[T2],$A$3)</f>
        <v>0</v>
      </c>
      <c r="F160" s="198">
        <f>COUNTIFS(tbl_data[12. Consultation Group of],$A$2,tbl_data[2:T2A],$A160,tbl_data[T2],$A$3)</f>
        <v>0</v>
      </c>
      <c r="G160" s="198">
        <f>COUNTIFS(tbl_data[12. Consultation Group of],$A$2,tbl_data[3:T2A],$A160,tbl_data[T2],$A$3)</f>
        <v>0</v>
      </c>
      <c r="H160" s="198">
        <f>COUNTIFS(tbl_data[12. Consultation Group of],$A$2,tbl_data[1:T3A],$A160,tbl_data[T3],$A$3)</f>
        <v>0</v>
      </c>
      <c r="I160" s="198">
        <f>COUNTIFS(tbl_data[12. Consultation Group of],$A$2,tbl_data[2:T3A],$A160,tbl_data[T3],$A$3)</f>
        <v>0</v>
      </c>
      <c r="J160" s="198">
        <f>COUNTIFS(tbl_data[12. Consultation Group of],$A$2,tbl_data[3:T3A],$A160,tbl_data[T3],$A$3)</f>
        <v>0</v>
      </c>
      <c r="K160" s="198">
        <f t="shared" si="28"/>
        <v>0</v>
      </c>
      <c r="L160" s="199" t="str">
        <f t="shared" si="29"/>
        <v>Irrigation Systems (0)</v>
      </c>
      <c r="M160" s="205">
        <f>COUNTIFS(tbl_data[12. Consultation Group of],$B$2,tbl_data[1:T1A],$A160,tbl_data[T1],$B$3)</f>
        <v>0</v>
      </c>
      <c r="N160" s="198">
        <f>COUNTIFS(tbl_data[12. Consultation Group of],$B$2,tbl_data[2:T1A],$A160,tbl_data[T1],$B$3)</f>
        <v>0</v>
      </c>
      <c r="O160" s="198">
        <f>COUNTIFS(tbl_data[12. Consultation Group of],$B$2,tbl_data[3:T1A],$A160,tbl_data[T1],$B$3)</f>
        <v>0</v>
      </c>
      <c r="P160" s="198">
        <f>COUNTIFS(tbl_data[12. Consultation Group of],$B$2,tbl_data[1:T2A],$A160,tbl_data[T2],$B$3)</f>
        <v>0</v>
      </c>
      <c r="Q160" s="198">
        <f>COUNTIFS(tbl_data[12. Consultation Group of],$B$2,tbl_data[2:T2A],$A160,tbl_data[T2],$B$3)</f>
        <v>0</v>
      </c>
      <c r="R160" s="198">
        <f>COUNTIFS(tbl_data[12. Consultation Group of],$B$2,tbl_data[3:T2A],$A160,tbl_data[T2],$B$3)</f>
        <v>0</v>
      </c>
      <c r="S160" s="198">
        <f>COUNTIFS(tbl_data[12. Consultation Group of],$B$2,tbl_data[1:T3A],$A160,tbl_data[T3],$B$3)</f>
        <v>0</v>
      </c>
      <c r="T160" s="198">
        <f>COUNTIFS(tbl_data[12. Consultation Group of],$B$2,tbl_data[2:T3A],$A160,tbl_data[T3],$B$3)</f>
        <v>0</v>
      </c>
      <c r="U160" s="198">
        <f>COUNTIFS(tbl_data[12. Consultation Group of],$B$2,tbl_data[3:T3A],$A160,tbl_data[T3],$B$3)</f>
        <v>0</v>
      </c>
      <c r="V160" s="198">
        <f t="shared" si="30"/>
        <v>0</v>
      </c>
      <c r="W160" s="199" t="str">
        <f t="shared" si="31"/>
        <v>Irrigation Systems (0)</v>
      </c>
      <c r="X160" s="205">
        <f>COUNTIFS(tbl_data[12. Consultation Group of],$C$2,tbl_data[1:T1A],$A160,tbl_data[T1],$C$3)</f>
        <v>0</v>
      </c>
      <c r="Y160" s="198">
        <f>COUNTIFS(tbl_data[12. Consultation Group of],$C$2,tbl_data[2:T1A],$A160,tbl_data[T1],$C$3)</f>
        <v>0</v>
      </c>
      <c r="Z160" s="198">
        <f>COUNTIFS(tbl_data[12. Consultation Group of],$C$2,tbl_data[3:T1A],$A160,tbl_data[T1],$C$3)</f>
        <v>0</v>
      </c>
      <c r="AA160" s="198">
        <f>COUNTIFS(tbl_data[12. Consultation Group of],$C$2,tbl_data[1:T2A],$A160,tbl_data[T2],$C$3)</f>
        <v>0</v>
      </c>
      <c r="AB160" s="198">
        <f>COUNTIFS(tbl_data[12. Consultation Group of],$C$2,tbl_data[2:T2A],$A160,tbl_data[T2],$C$3)</f>
        <v>0</v>
      </c>
      <c r="AC160" s="198">
        <f>COUNTIFS(tbl_data[12. Consultation Group of],$C$2,tbl_data[3:T2A],$A160,tbl_data[T2],$C$3)</f>
        <v>0</v>
      </c>
      <c r="AD160" s="198">
        <f>COUNTIFS(tbl_data[12. Consultation Group of],$C$2,tbl_data[1:T3A],$A160,tbl_data[T3],$C$3)</f>
        <v>0</v>
      </c>
      <c r="AE160" s="198">
        <f>COUNTIFS(tbl_data[12. Consultation Group of],$C$2,tbl_data[2:T3A],$A160,tbl_data[T3],$C$3)</f>
        <v>0</v>
      </c>
      <c r="AF160" s="198">
        <f>COUNTIFS(tbl_data[12. Consultation Group of],$C$2,tbl_data[3:T3A],$A160,tbl_data[T3],$C$3)</f>
        <v>0</v>
      </c>
      <c r="AG160" s="198">
        <f t="shared" si="32"/>
        <v>0</v>
      </c>
      <c r="AH160" s="199" t="str">
        <f t="shared" si="33"/>
        <v>Irrigation Systems (0)</v>
      </c>
      <c r="AI160" s="205">
        <f>COUNTIFS(tbl_data[12. Consultation Group of],$D$2,tbl_data[1:T1A],$A160,tbl_data[T1],$D$3)</f>
        <v>0</v>
      </c>
      <c r="AJ160" s="198">
        <f>COUNTIFS(tbl_data[12. Consultation Group of],$D$2,tbl_data[2:T1A],$A160,tbl_data[T1],$D$3)</f>
        <v>0</v>
      </c>
      <c r="AK160" s="198">
        <f>COUNTIFS(tbl_data[12. Consultation Group of],$D$2,tbl_data[3:T1A],$A160,tbl_data[T1],$D$3)</f>
        <v>0</v>
      </c>
      <c r="AL160" s="198">
        <f>COUNTIFS(tbl_data[12. Consultation Group of],$D$2,tbl_data[1:T2A],$A160,tbl_data[T2],$D$3)</f>
        <v>0</v>
      </c>
      <c r="AM160" s="198">
        <f>COUNTIFS(tbl_data[12. Consultation Group of],$D$2,tbl_data[2:T2A],$A160,tbl_data[T2],$D$3)</f>
        <v>0</v>
      </c>
      <c r="AN160" s="198">
        <f>COUNTIFS(tbl_data[12. Consultation Group of],$D$2,tbl_data[3:T2A],$A160,tbl_data[T2],$D$3)</f>
        <v>0</v>
      </c>
      <c r="AO160" s="198">
        <f>COUNTIFS(tbl_data[12. Consultation Group of],$D$2,tbl_data[1:T3A],$A160,tbl_data[T3],$D$3)</f>
        <v>0</v>
      </c>
      <c r="AP160" s="198">
        <f>COUNTIFS(tbl_data[12. Consultation Group of],$D$2,tbl_data[2:T3A],$A160,tbl_data[T3],$D$3)</f>
        <v>0</v>
      </c>
      <c r="AQ160" s="198">
        <f>COUNTIFS(tbl_data[12. Consultation Group of],$D$2,tbl_data[3:T3A],$A160,tbl_data[T3],$D$3)</f>
        <v>0</v>
      </c>
      <c r="AR160" s="198">
        <f t="shared" si="34"/>
        <v>0</v>
      </c>
      <c r="AS160" s="199" t="str">
        <f t="shared" si="35"/>
        <v>Irrigation Systems (0)</v>
      </c>
      <c r="AT160" s="205">
        <f>COUNTIFS(tbl_data[12. Consultation Group of],$E$2,tbl_data[1:T1A],$A160,tbl_data[T1],$E$3)</f>
        <v>0</v>
      </c>
      <c r="AU160" s="198">
        <f>COUNTIFS(tbl_data[12. Consultation Group of],$E$2,tbl_data[2:T1A],$A160,tbl_data[T1],$E$3)</f>
        <v>0</v>
      </c>
      <c r="AV160" s="198">
        <f>COUNTIFS(tbl_data[12. Consultation Group of],$E$2,tbl_data[3:T1A],$A160,tbl_data[T1],$E$3)</f>
        <v>0</v>
      </c>
      <c r="AW160" s="198">
        <f>COUNTIFS(tbl_data[12. Consultation Group of],$E$2,tbl_data[1:T2A],$A160,tbl_data[T2],$E$3)</f>
        <v>0</v>
      </c>
      <c r="AX160" s="198">
        <f>COUNTIFS(tbl_data[12. Consultation Group of],$E$2,tbl_data[2:T2A],$A160,tbl_data[T2],$E$3)</f>
        <v>0</v>
      </c>
      <c r="AY160" s="198">
        <f>COUNTIFS(tbl_data[12. Consultation Group of],$E$2,tbl_data[3:T2A],$A160,tbl_data[T2],$E$3)</f>
        <v>0</v>
      </c>
      <c r="AZ160" s="198">
        <f>COUNTIFS(tbl_data[12. Consultation Group of],$E$2,tbl_data[1:T3A],$A160,tbl_data[T3],$E$3)</f>
        <v>0</v>
      </c>
      <c r="BA160" s="198">
        <f>COUNTIFS(tbl_data[12. Consultation Group of],$E$2,tbl_data[2:T3A],$A160,tbl_data[T3],$E$3)</f>
        <v>0</v>
      </c>
      <c r="BB160" s="198">
        <f>COUNTIFS(tbl_data[12. Consultation Group of],$E$2,tbl_data[3:T3A],$A160,tbl_data[T3],$E$3)</f>
        <v>0</v>
      </c>
      <c r="BC160" s="198">
        <f t="shared" si="36"/>
        <v>0</v>
      </c>
      <c r="BD160" s="199" t="str">
        <f t="shared" si="37"/>
        <v>Irrigation Systems (0)</v>
      </c>
      <c r="BE160" s="205">
        <f>COUNTIFS(tbl_data[1:T1A],$A160,tbl_data[T1],$F$3)</f>
        <v>0</v>
      </c>
      <c r="BF160" s="198">
        <f>COUNTIFS(tbl_data[2:T1A],$A160,tbl_data[T1],$F$3)</f>
        <v>0</v>
      </c>
      <c r="BG160" s="198">
        <f>COUNTIFS(tbl_data[3:T1A],$A160,tbl_data[T1],$F$3)</f>
        <v>0</v>
      </c>
      <c r="BH160" s="198">
        <f>COUNTIFS(tbl_data[1:T2A],$A160,tbl_data[T2],$F$3)</f>
        <v>0</v>
      </c>
      <c r="BI160" s="198">
        <f>COUNTIFS(tbl_data[2:T2A],$A160,tbl_data[T2],$F$3)</f>
        <v>0</v>
      </c>
      <c r="BJ160" s="198">
        <f>COUNTIFS(tbl_data[3:T2A],$A160,tbl_data[T2],$F$3)</f>
        <v>0</v>
      </c>
      <c r="BK160" s="198">
        <f>COUNTIFS(tbl_data[1:T3A],$A160,tbl_data[T3],$F$3)</f>
        <v>0</v>
      </c>
      <c r="BL160" s="198">
        <f>COUNTIFS(tbl_data[2:T3A],$A160,tbl_data[T3],$F$3)</f>
        <v>0</v>
      </c>
      <c r="BM160" s="198">
        <f>COUNTIFS(tbl_data[3:T3A],$A160,tbl_data[T3],$F$3)</f>
        <v>0</v>
      </c>
      <c r="BN160" s="198">
        <f t="shared" si="38"/>
        <v>0</v>
      </c>
      <c r="BO160" s="199" t="str">
        <f t="shared" si="39"/>
        <v>Irrigation Systems (0)</v>
      </c>
      <c r="BQ160" t="str">
        <f t="shared" si="40"/>
        <v>Irrigation Systems</v>
      </c>
      <c r="BR160">
        <f t="shared" si="41"/>
        <v>0</v>
      </c>
    </row>
    <row r="161" spans="1:70" x14ac:dyDescent="0.25">
      <c r="A161" s="215" t="s">
        <v>176</v>
      </c>
      <c r="B161" s="205">
        <f>COUNTIFS(tbl_data[12. Consultation Group of],$A$2,tbl_data[1:T1A],$A161,tbl_data[T1],$A$3)</f>
        <v>0</v>
      </c>
      <c r="C161" s="198">
        <f>COUNTIFS(tbl_data[12. Consultation Group of],$A$2,tbl_data[2:T1A],$A161,tbl_data[T1],$A$3)</f>
        <v>0</v>
      </c>
      <c r="D161" s="198">
        <f>COUNTIFS(tbl_data[12. Consultation Group of],$A$2,tbl_data[3:T1A],$A161,tbl_data[T1],$A$3)</f>
        <v>0</v>
      </c>
      <c r="E161" s="198">
        <f>COUNTIFS(tbl_data[12. Consultation Group of],$A$2,tbl_data[1:T2A],$A161,tbl_data[T2],$A$3)</f>
        <v>0</v>
      </c>
      <c r="F161" s="198">
        <f>COUNTIFS(tbl_data[12. Consultation Group of],$A$2,tbl_data[2:T2A],$A161,tbl_data[T2],$A$3)</f>
        <v>0</v>
      </c>
      <c r="G161" s="198">
        <f>COUNTIFS(tbl_data[12. Consultation Group of],$A$2,tbl_data[3:T2A],$A161,tbl_data[T2],$A$3)</f>
        <v>0</v>
      </c>
      <c r="H161" s="198">
        <f>COUNTIFS(tbl_data[12. Consultation Group of],$A$2,tbl_data[1:T3A],$A161,tbl_data[T3],$A$3)</f>
        <v>0</v>
      </c>
      <c r="I161" s="198">
        <f>COUNTIFS(tbl_data[12. Consultation Group of],$A$2,tbl_data[2:T3A],$A161,tbl_data[T3],$A$3)</f>
        <v>0</v>
      </c>
      <c r="J161" s="198">
        <f>COUNTIFS(tbl_data[12. Consultation Group of],$A$2,tbl_data[3:T3A],$A161,tbl_data[T3],$A$3)</f>
        <v>0</v>
      </c>
      <c r="K161" s="198">
        <f t="shared" si="28"/>
        <v>0</v>
      </c>
      <c r="L161" s="199" t="str">
        <f t="shared" si="29"/>
        <v>Shelter Construction (0)</v>
      </c>
      <c r="M161" s="205">
        <f>COUNTIFS(tbl_data[12. Consultation Group of],$B$2,tbl_data[1:T1A],$A161,tbl_data[T1],$B$3)</f>
        <v>0</v>
      </c>
      <c r="N161" s="198">
        <f>COUNTIFS(tbl_data[12. Consultation Group of],$B$2,tbl_data[2:T1A],$A161,tbl_data[T1],$B$3)</f>
        <v>0</v>
      </c>
      <c r="O161" s="198">
        <f>COUNTIFS(tbl_data[12. Consultation Group of],$B$2,tbl_data[3:T1A],$A161,tbl_data[T1],$B$3)</f>
        <v>0</v>
      </c>
      <c r="P161" s="198">
        <f>COUNTIFS(tbl_data[12. Consultation Group of],$B$2,tbl_data[1:T2A],$A161,tbl_data[T2],$B$3)</f>
        <v>0</v>
      </c>
      <c r="Q161" s="198">
        <f>COUNTIFS(tbl_data[12. Consultation Group of],$B$2,tbl_data[2:T2A],$A161,tbl_data[T2],$B$3)</f>
        <v>0</v>
      </c>
      <c r="R161" s="198">
        <f>COUNTIFS(tbl_data[12. Consultation Group of],$B$2,tbl_data[3:T2A],$A161,tbl_data[T2],$B$3)</f>
        <v>0</v>
      </c>
      <c r="S161" s="198">
        <f>COUNTIFS(tbl_data[12. Consultation Group of],$B$2,tbl_data[1:T3A],$A161,tbl_data[T3],$B$3)</f>
        <v>0</v>
      </c>
      <c r="T161" s="198">
        <f>COUNTIFS(tbl_data[12. Consultation Group of],$B$2,tbl_data[2:T3A],$A161,tbl_data[T3],$B$3)</f>
        <v>0</v>
      </c>
      <c r="U161" s="198">
        <f>COUNTIFS(tbl_data[12. Consultation Group of],$B$2,tbl_data[3:T3A],$A161,tbl_data[T3],$B$3)</f>
        <v>0</v>
      </c>
      <c r="V161" s="198">
        <f t="shared" si="30"/>
        <v>0</v>
      </c>
      <c r="W161" s="199" t="str">
        <f t="shared" si="31"/>
        <v>Shelter Construction (0)</v>
      </c>
      <c r="X161" s="205">
        <f>COUNTIFS(tbl_data[12. Consultation Group of],$C$2,tbl_data[1:T1A],$A161,tbl_data[T1],$C$3)</f>
        <v>0</v>
      </c>
      <c r="Y161" s="198">
        <f>COUNTIFS(tbl_data[12. Consultation Group of],$C$2,tbl_data[2:T1A],$A161,tbl_data[T1],$C$3)</f>
        <v>0</v>
      </c>
      <c r="Z161" s="198">
        <f>COUNTIFS(tbl_data[12. Consultation Group of],$C$2,tbl_data[3:T1A],$A161,tbl_data[T1],$C$3)</f>
        <v>0</v>
      </c>
      <c r="AA161" s="198">
        <f>COUNTIFS(tbl_data[12. Consultation Group of],$C$2,tbl_data[1:T2A],$A161,tbl_data[T2],$C$3)</f>
        <v>0</v>
      </c>
      <c r="AB161" s="198">
        <f>COUNTIFS(tbl_data[12. Consultation Group of],$C$2,tbl_data[2:T2A],$A161,tbl_data[T2],$C$3)</f>
        <v>0</v>
      </c>
      <c r="AC161" s="198">
        <f>COUNTIFS(tbl_data[12. Consultation Group of],$C$2,tbl_data[3:T2A],$A161,tbl_data[T2],$C$3)</f>
        <v>0</v>
      </c>
      <c r="AD161" s="198">
        <f>COUNTIFS(tbl_data[12. Consultation Group of],$C$2,tbl_data[1:T3A],$A161,tbl_data[T3],$C$3)</f>
        <v>0</v>
      </c>
      <c r="AE161" s="198">
        <f>COUNTIFS(tbl_data[12. Consultation Group of],$C$2,tbl_data[2:T3A],$A161,tbl_data[T3],$C$3)</f>
        <v>0</v>
      </c>
      <c r="AF161" s="198">
        <f>COUNTIFS(tbl_data[12. Consultation Group of],$C$2,tbl_data[3:T3A],$A161,tbl_data[T3],$C$3)</f>
        <v>0</v>
      </c>
      <c r="AG161" s="198">
        <f t="shared" si="32"/>
        <v>0</v>
      </c>
      <c r="AH161" s="199" t="str">
        <f t="shared" si="33"/>
        <v>Shelter Construction (0)</v>
      </c>
      <c r="AI161" s="205">
        <f>COUNTIFS(tbl_data[12. Consultation Group of],$D$2,tbl_data[1:T1A],$A161,tbl_data[T1],$D$3)</f>
        <v>0</v>
      </c>
      <c r="AJ161" s="198">
        <f>COUNTIFS(tbl_data[12. Consultation Group of],$D$2,tbl_data[2:T1A],$A161,tbl_data[T1],$D$3)</f>
        <v>0</v>
      </c>
      <c r="AK161" s="198">
        <f>COUNTIFS(tbl_data[12. Consultation Group of],$D$2,tbl_data[3:T1A],$A161,tbl_data[T1],$D$3)</f>
        <v>0</v>
      </c>
      <c r="AL161" s="198">
        <f>COUNTIFS(tbl_data[12. Consultation Group of],$D$2,tbl_data[1:T2A],$A161,tbl_data[T2],$D$3)</f>
        <v>0</v>
      </c>
      <c r="AM161" s="198">
        <f>COUNTIFS(tbl_data[12. Consultation Group of],$D$2,tbl_data[2:T2A],$A161,tbl_data[T2],$D$3)</f>
        <v>0</v>
      </c>
      <c r="AN161" s="198">
        <f>COUNTIFS(tbl_data[12. Consultation Group of],$D$2,tbl_data[3:T2A],$A161,tbl_data[T2],$D$3)</f>
        <v>0</v>
      </c>
      <c r="AO161" s="198">
        <f>COUNTIFS(tbl_data[12. Consultation Group of],$D$2,tbl_data[1:T3A],$A161,tbl_data[T3],$D$3)</f>
        <v>0</v>
      </c>
      <c r="AP161" s="198">
        <f>COUNTIFS(tbl_data[12. Consultation Group of],$D$2,tbl_data[2:T3A],$A161,tbl_data[T3],$D$3)</f>
        <v>0</v>
      </c>
      <c r="AQ161" s="198">
        <f>COUNTIFS(tbl_data[12. Consultation Group of],$D$2,tbl_data[3:T3A],$A161,tbl_data[T3],$D$3)</f>
        <v>0</v>
      </c>
      <c r="AR161" s="198">
        <f t="shared" si="34"/>
        <v>0</v>
      </c>
      <c r="AS161" s="199" t="str">
        <f t="shared" si="35"/>
        <v>Shelter Construction (0)</v>
      </c>
      <c r="AT161" s="205">
        <f>COUNTIFS(tbl_data[12. Consultation Group of],$E$2,tbl_data[1:T1A],$A161,tbl_data[T1],$E$3)</f>
        <v>0</v>
      </c>
      <c r="AU161" s="198">
        <f>COUNTIFS(tbl_data[12. Consultation Group of],$E$2,tbl_data[2:T1A],$A161,tbl_data[T1],$E$3)</f>
        <v>0</v>
      </c>
      <c r="AV161" s="198">
        <f>COUNTIFS(tbl_data[12. Consultation Group of],$E$2,tbl_data[3:T1A],$A161,tbl_data[T1],$E$3)</f>
        <v>0</v>
      </c>
      <c r="AW161" s="198">
        <f>COUNTIFS(tbl_data[12. Consultation Group of],$E$2,tbl_data[1:T2A],$A161,tbl_data[T2],$E$3)</f>
        <v>0</v>
      </c>
      <c r="AX161" s="198">
        <f>COUNTIFS(tbl_data[12. Consultation Group of],$E$2,tbl_data[2:T2A],$A161,tbl_data[T2],$E$3)</f>
        <v>0</v>
      </c>
      <c r="AY161" s="198">
        <f>COUNTIFS(tbl_data[12. Consultation Group of],$E$2,tbl_data[3:T2A],$A161,tbl_data[T2],$E$3)</f>
        <v>0</v>
      </c>
      <c r="AZ161" s="198">
        <f>COUNTIFS(tbl_data[12. Consultation Group of],$E$2,tbl_data[1:T3A],$A161,tbl_data[T3],$E$3)</f>
        <v>0</v>
      </c>
      <c r="BA161" s="198">
        <f>COUNTIFS(tbl_data[12. Consultation Group of],$E$2,tbl_data[2:T3A],$A161,tbl_data[T3],$E$3)</f>
        <v>0</v>
      </c>
      <c r="BB161" s="198">
        <f>COUNTIFS(tbl_data[12. Consultation Group of],$E$2,tbl_data[3:T3A],$A161,tbl_data[T3],$E$3)</f>
        <v>0</v>
      </c>
      <c r="BC161" s="198">
        <f t="shared" si="36"/>
        <v>0</v>
      </c>
      <c r="BD161" s="199" t="str">
        <f t="shared" si="37"/>
        <v>Shelter Construction (0)</v>
      </c>
      <c r="BE161" s="205">
        <f>COUNTIFS(tbl_data[1:T1A],$A161,tbl_data[T1],$F$3)</f>
        <v>0</v>
      </c>
      <c r="BF161" s="198">
        <f>COUNTIFS(tbl_data[2:T1A],$A161,tbl_data[T1],$F$3)</f>
        <v>0</v>
      </c>
      <c r="BG161" s="198">
        <f>COUNTIFS(tbl_data[3:T1A],$A161,tbl_data[T1],$F$3)</f>
        <v>0</v>
      </c>
      <c r="BH161" s="198">
        <f>COUNTIFS(tbl_data[1:T2A],$A161,tbl_data[T2],$F$3)</f>
        <v>0</v>
      </c>
      <c r="BI161" s="198">
        <f>COUNTIFS(tbl_data[2:T2A],$A161,tbl_data[T2],$F$3)</f>
        <v>0</v>
      </c>
      <c r="BJ161" s="198">
        <f>COUNTIFS(tbl_data[3:T2A],$A161,tbl_data[T2],$F$3)</f>
        <v>0</v>
      </c>
      <c r="BK161" s="198">
        <f>COUNTIFS(tbl_data[1:T3A],$A161,tbl_data[T3],$F$3)</f>
        <v>0</v>
      </c>
      <c r="BL161" s="198">
        <f>COUNTIFS(tbl_data[2:T3A],$A161,tbl_data[T3],$F$3)</f>
        <v>0</v>
      </c>
      <c r="BM161" s="198">
        <f>COUNTIFS(tbl_data[3:T3A],$A161,tbl_data[T3],$F$3)</f>
        <v>0</v>
      </c>
      <c r="BN161" s="198">
        <f t="shared" si="38"/>
        <v>0</v>
      </c>
      <c r="BO161" s="199" t="str">
        <f t="shared" si="39"/>
        <v>Shelter Construction (0)</v>
      </c>
      <c r="BQ161" t="str">
        <f t="shared" si="40"/>
        <v>Shelter Construction</v>
      </c>
      <c r="BR161">
        <f t="shared" si="41"/>
        <v>0</v>
      </c>
    </row>
    <row r="162" spans="1:70" x14ac:dyDescent="0.25">
      <c r="A162" s="215" t="s">
        <v>240</v>
      </c>
      <c r="B162" s="205">
        <f>COUNTIFS(tbl_data[12. Consultation Group of],$A$2,tbl_data[1:T1A],$A162,tbl_data[T1],$A$3)</f>
        <v>0</v>
      </c>
      <c r="C162" s="198">
        <f>COUNTIFS(tbl_data[12. Consultation Group of],$A$2,tbl_data[2:T1A],$A162,tbl_data[T1],$A$3)</f>
        <v>0</v>
      </c>
      <c r="D162" s="198">
        <f>COUNTIFS(tbl_data[12. Consultation Group of],$A$2,tbl_data[3:T1A],$A162,tbl_data[T1],$A$3)</f>
        <v>0</v>
      </c>
      <c r="E162" s="198">
        <f>COUNTIFS(tbl_data[12. Consultation Group of],$A$2,tbl_data[1:T2A],$A162,tbl_data[T2],$A$3)</f>
        <v>0</v>
      </c>
      <c r="F162" s="198">
        <f>COUNTIFS(tbl_data[12. Consultation Group of],$A$2,tbl_data[2:T2A],$A162,tbl_data[T2],$A$3)</f>
        <v>0</v>
      </c>
      <c r="G162" s="198">
        <f>COUNTIFS(tbl_data[12. Consultation Group of],$A$2,tbl_data[3:T2A],$A162,tbl_data[T2],$A$3)</f>
        <v>0</v>
      </c>
      <c r="H162" s="198">
        <f>COUNTIFS(tbl_data[12. Consultation Group of],$A$2,tbl_data[1:T3A],$A162,tbl_data[T3],$A$3)</f>
        <v>0</v>
      </c>
      <c r="I162" s="198">
        <f>COUNTIFS(tbl_data[12. Consultation Group of],$A$2,tbl_data[2:T3A],$A162,tbl_data[T3],$A$3)</f>
        <v>0</v>
      </c>
      <c r="J162" s="198">
        <f>COUNTIFS(tbl_data[12. Consultation Group of],$A$2,tbl_data[3:T3A],$A162,tbl_data[T3],$A$3)</f>
        <v>0</v>
      </c>
      <c r="K162" s="198">
        <f t="shared" si="28"/>
        <v>0</v>
      </c>
      <c r="L162" s="199" t="str">
        <f t="shared" si="29"/>
        <v>Measures to Protect Vulnerable Groups (0)</v>
      </c>
      <c r="M162" s="205">
        <f>COUNTIFS(tbl_data[12. Consultation Group of],$B$2,tbl_data[1:T1A],$A162,tbl_data[T1],$B$3)</f>
        <v>0</v>
      </c>
      <c r="N162" s="198">
        <f>COUNTIFS(tbl_data[12. Consultation Group of],$B$2,tbl_data[2:T1A],$A162,tbl_data[T1],$B$3)</f>
        <v>0</v>
      </c>
      <c r="O162" s="198">
        <f>COUNTIFS(tbl_data[12. Consultation Group of],$B$2,tbl_data[3:T1A],$A162,tbl_data[T1],$B$3)</f>
        <v>0</v>
      </c>
      <c r="P162" s="198">
        <f>COUNTIFS(tbl_data[12. Consultation Group of],$B$2,tbl_data[1:T2A],$A162,tbl_data[T2],$B$3)</f>
        <v>0</v>
      </c>
      <c r="Q162" s="198">
        <f>COUNTIFS(tbl_data[12. Consultation Group of],$B$2,tbl_data[2:T2A],$A162,tbl_data[T2],$B$3)</f>
        <v>0</v>
      </c>
      <c r="R162" s="198">
        <f>COUNTIFS(tbl_data[12. Consultation Group of],$B$2,tbl_data[3:T2A],$A162,tbl_data[T2],$B$3)</f>
        <v>0</v>
      </c>
      <c r="S162" s="198">
        <f>COUNTIFS(tbl_data[12. Consultation Group of],$B$2,tbl_data[1:T3A],$A162,tbl_data[T3],$B$3)</f>
        <v>0</v>
      </c>
      <c r="T162" s="198">
        <f>COUNTIFS(tbl_data[12. Consultation Group of],$B$2,tbl_data[2:T3A],$A162,tbl_data[T3],$B$3)</f>
        <v>0</v>
      </c>
      <c r="U162" s="198">
        <f>COUNTIFS(tbl_data[12. Consultation Group of],$B$2,tbl_data[3:T3A],$A162,tbl_data[T3],$B$3)</f>
        <v>0</v>
      </c>
      <c r="V162" s="198">
        <f t="shared" si="30"/>
        <v>0</v>
      </c>
      <c r="W162" s="199" t="str">
        <f t="shared" si="31"/>
        <v>Measures to Protect Vulnerable Groups (0)</v>
      </c>
      <c r="X162" s="205">
        <f>COUNTIFS(tbl_data[12. Consultation Group of],$C$2,tbl_data[1:T1A],$A162,tbl_data[T1],$C$3)</f>
        <v>0</v>
      </c>
      <c r="Y162" s="198">
        <f>COUNTIFS(tbl_data[12. Consultation Group of],$C$2,tbl_data[2:T1A],$A162,tbl_data[T1],$C$3)</f>
        <v>0</v>
      </c>
      <c r="Z162" s="198">
        <f>COUNTIFS(tbl_data[12. Consultation Group of],$C$2,tbl_data[3:T1A],$A162,tbl_data[T1],$C$3)</f>
        <v>0</v>
      </c>
      <c r="AA162" s="198">
        <f>COUNTIFS(tbl_data[12. Consultation Group of],$C$2,tbl_data[1:T2A],$A162,tbl_data[T2],$C$3)</f>
        <v>0</v>
      </c>
      <c r="AB162" s="198">
        <f>COUNTIFS(tbl_data[12. Consultation Group of],$C$2,tbl_data[2:T2A],$A162,tbl_data[T2],$C$3)</f>
        <v>0</v>
      </c>
      <c r="AC162" s="198">
        <f>COUNTIFS(tbl_data[12. Consultation Group of],$C$2,tbl_data[3:T2A],$A162,tbl_data[T2],$C$3)</f>
        <v>0</v>
      </c>
      <c r="AD162" s="198">
        <f>COUNTIFS(tbl_data[12. Consultation Group of],$C$2,tbl_data[1:T3A],$A162,tbl_data[T3],$C$3)</f>
        <v>0</v>
      </c>
      <c r="AE162" s="198">
        <f>COUNTIFS(tbl_data[12. Consultation Group of],$C$2,tbl_data[2:T3A],$A162,tbl_data[T3],$C$3)</f>
        <v>0</v>
      </c>
      <c r="AF162" s="198">
        <f>COUNTIFS(tbl_data[12. Consultation Group of],$C$2,tbl_data[3:T3A],$A162,tbl_data[T3],$C$3)</f>
        <v>0</v>
      </c>
      <c r="AG162" s="198">
        <f t="shared" si="32"/>
        <v>0</v>
      </c>
      <c r="AH162" s="199" t="str">
        <f t="shared" si="33"/>
        <v>Measures to Protect Vulnerable Groups (0)</v>
      </c>
      <c r="AI162" s="205">
        <f>COUNTIFS(tbl_data[12. Consultation Group of],$D$2,tbl_data[1:T1A],$A162,tbl_data[T1],$D$3)</f>
        <v>0</v>
      </c>
      <c r="AJ162" s="198">
        <f>COUNTIFS(tbl_data[12. Consultation Group of],$D$2,tbl_data[2:T1A],$A162,tbl_data[T1],$D$3)</f>
        <v>0</v>
      </c>
      <c r="AK162" s="198">
        <f>COUNTIFS(tbl_data[12. Consultation Group of],$D$2,tbl_data[3:T1A],$A162,tbl_data[T1],$D$3)</f>
        <v>0</v>
      </c>
      <c r="AL162" s="198">
        <f>COUNTIFS(tbl_data[12. Consultation Group of],$D$2,tbl_data[1:T2A],$A162,tbl_data[T2],$D$3)</f>
        <v>0</v>
      </c>
      <c r="AM162" s="198">
        <f>COUNTIFS(tbl_data[12. Consultation Group of],$D$2,tbl_data[2:T2A],$A162,tbl_data[T2],$D$3)</f>
        <v>0</v>
      </c>
      <c r="AN162" s="198">
        <f>COUNTIFS(tbl_data[12. Consultation Group of],$D$2,tbl_data[3:T2A],$A162,tbl_data[T2],$D$3)</f>
        <v>0</v>
      </c>
      <c r="AO162" s="198">
        <f>COUNTIFS(tbl_data[12. Consultation Group of],$D$2,tbl_data[1:T3A],$A162,tbl_data[T3],$D$3)</f>
        <v>0</v>
      </c>
      <c r="AP162" s="198">
        <f>COUNTIFS(tbl_data[12. Consultation Group of],$D$2,tbl_data[2:T3A],$A162,tbl_data[T3],$D$3)</f>
        <v>0</v>
      </c>
      <c r="AQ162" s="198">
        <f>COUNTIFS(tbl_data[12. Consultation Group of],$D$2,tbl_data[3:T3A],$A162,tbl_data[T3],$D$3)</f>
        <v>0</v>
      </c>
      <c r="AR162" s="198">
        <f t="shared" si="34"/>
        <v>0</v>
      </c>
      <c r="AS162" s="199" t="str">
        <f t="shared" si="35"/>
        <v>Measures to Protect Vulnerable Groups (0)</v>
      </c>
      <c r="AT162" s="205">
        <f>COUNTIFS(tbl_data[12. Consultation Group of],$E$2,tbl_data[1:T1A],$A162,tbl_data[T1],$E$3)</f>
        <v>0</v>
      </c>
      <c r="AU162" s="198">
        <f>COUNTIFS(tbl_data[12. Consultation Group of],$E$2,tbl_data[2:T1A],$A162,tbl_data[T1],$E$3)</f>
        <v>0</v>
      </c>
      <c r="AV162" s="198">
        <f>COUNTIFS(tbl_data[12. Consultation Group of],$E$2,tbl_data[3:T1A],$A162,tbl_data[T1],$E$3)</f>
        <v>0</v>
      </c>
      <c r="AW162" s="198">
        <f>COUNTIFS(tbl_data[12. Consultation Group of],$E$2,tbl_data[1:T2A],$A162,tbl_data[T2],$E$3)</f>
        <v>0</v>
      </c>
      <c r="AX162" s="198">
        <f>COUNTIFS(tbl_data[12. Consultation Group of],$E$2,tbl_data[2:T2A],$A162,tbl_data[T2],$E$3)</f>
        <v>0</v>
      </c>
      <c r="AY162" s="198">
        <f>COUNTIFS(tbl_data[12. Consultation Group of],$E$2,tbl_data[3:T2A],$A162,tbl_data[T2],$E$3)</f>
        <v>0</v>
      </c>
      <c r="AZ162" s="198">
        <f>COUNTIFS(tbl_data[12. Consultation Group of],$E$2,tbl_data[1:T3A],$A162,tbl_data[T3],$E$3)</f>
        <v>0</v>
      </c>
      <c r="BA162" s="198">
        <f>COUNTIFS(tbl_data[12. Consultation Group of],$E$2,tbl_data[2:T3A],$A162,tbl_data[T3],$E$3)</f>
        <v>0</v>
      </c>
      <c r="BB162" s="198">
        <f>COUNTIFS(tbl_data[12. Consultation Group of],$E$2,tbl_data[3:T3A],$A162,tbl_data[T3],$E$3)</f>
        <v>0</v>
      </c>
      <c r="BC162" s="198">
        <f t="shared" si="36"/>
        <v>0</v>
      </c>
      <c r="BD162" s="199" t="str">
        <f t="shared" si="37"/>
        <v>Measures to Protect Vulnerable Groups (0)</v>
      </c>
      <c r="BE162" s="205">
        <f>COUNTIFS(tbl_data[1:T1A],$A162,tbl_data[T1],$F$3)</f>
        <v>0</v>
      </c>
      <c r="BF162" s="198">
        <f>COUNTIFS(tbl_data[2:T1A],$A162,tbl_data[T1],$F$3)</f>
        <v>0</v>
      </c>
      <c r="BG162" s="198">
        <f>COUNTIFS(tbl_data[3:T1A],$A162,tbl_data[T1],$F$3)</f>
        <v>0</v>
      </c>
      <c r="BH162" s="198">
        <f>COUNTIFS(tbl_data[1:T2A],$A162,tbl_data[T2],$F$3)</f>
        <v>0</v>
      </c>
      <c r="BI162" s="198">
        <f>COUNTIFS(tbl_data[2:T2A],$A162,tbl_data[T2],$F$3)</f>
        <v>0</v>
      </c>
      <c r="BJ162" s="198">
        <f>COUNTIFS(tbl_data[3:T2A],$A162,tbl_data[T2],$F$3)</f>
        <v>0</v>
      </c>
      <c r="BK162" s="198">
        <f>COUNTIFS(tbl_data[1:T3A],$A162,tbl_data[T3],$F$3)</f>
        <v>0</v>
      </c>
      <c r="BL162" s="198">
        <f>COUNTIFS(tbl_data[2:T3A],$A162,tbl_data[T3],$F$3)</f>
        <v>0</v>
      </c>
      <c r="BM162" s="198">
        <f>COUNTIFS(tbl_data[3:T3A],$A162,tbl_data[T3],$F$3)</f>
        <v>0</v>
      </c>
      <c r="BN162" s="198">
        <f t="shared" si="38"/>
        <v>0</v>
      </c>
      <c r="BO162" s="199" t="str">
        <f t="shared" si="39"/>
        <v>Measures to Protect Vulnerable Groups (0)</v>
      </c>
      <c r="BQ162" t="str">
        <f t="shared" si="40"/>
        <v>Measures to Protect Vulnerable Groups</v>
      </c>
      <c r="BR162">
        <f t="shared" si="41"/>
        <v>0</v>
      </c>
    </row>
    <row r="163" spans="1:70" x14ac:dyDescent="0.25">
      <c r="A163" s="215" t="s">
        <v>320</v>
      </c>
      <c r="B163" s="205">
        <f>COUNTIFS(tbl_data[12. Consultation Group of],$A$2,tbl_data[1:T1A],$A163,tbl_data[T1],$A$3)</f>
        <v>0</v>
      </c>
      <c r="C163" s="198">
        <f>COUNTIFS(tbl_data[12. Consultation Group of],$A$2,tbl_data[2:T1A],$A163,tbl_data[T1],$A$3)</f>
        <v>0</v>
      </c>
      <c r="D163" s="198">
        <f>COUNTIFS(tbl_data[12. Consultation Group of],$A$2,tbl_data[3:T1A],$A163,tbl_data[T1],$A$3)</f>
        <v>0</v>
      </c>
      <c r="E163" s="198">
        <f>COUNTIFS(tbl_data[12. Consultation Group of],$A$2,tbl_data[1:T2A],$A163,tbl_data[T2],$A$3)</f>
        <v>0</v>
      </c>
      <c r="F163" s="198">
        <f>COUNTIFS(tbl_data[12. Consultation Group of],$A$2,tbl_data[2:T2A],$A163,tbl_data[T2],$A$3)</f>
        <v>0</v>
      </c>
      <c r="G163" s="198">
        <f>COUNTIFS(tbl_data[12. Consultation Group of],$A$2,tbl_data[3:T2A],$A163,tbl_data[T2],$A$3)</f>
        <v>0</v>
      </c>
      <c r="H163" s="198">
        <f>COUNTIFS(tbl_data[12. Consultation Group of],$A$2,tbl_data[1:T3A],$A163,tbl_data[T3],$A$3)</f>
        <v>0</v>
      </c>
      <c r="I163" s="198">
        <f>COUNTIFS(tbl_data[12. Consultation Group of],$A$2,tbl_data[2:T3A],$A163,tbl_data[T3],$A$3)</f>
        <v>0</v>
      </c>
      <c r="J163" s="198">
        <f>COUNTIFS(tbl_data[12. Consultation Group of],$A$2,tbl_data[3:T3A],$A163,tbl_data[T3],$A$3)</f>
        <v>0</v>
      </c>
      <c r="K163" s="198">
        <f t="shared" si="28"/>
        <v>0</v>
      </c>
      <c r="L163" s="199" t="str">
        <f t="shared" si="29"/>
        <v>Business Development (0)</v>
      </c>
      <c r="M163" s="205">
        <f>COUNTIFS(tbl_data[12. Consultation Group of],$B$2,tbl_data[1:T1A],$A163,tbl_data[T1],$B$3)</f>
        <v>0</v>
      </c>
      <c r="N163" s="198">
        <f>COUNTIFS(tbl_data[12. Consultation Group of],$B$2,tbl_data[2:T1A],$A163,tbl_data[T1],$B$3)</f>
        <v>0</v>
      </c>
      <c r="O163" s="198">
        <f>COUNTIFS(tbl_data[12. Consultation Group of],$B$2,tbl_data[3:T1A],$A163,tbl_data[T1],$B$3)</f>
        <v>0</v>
      </c>
      <c r="P163" s="198">
        <f>COUNTIFS(tbl_data[12. Consultation Group of],$B$2,tbl_data[1:T2A],$A163,tbl_data[T2],$B$3)</f>
        <v>0</v>
      </c>
      <c r="Q163" s="198">
        <f>COUNTIFS(tbl_data[12. Consultation Group of],$B$2,tbl_data[2:T2A],$A163,tbl_data[T2],$B$3)</f>
        <v>0</v>
      </c>
      <c r="R163" s="198">
        <f>COUNTIFS(tbl_data[12. Consultation Group of],$B$2,tbl_data[3:T2A],$A163,tbl_data[T2],$B$3)</f>
        <v>0</v>
      </c>
      <c r="S163" s="198">
        <f>COUNTIFS(tbl_data[12. Consultation Group of],$B$2,tbl_data[1:T3A],$A163,tbl_data[T3],$B$3)</f>
        <v>0</v>
      </c>
      <c r="T163" s="198">
        <f>COUNTIFS(tbl_data[12. Consultation Group of],$B$2,tbl_data[2:T3A],$A163,tbl_data[T3],$B$3)</f>
        <v>0</v>
      </c>
      <c r="U163" s="198">
        <f>COUNTIFS(tbl_data[12. Consultation Group of],$B$2,tbl_data[3:T3A],$A163,tbl_data[T3],$B$3)</f>
        <v>0</v>
      </c>
      <c r="V163" s="198">
        <f t="shared" si="30"/>
        <v>0</v>
      </c>
      <c r="W163" s="199" t="str">
        <f t="shared" si="31"/>
        <v>Business Development (0)</v>
      </c>
      <c r="X163" s="205">
        <f>COUNTIFS(tbl_data[12. Consultation Group of],$C$2,tbl_data[1:T1A],$A163,tbl_data[T1],$C$3)</f>
        <v>0</v>
      </c>
      <c r="Y163" s="198">
        <f>COUNTIFS(tbl_data[12. Consultation Group of],$C$2,tbl_data[2:T1A],$A163,tbl_data[T1],$C$3)</f>
        <v>0</v>
      </c>
      <c r="Z163" s="198">
        <f>COUNTIFS(tbl_data[12. Consultation Group of],$C$2,tbl_data[3:T1A],$A163,tbl_data[T1],$C$3)</f>
        <v>0</v>
      </c>
      <c r="AA163" s="198">
        <f>COUNTIFS(tbl_data[12. Consultation Group of],$C$2,tbl_data[1:T2A],$A163,tbl_data[T2],$C$3)</f>
        <v>0</v>
      </c>
      <c r="AB163" s="198">
        <f>COUNTIFS(tbl_data[12. Consultation Group of],$C$2,tbl_data[2:T2A],$A163,tbl_data[T2],$C$3)</f>
        <v>0</v>
      </c>
      <c r="AC163" s="198">
        <f>COUNTIFS(tbl_data[12. Consultation Group of],$C$2,tbl_data[3:T2A],$A163,tbl_data[T2],$C$3)</f>
        <v>0</v>
      </c>
      <c r="AD163" s="198">
        <f>COUNTIFS(tbl_data[12. Consultation Group of],$C$2,tbl_data[1:T3A],$A163,tbl_data[T3],$C$3)</f>
        <v>0</v>
      </c>
      <c r="AE163" s="198">
        <f>COUNTIFS(tbl_data[12. Consultation Group of],$C$2,tbl_data[2:T3A],$A163,tbl_data[T3],$C$3)</f>
        <v>0</v>
      </c>
      <c r="AF163" s="198">
        <f>COUNTIFS(tbl_data[12. Consultation Group of],$C$2,tbl_data[3:T3A],$A163,tbl_data[T3],$C$3)</f>
        <v>0</v>
      </c>
      <c r="AG163" s="198">
        <f t="shared" si="32"/>
        <v>0</v>
      </c>
      <c r="AH163" s="199" t="str">
        <f t="shared" si="33"/>
        <v>Business Development (0)</v>
      </c>
      <c r="AI163" s="205">
        <f>COUNTIFS(tbl_data[12. Consultation Group of],$D$2,tbl_data[1:T1A],$A163,tbl_data[T1],$D$3)</f>
        <v>0</v>
      </c>
      <c r="AJ163" s="198">
        <f>COUNTIFS(tbl_data[12. Consultation Group of],$D$2,tbl_data[2:T1A],$A163,tbl_data[T1],$D$3)</f>
        <v>0</v>
      </c>
      <c r="AK163" s="198">
        <f>COUNTIFS(tbl_data[12. Consultation Group of],$D$2,tbl_data[3:T1A],$A163,tbl_data[T1],$D$3)</f>
        <v>0</v>
      </c>
      <c r="AL163" s="198">
        <f>COUNTIFS(tbl_data[12. Consultation Group of],$D$2,tbl_data[1:T2A],$A163,tbl_data[T2],$D$3)</f>
        <v>0</v>
      </c>
      <c r="AM163" s="198">
        <f>COUNTIFS(tbl_data[12. Consultation Group of],$D$2,tbl_data[2:T2A],$A163,tbl_data[T2],$D$3)</f>
        <v>0</v>
      </c>
      <c r="AN163" s="198">
        <f>COUNTIFS(tbl_data[12. Consultation Group of],$D$2,tbl_data[3:T2A],$A163,tbl_data[T2],$D$3)</f>
        <v>0</v>
      </c>
      <c r="AO163" s="198">
        <f>COUNTIFS(tbl_data[12. Consultation Group of],$D$2,tbl_data[1:T3A],$A163,tbl_data[T3],$D$3)</f>
        <v>0</v>
      </c>
      <c r="AP163" s="198">
        <f>COUNTIFS(tbl_data[12. Consultation Group of],$D$2,tbl_data[2:T3A],$A163,tbl_data[T3],$D$3)</f>
        <v>0</v>
      </c>
      <c r="AQ163" s="198">
        <f>COUNTIFS(tbl_data[12. Consultation Group of],$D$2,tbl_data[3:T3A],$A163,tbl_data[T3],$D$3)</f>
        <v>0</v>
      </c>
      <c r="AR163" s="198">
        <f t="shared" si="34"/>
        <v>0</v>
      </c>
      <c r="AS163" s="199" t="str">
        <f t="shared" si="35"/>
        <v>Business Development (0)</v>
      </c>
      <c r="AT163" s="205">
        <f>COUNTIFS(tbl_data[12. Consultation Group of],$E$2,tbl_data[1:T1A],$A163,tbl_data[T1],$E$3)</f>
        <v>0</v>
      </c>
      <c r="AU163" s="198">
        <f>COUNTIFS(tbl_data[12. Consultation Group of],$E$2,tbl_data[2:T1A],$A163,tbl_data[T1],$E$3)</f>
        <v>0</v>
      </c>
      <c r="AV163" s="198">
        <f>COUNTIFS(tbl_data[12. Consultation Group of],$E$2,tbl_data[3:T1A],$A163,tbl_data[T1],$E$3)</f>
        <v>0</v>
      </c>
      <c r="AW163" s="198">
        <f>COUNTIFS(tbl_data[12. Consultation Group of],$E$2,tbl_data[1:T2A],$A163,tbl_data[T2],$E$3)</f>
        <v>0</v>
      </c>
      <c r="AX163" s="198">
        <f>COUNTIFS(tbl_data[12. Consultation Group of],$E$2,tbl_data[2:T2A],$A163,tbl_data[T2],$E$3)</f>
        <v>0</v>
      </c>
      <c r="AY163" s="198">
        <f>COUNTIFS(tbl_data[12. Consultation Group of],$E$2,tbl_data[3:T2A],$A163,tbl_data[T2],$E$3)</f>
        <v>0</v>
      </c>
      <c r="AZ163" s="198">
        <f>COUNTIFS(tbl_data[12. Consultation Group of],$E$2,tbl_data[1:T3A],$A163,tbl_data[T3],$E$3)</f>
        <v>0</v>
      </c>
      <c r="BA163" s="198">
        <f>COUNTIFS(tbl_data[12. Consultation Group of],$E$2,tbl_data[2:T3A],$A163,tbl_data[T3],$E$3)</f>
        <v>0</v>
      </c>
      <c r="BB163" s="198">
        <f>COUNTIFS(tbl_data[12. Consultation Group of],$E$2,tbl_data[3:T3A],$A163,tbl_data[T3],$E$3)</f>
        <v>0</v>
      </c>
      <c r="BC163" s="198">
        <f t="shared" si="36"/>
        <v>0</v>
      </c>
      <c r="BD163" s="199" t="str">
        <f t="shared" si="37"/>
        <v>Business Development (0)</v>
      </c>
      <c r="BE163" s="205">
        <f>COUNTIFS(tbl_data[1:T1A],$A163,tbl_data[T1],$F$3)</f>
        <v>0</v>
      </c>
      <c r="BF163" s="198">
        <f>COUNTIFS(tbl_data[2:T1A],$A163,tbl_data[T1],$F$3)</f>
        <v>0</v>
      </c>
      <c r="BG163" s="198">
        <f>COUNTIFS(tbl_data[3:T1A],$A163,tbl_data[T1],$F$3)</f>
        <v>0</v>
      </c>
      <c r="BH163" s="198">
        <f>COUNTIFS(tbl_data[1:T2A],$A163,tbl_data[T2],$F$3)</f>
        <v>0</v>
      </c>
      <c r="BI163" s="198">
        <f>COUNTIFS(tbl_data[2:T2A],$A163,tbl_data[T2],$F$3)</f>
        <v>0</v>
      </c>
      <c r="BJ163" s="198">
        <f>COUNTIFS(tbl_data[3:T2A],$A163,tbl_data[T2],$F$3)</f>
        <v>0</v>
      </c>
      <c r="BK163" s="198">
        <f>COUNTIFS(tbl_data[1:T3A],$A163,tbl_data[T3],$F$3)</f>
        <v>0</v>
      </c>
      <c r="BL163" s="198">
        <f>COUNTIFS(tbl_data[2:T3A],$A163,tbl_data[T3],$F$3)</f>
        <v>0</v>
      </c>
      <c r="BM163" s="198">
        <f>COUNTIFS(tbl_data[3:T3A],$A163,tbl_data[T3],$F$3)</f>
        <v>0</v>
      </c>
      <c r="BN163" s="198">
        <f t="shared" si="38"/>
        <v>0</v>
      </c>
      <c r="BO163" s="199" t="str">
        <f t="shared" si="39"/>
        <v>Business Development (0)</v>
      </c>
      <c r="BQ163" t="str">
        <f t="shared" si="40"/>
        <v>Business Development</v>
      </c>
      <c r="BR163">
        <f t="shared" si="41"/>
        <v>0</v>
      </c>
    </row>
    <row r="164" spans="1:70" x14ac:dyDescent="0.25">
      <c r="A164" s="215" t="s">
        <v>539</v>
      </c>
      <c r="B164" s="205">
        <f>COUNTIFS(tbl_data[12. Consultation Group of],$A$2,tbl_data[1:T1A],$A164,tbl_data[T1],$A$3)</f>
        <v>0</v>
      </c>
      <c r="C164" s="198">
        <f>COUNTIFS(tbl_data[12. Consultation Group of],$A$2,tbl_data[2:T1A],$A164,tbl_data[T1],$A$3)</f>
        <v>0</v>
      </c>
      <c r="D164" s="198">
        <f>COUNTIFS(tbl_data[12. Consultation Group of],$A$2,tbl_data[3:T1A],$A164,tbl_data[T1],$A$3)</f>
        <v>0</v>
      </c>
      <c r="E164" s="198">
        <f>COUNTIFS(tbl_data[12. Consultation Group of],$A$2,tbl_data[1:T2A],$A164,tbl_data[T2],$A$3)</f>
        <v>0</v>
      </c>
      <c r="F164" s="198">
        <f>COUNTIFS(tbl_data[12. Consultation Group of],$A$2,tbl_data[2:T2A],$A164,tbl_data[T2],$A$3)</f>
        <v>0</v>
      </c>
      <c r="G164" s="198">
        <f>COUNTIFS(tbl_data[12. Consultation Group of],$A$2,tbl_data[3:T2A],$A164,tbl_data[T2],$A$3)</f>
        <v>0</v>
      </c>
      <c r="H164" s="198">
        <f>COUNTIFS(tbl_data[12. Consultation Group of],$A$2,tbl_data[1:T3A],$A164,tbl_data[T3],$A$3)</f>
        <v>0</v>
      </c>
      <c r="I164" s="198">
        <f>COUNTIFS(tbl_data[12. Consultation Group of],$A$2,tbl_data[2:T3A],$A164,tbl_data[T3],$A$3)</f>
        <v>0</v>
      </c>
      <c r="J164" s="198">
        <f>COUNTIFS(tbl_data[12. Consultation Group of],$A$2,tbl_data[3:T3A],$A164,tbl_data[T3],$A$3)</f>
        <v>0</v>
      </c>
      <c r="K164" s="198">
        <f t="shared" si="28"/>
        <v>0</v>
      </c>
      <c r="L164" s="199" t="str">
        <f t="shared" si="29"/>
        <v>Child Protection (0)</v>
      </c>
      <c r="M164" s="205">
        <f>COUNTIFS(tbl_data[12. Consultation Group of],$B$2,tbl_data[1:T1A],$A164,tbl_data[T1],$B$3)</f>
        <v>0</v>
      </c>
      <c r="N164" s="198">
        <f>COUNTIFS(tbl_data[12. Consultation Group of],$B$2,tbl_data[2:T1A],$A164,tbl_data[T1],$B$3)</f>
        <v>0</v>
      </c>
      <c r="O164" s="198">
        <f>COUNTIFS(tbl_data[12. Consultation Group of],$B$2,tbl_data[3:T1A],$A164,tbl_data[T1],$B$3)</f>
        <v>0</v>
      </c>
      <c r="P164" s="198">
        <f>COUNTIFS(tbl_data[12. Consultation Group of],$B$2,tbl_data[1:T2A],$A164,tbl_data[T2],$B$3)</f>
        <v>0</v>
      </c>
      <c r="Q164" s="198">
        <f>COUNTIFS(tbl_data[12. Consultation Group of],$B$2,tbl_data[2:T2A],$A164,tbl_data[T2],$B$3)</f>
        <v>0</v>
      </c>
      <c r="R164" s="198">
        <f>COUNTIFS(tbl_data[12. Consultation Group of],$B$2,tbl_data[3:T2A],$A164,tbl_data[T2],$B$3)</f>
        <v>0</v>
      </c>
      <c r="S164" s="198">
        <f>COUNTIFS(tbl_data[12. Consultation Group of],$B$2,tbl_data[1:T3A],$A164,tbl_data[T3],$B$3)</f>
        <v>0</v>
      </c>
      <c r="T164" s="198">
        <f>COUNTIFS(tbl_data[12. Consultation Group of],$B$2,tbl_data[2:T3A],$A164,tbl_data[T3],$B$3)</f>
        <v>0</v>
      </c>
      <c r="U164" s="198">
        <f>COUNTIFS(tbl_data[12. Consultation Group of],$B$2,tbl_data[3:T3A],$A164,tbl_data[T3],$B$3)</f>
        <v>0</v>
      </c>
      <c r="V164" s="198">
        <f t="shared" si="30"/>
        <v>0</v>
      </c>
      <c r="W164" s="199" t="str">
        <f t="shared" si="31"/>
        <v>Child Protection (0)</v>
      </c>
      <c r="X164" s="205">
        <f>COUNTIFS(tbl_data[12. Consultation Group of],$C$2,tbl_data[1:T1A],$A164,tbl_data[T1],$C$3)</f>
        <v>0</v>
      </c>
      <c r="Y164" s="198">
        <f>COUNTIFS(tbl_data[12. Consultation Group of],$C$2,tbl_data[2:T1A],$A164,tbl_data[T1],$C$3)</f>
        <v>0</v>
      </c>
      <c r="Z164" s="198">
        <f>COUNTIFS(tbl_data[12. Consultation Group of],$C$2,tbl_data[3:T1A],$A164,tbl_data[T1],$C$3)</f>
        <v>0</v>
      </c>
      <c r="AA164" s="198">
        <f>COUNTIFS(tbl_data[12. Consultation Group of],$C$2,tbl_data[1:T2A],$A164,tbl_data[T2],$C$3)</f>
        <v>0</v>
      </c>
      <c r="AB164" s="198">
        <f>COUNTIFS(tbl_data[12. Consultation Group of],$C$2,tbl_data[2:T2A],$A164,tbl_data[T2],$C$3)</f>
        <v>0</v>
      </c>
      <c r="AC164" s="198">
        <f>COUNTIFS(tbl_data[12. Consultation Group of],$C$2,tbl_data[3:T2A],$A164,tbl_data[T2],$C$3)</f>
        <v>0</v>
      </c>
      <c r="AD164" s="198">
        <f>COUNTIFS(tbl_data[12. Consultation Group of],$C$2,tbl_data[1:T3A],$A164,tbl_data[T3],$C$3)</f>
        <v>0</v>
      </c>
      <c r="AE164" s="198">
        <f>COUNTIFS(tbl_data[12. Consultation Group of],$C$2,tbl_data[2:T3A],$A164,tbl_data[T3],$C$3)</f>
        <v>0</v>
      </c>
      <c r="AF164" s="198">
        <f>COUNTIFS(tbl_data[12. Consultation Group of],$C$2,tbl_data[3:T3A],$A164,tbl_data[T3],$C$3)</f>
        <v>0</v>
      </c>
      <c r="AG164" s="198">
        <f t="shared" si="32"/>
        <v>0</v>
      </c>
      <c r="AH164" s="199" t="str">
        <f t="shared" si="33"/>
        <v>Child Protection (0)</v>
      </c>
      <c r="AI164" s="205">
        <f>COUNTIFS(tbl_data[12. Consultation Group of],$D$2,tbl_data[1:T1A],$A164,tbl_data[T1],$D$3)</f>
        <v>0</v>
      </c>
      <c r="AJ164" s="198">
        <f>COUNTIFS(tbl_data[12. Consultation Group of],$D$2,tbl_data[2:T1A],$A164,tbl_data[T1],$D$3)</f>
        <v>0</v>
      </c>
      <c r="AK164" s="198">
        <f>COUNTIFS(tbl_data[12. Consultation Group of],$D$2,tbl_data[3:T1A],$A164,tbl_data[T1],$D$3)</f>
        <v>0</v>
      </c>
      <c r="AL164" s="198">
        <f>COUNTIFS(tbl_data[12. Consultation Group of],$D$2,tbl_data[1:T2A],$A164,tbl_data[T2],$D$3)</f>
        <v>0</v>
      </c>
      <c r="AM164" s="198">
        <f>COUNTIFS(tbl_data[12. Consultation Group of],$D$2,tbl_data[2:T2A],$A164,tbl_data[T2],$D$3)</f>
        <v>0</v>
      </c>
      <c r="AN164" s="198">
        <f>COUNTIFS(tbl_data[12. Consultation Group of],$D$2,tbl_data[3:T2A],$A164,tbl_data[T2],$D$3)</f>
        <v>0</v>
      </c>
      <c r="AO164" s="198">
        <f>COUNTIFS(tbl_data[12. Consultation Group of],$D$2,tbl_data[1:T3A],$A164,tbl_data[T3],$D$3)</f>
        <v>0</v>
      </c>
      <c r="AP164" s="198">
        <f>COUNTIFS(tbl_data[12. Consultation Group of],$D$2,tbl_data[2:T3A],$A164,tbl_data[T3],$D$3)</f>
        <v>0</v>
      </c>
      <c r="AQ164" s="198">
        <f>COUNTIFS(tbl_data[12. Consultation Group of],$D$2,tbl_data[3:T3A],$A164,tbl_data[T3],$D$3)</f>
        <v>0</v>
      </c>
      <c r="AR164" s="198">
        <f t="shared" si="34"/>
        <v>0</v>
      </c>
      <c r="AS164" s="199" t="str">
        <f t="shared" si="35"/>
        <v>Child Protection (0)</v>
      </c>
      <c r="AT164" s="205">
        <f>COUNTIFS(tbl_data[12. Consultation Group of],$E$2,tbl_data[1:T1A],$A164,tbl_data[T1],$E$3)</f>
        <v>0</v>
      </c>
      <c r="AU164" s="198">
        <f>COUNTIFS(tbl_data[12. Consultation Group of],$E$2,tbl_data[2:T1A],$A164,tbl_data[T1],$E$3)</f>
        <v>0</v>
      </c>
      <c r="AV164" s="198">
        <f>COUNTIFS(tbl_data[12. Consultation Group of],$E$2,tbl_data[3:T1A],$A164,tbl_data[T1],$E$3)</f>
        <v>0</v>
      </c>
      <c r="AW164" s="198">
        <f>COUNTIFS(tbl_data[12. Consultation Group of],$E$2,tbl_data[1:T2A],$A164,tbl_data[T2],$E$3)</f>
        <v>0</v>
      </c>
      <c r="AX164" s="198">
        <f>COUNTIFS(tbl_data[12. Consultation Group of],$E$2,tbl_data[2:T2A],$A164,tbl_data[T2],$E$3)</f>
        <v>0</v>
      </c>
      <c r="AY164" s="198">
        <f>COUNTIFS(tbl_data[12. Consultation Group of],$E$2,tbl_data[3:T2A],$A164,tbl_data[T2],$E$3)</f>
        <v>0</v>
      </c>
      <c r="AZ164" s="198">
        <f>COUNTIFS(tbl_data[12. Consultation Group of],$E$2,tbl_data[1:T3A],$A164,tbl_data[T3],$E$3)</f>
        <v>0</v>
      </c>
      <c r="BA164" s="198">
        <f>COUNTIFS(tbl_data[12. Consultation Group of],$E$2,tbl_data[2:T3A],$A164,tbl_data[T3],$E$3)</f>
        <v>0</v>
      </c>
      <c r="BB164" s="198">
        <f>COUNTIFS(tbl_data[12. Consultation Group of],$E$2,tbl_data[3:T3A],$A164,tbl_data[T3],$E$3)</f>
        <v>0</v>
      </c>
      <c r="BC164" s="198">
        <f t="shared" si="36"/>
        <v>0</v>
      </c>
      <c r="BD164" s="199" t="str">
        <f t="shared" si="37"/>
        <v>Child Protection (0)</v>
      </c>
      <c r="BE164" s="205">
        <f>COUNTIFS(tbl_data[1:T1A],$A164,tbl_data[T1],$F$3)</f>
        <v>0</v>
      </c>
      <c r="BF164" s="198">
        <f>COUNTIFS(tbl_data[2:T1A],$A164,tbl_data[T1],$F$3)</f>
        <v>0</v>
      </c>
      <c r="BG164" s="198">
        <f>COUNTIFS(tbl_data[3:T1A],$A164,tbl_data[T1],$F$3)</f>
        <v>0</v>
      </c>
      <c r="BH164" s="198">
        <f>COUNTIFS(tbl_data[1:T2A],$A164,tbl_data[T2],$F$3)</f>
        <v>0</v>
      </c>
      <c r="BI164" s="198">
        <f>COUNTIFS(tbl_data[2:T2A],$A164,tbl_data[T2],$F$3)</f>
        <v>0</v>
      </c>
      <c r="BJ164" s="198">
        <f>COUNTIFS(tbl_data[3:T2A],$A164,tbl_data[T2],$F$3)</f>
        <v>0</v>
      </c>
      <c r="BK164" s="198">
        <f>COUNTIFS(tbl_data[1:T3A],$A164,tbl_data[T3],$F$3)</f>
        <v>0</v>
      </c>
      <c r="BL164" s="198">
        <f>COUNTIFS(tbl_data[2:T3A],$A164,tbl_data[T3],$F$3)</f>
        <v>0</v>
      </c>
      <c r="BM164" s="198">
        <f>COUNTIFS(tbl_data[3:T3A],$A164,tbl_data[T3],$F$3)</f>
        <v>0</v>
      </c>
      <c r="BN164" s="198">
        <f t="shared" si="38"/>
        <v>0</v>
      </c>
      <c r="BO164" s="199" t="str">
        <f t="shared" si="39"/>
        <v>Child Protection (0)</v>
      </c>
      <c r="BQ164" t="str">
        <f t="shared" si="40"/>
        <v>Child Protection</v>
      </c>
      <c r="BR164">
        <f t="shared" si="41"/>
        <v>0</v>
      </c>
    </row>
    <row r="165" spans="1:70" x14ac:dyDescent="0.25">
      <c r="A165" s="215" t="s">
        <v>553</v>
      </c>
      <c r="B165" s="205">
        <f>COUNTIFS(tbl_data[12. Consultation Group of],$A$2,tbl_data[1:T1A],$A165,tbl_data[T1],$A$3)</f>
        <v>0</v>
      </c>
      <c r="C165" s="198">
        <f>COUNTIFS(tbl_data[12. Consultation Group of],$A$2,tbl_data[2:T1A],$A165,tbl_data[T1],$A$3)</f>
        <v>0</v>
      </c>
      <c r="D165" s="198">
        <f>COUNTIFS(tbl_data[12. Consultation Group of],$A$2,tbl_data[3:T1A],$A165,tbl_data[T1],$A$3)</f>
        <v>0</v>
      </c>
      <c r="E165" s="198">
        <f>COUNTIFS(tbl_data[12. Consultation Group of],$A$2,tbl_data[1:T2A],$A165,tbl_data[T2],$A$3)</f>
        <v>0</v>
      </c>
      <c r="F165" s="198">
        <f>COUNTIFS(tbl_data[12. Consultation Group of],$A$2,tbl_data[2:T2A],$A165,tbl_data[T2],$A$3)</f>
        <v>0</v>
      </c>
      <c r="G165" s="198">
        <f>COUNTIFS(tbl_data[12. Consultation Group of],$A$2,tbl_data[3:T2A],$A165,tbl_data[T2],$A$3)</f>
        <v>0</v>
      </c>
      <c r="H165" s="198">
        <f>COUNTIFS(tbl_data[12. Consultation Group of],$A$2,tbl_data[1:T3A],$A165,tbl_data[T3],$A$3)</f>
        <v>0</v>
      </c>
      <c r="I165" s="198">
        <f>COUNTIFS(tbl_data[12. Consultation Group of],$A$2,tbl_data[2:T3A],$A165,tbl_data[T3],$A$3)</f>
        <v>0</v>
      </c>
      <c r="J165" s="198">
        <f>COUNTIFS(tbl_data[12. Consultation Group of],$A$2,tbl_data[3:T3A],$A165,tbl_data[T3],$A$3)</f>
        <v>0</v>
      </c>
      <c r="K165" s="198">
        <f t="shared" si="28"/>
        <v>0</v>
      </c>
      <c r="L165" s="199" t="str">
        <f t="shared" si="29"/>
        <v>Resilient Agricultural Techniques (0)</v>
      </c>
      <c r="M165" s="205">
        <f>COUNTIFS(tbl_data[12. Consultation Group of],$B$2,tbl_data[1:T1A],$A165,tbl_data[T1],$B$3)</f>
        <v>0</v>
      </c>
      <c r="N165" s="198">
        <f>COUNTIFS(tbl_data[12. Consultation Group of],$B$2,tbl_data[2:T1A],$A165,tbl_data[T1],$B$3)</f>
        <v>0</v>
      </c>
      <c r="O165" s="198">
        <f>COUNTIFS(tbl_data[12. Consultation Group of],$B$2,tbl_data[3:T1A],$A165,tbl_data[T1],$B$3)</f>
        <v>0</v>
      </c>
      <c r="P165" s="198">
        <f>COUNTIFS(tbl_data[12. Consultation Group of],$B$2,tbl_data[1:T2A],$A165,tbl_data[T2],$B$3)</f>
        <v>0</v>
      </c>
      <c r="Q165" s="198">
        <f>COUNTIFS(tbl_data[12. Consultation Group of],$B$2,tbl_data[2:T2A],$A165,tbl_data[T2],$B$3)</f>
        <v>0</v>
      </c>
      <c r="R165" s="198">
        <f>COUNTIFS(tbl_data[12. Consultation Group of],$B$2,tbl_data[3:T2A],$A165,tbl_data[T2],$B$3)</f>
        <v>0</v>
      </c>
      <c r="S165" s="198">
        <f>COUNTIFS(tbl_data[12. Consultation Group of],$B$2,tbl_data[1:T3A],$A165,tbl_data[T3],$B$3)</f>
        <v>0</v>
      </c>
      <c r="T165" s="198">
        <f>COUNTIFS(tbl_data[12. Consultation Group of],$B$2,tbl_data[2:T3A],$A165,tbl_data[T3],$B$3)</f>
        <v>0</v>
      </c>
      <c r="U165" s="198">
        <f>COUNTIFS(tbl_data[12. Consultation Group of],$B$2,tbl_data[3:T3A],$A165,tbl_data[T3],$B$3)</f>
        <v>0</v>
      </c>
      <c r="V165" s="198">
        <f t="shared" si="30"/>
        <v>0</v>
      </c>
      <c r="W165" s="199" t="str">
        <f t="shared" si="31"/>
        <v>Resilient Agricultural Techniques (0)</v>
      </c>
      <c r="X165" s="205">
        <f>COUNTIFS(tbl_data[12. Consultation Group of],$C$2,tbl_data[1:T1A],$A165,tbl_data[T1],$C$3)</f>
        <v>0</v>
      </c>
      <c r="Y165" s="198">
        <f>COUNTIFS(tbl_data[12. Consultation Group of],$C$2,tbl_data[2:T1A],$A165,tbl_data[T1],$C$3)</f>
        <v>0</v>
      </c>
      <c r="Z165" s="198">
        <f>COUNTIFS(tbl_data[12. Consultation Group of],$C$2,tbl_data[3:T1A],$A165,tbl_data[T1],$C$3)</f>
        <v>0</v>
      </c>
      <c r="AA165" s="198">
        <f>COUNTIFS(tbl_data[12. Consultation Group of],$C$2,tbl_data[1:T2A],$A165,tbl_data[T2],$C$3)</f>
        <v>0</v>
      </c>
      <c r="AB165" s="198">
        <f>COUNTIFS(tbl_data[12. Consultation Group of],$C$2,tbl_data[2:T2A],$A165,tbl_data[T2],$C$3)</f>
        <v>0</v>
      </c>
      <c r="AC165" s="198">
        <f>COUNTIFS(tbl_data[12. Consultation Group of],$C$2,tbl_data[3:T2A],$A165,tbl_data[T2],$C$3)</f>
        <v>0</v>
      </c>
      <c r="AD165" s="198">
        <f>COUNTIFS(tbl_data[12. Consultation Group of],$C$2,tbl_data[1:T3A],$A165,tbl_data[T3],$C$3)</f>
        <v>0</v>
      </c>
      <c r="AE165" s="198">
        <f>COUNTIFS(tbl_data[12. Consultation Group of],$C$2,tbl_data[2:T3A],$A165,tbl_data[T3],$C$3)</f>
        <v>0</v>
      </c>
      <c r="AF165" s="198">
        <f>COUNTIFS(tbl_data[12. Consultation Group of],$C$2,tbl_data[3:T3A],$A165,tbl_data[T3],$C$3)</f>
        <v>0</v>
      </c>
      <c r="AG165" s="198">
        <f t="shared" si="32"/>
        <v>0</v>
      </c>
      <c r="AH165" s="199" t="str">
        <f t="shared" si="33"/>
        <v>Resilient Agricultural Techniques (0)</v>
      </c>
      <c r="AI165" s="205">
        <f>COUNTIFS(tbl_data[12. Consultation Group of],$D$2,tbl_data[1:T1A],$A165,tbl_data[T1],$D$3)</f>
        <v>0</v>
      </c>
      <c r="AJ165" s="198">
        <f>COUNTIFS(tbl_data[12. Consultation Group of],$D$2,tbl_data[2:T1A],$A165,tbl_data[T1],$D$3)</f>
        <v>0</v>
      </c>
      <c r="AK165" s="198">
        <f>COUNTIFS(tbl_data[12. Consultation Group of],$D$2,tbl_data[3:T1A],$A165,tbl_data[T1],$D$3)</f>
        <v>0</v>
      </c>
      <c r="AL165" s="198">
        <f>COUNTIFS(tbl_data[12. Consultation Group of],$D$2,tbl_data[1:T2A],$A165,tbl_data[T2],$D$3)</f>
        <v>0</v>
      </c>
      <c r="AM165" s="198">
        <f>COUNTIFS(tbl_data[12. Consultation Group of],$D$2,tbl_data[2:T2A],$A165,tbl_data[T2],$D$3)</f>
        <v>0</v>
      </c>
      <c r="AN165" s="198">
        <f>COUNTIFS(tbl_data[12. Consultation Group of],$D$2,tbl_data[3:T2A],$A165,tbl_data[T2],$D$3)</f>
        <v>0</v>
      </c>
      <c r="AO165" s="198">
        <f>COUNTIFS(tbl_data[12. Consultation Group of],$D$2,tbl_data[1:T3A],$A165,tbl_data[T3],$D$3)</f>
        <v>0</v>
      </c>
      <c r="AP165" s="198">
        <f>COUNTIFS(tbl_data[12. Consultation Group of],$D$2,tbl_data[2:T3A],$A165,tbl_data[T3],$D$3)</f>
        <v>0</v>
      </c>
      <c r="AQ165" s="198">
        <f>COUNTIFS(tbl_data[12. Consultation Group of],$D$2,tbl_data[3:T3A],$A165,tbl_data[T3],$D$3)</f>
        <v>0</v>
      </c>
      <c r="AR165" s="198">
        <f t="shared" si="34"/>
        <v>0</v>
      </c>
      <c r="AS165" s="199" t="str">
        <f t="shared" si="35"/>
        <v>Resilient Agricultural Techniques (0)</v>
      </c>
      <c r="AT165" s="205">
        <f>COUNTIFS(tbl_data[12. Consultation Group of],$E$2,tbl_data[1:T1A],$A165,tbl_data[T1],$E$3)</f>
        <v>0</v>
      </c>
      <c r="AU165" s="198">
        <f>COUNTIFS(tbl_data[12. Consultation Group of],$E$2,tbl_data[2:T1A],$A165,tbl_data[T1],$E$3)</f>
        <v>0</v>
      </c>
      <c r="AV165" s="198">
        <f>COUNTIFS(tbl_data[12. Consultation Group of],$E$2,tbl_data[3:T1A],$A165,tbl_data[T1],$E$3)</f>
        <v>0</v>
      </c>
      <c r="AW165" s="198">
        <f>COUNTIFS(tbl_data[12. Consultation Group of],$E$2,tbl_data[1:T2A],$A165,tbl_data[T2],$E$3)</f>
        <v>0</v>
      </c>
      <c r="AX165" s="198">
        <f>COUNTIFS(tbl_data[12. Consultation Group of],$E$2,tbl_data[2:T2A],$A165,tbl_data[T2],$E$3)</f>
        <v>0</v>
      </c>
      <c r="AY165" s="198">
        <f>COUNTIFS(tbl_data[12. Consultation Group of],$E$2,tbl_data[3:T2A],$A165,tbl_data[T2],$E$3)</f>
        <v>0</v>
      </c>
      <c r="AZ165" s="198">
        <f>COUNTIFS(tbl_data[12. Consultation Group of],$E$2,tbl_data[1:T3A],$A165,tbl_data[T3],$E$3)</f>
        <v>0</v>
      </c>
      <c r="BA165" s="198">
        <f>COUNTIFS(tbl_data[12. Consultation Group of],$E$2,tbl_data[2:T3A],$A165,tbl_data[T3],$E$3)</f>
        <v>0</v>
      </c>
      <c r="BB165" s="198">
        <f>COUNTIFS(tbl_data[12. Consultation Group of],$E$2,tbl_data[3:T3A],$A165,tbl_data[T3],$E$3)</f>
        <v>0</v>
      </c>
      <c r="BC165" s="198">
        <f t="shared" si="36"/>
        <v>0</v>
      </c>
      <c r="BD165" s="199" t="str">
        <f t="shared" si="37"/>
        <v>Resilient Agricultural Techniques (0)</v>
      </c>
      <c r="BE165" s="205">
        <f>COUNTIFS(tbl_data[1:T1A],$A165,tbl_data[T1],$F$3)</f>
        <v>0</v>
      </c>
      <c r="BF165" s="198">
        <f>COUNTIFS(tbl_data[2:T1A],$A165,tbl_data[T1],$F$3)</f>
        <v>0</v>
      </c>
      <c r="BG165" s="198">
        <f>COUNTIFS(tbl_data[3:T1A],$A165,tbl_data[T1],$F$3)</f>
        <v>0</v>
      </c>
      <c r="BH165" s="198">
        <f>COUNTIFS(tbl_data[1:T2A],$A165,tbl_data[T2],$F$3)</f>
        <v>0</v>
      </c>
      <c r="BI165" s="198">
        <f>COUNTIFS(tbl_data[2:T2A],$A165,tbl_data[T2],$F$3)</f>
        <v>0</v>
      </c>
      <c r="BJ165" s="198">
        <f>COUNTIFS(tbl_data[3:T2A],$A165,tbl_data[T2],$F$3)</f>
        <v>0</v>
      </c>
      <c r="BK165" s="198">
        <f>COUNTIFS(tbl_data[1:T3A],$A165,tbl_data[T3],$F$3)</f>
        <v>0</v>
      </c>
      <c r="BL165" s="198">
        <f>COUNTIFS(tbl_data[2:T3A],$A165,tbl_data[T3],$F$3)</f>
        <v>0</v>
      </c>
      <c r="BM165" s="198">
        <f>COUNTIFS(tbl_data[3:T3A],$A165,tbl_data[T3],$F$3)</f>
        <v>0</v>
      </c>
      <c r="BN165" s="198">
        <f t="shared" si="38"/>
        <v>0</v>
      </c>
      <c r="BO165" s="199" t="str">
        <f t="shared" si="39"/>
        <v>Resilient Agricultural Techniques (0)</v>
      </c>
      <c r="BQ165" t="str">
        <f t="shared" si="40"/>
        <v>Resilient Agricultural Techniques</v>
      </c>
      <c r="BR165">
        <f t="shared" si="41"/>
        <v>0</v>
      </c>
    </row>
    <row r="166" spans="1:70" x14ac:dyDescent="0.25">
      <c r="A166" s="21"/>
      <c r="B166" s="21"/>
      <c r="C166" s="21"/>
      <c r="D166" s="21"/>
      <c r="E166" s="21"/>
      <c r="F166" s="21"/>
      <c r="G166" s="21"/>
      <c r="H166" s="21"/>
      <c r="I166" s="21"/>
      <c r="J166" s="21"/>
      <c r="K166" s="21">
        <f>SUM(K114:K165)</f>
        <v>18</v>
      </c>
      <c r="L166" s="21"/>
      <c r="M166" s="21"/>
      <c r="N166" s="21"/>
      <c r="O166" s="21"/>
      <c r="P166" s="21"/>
      <c r="Q166" s="21"/>
      <c r="R166" s="21"/>
      <c r="S166" s="21"/>
      <c r="T166" s="21"/>
      <c r="U166" s="21"/>
      <c r="V166" s="21">
        <f>SUM(V114:V165)</f>
        <v>9</v>
      </c>
      <c r="W166" s="21"/>
      <c r="X166" s="21"/>
      <c r="Y166" s="21"/>
      <c r="Z166" s="21"/>
      <c r="AA166" s="21"/>
      <c r="AB166" s="21"/>
      <c r="AC166" s="21"/>
      <c r="AD166" s="21"/>
      <c r="AE166" s="21"/>
      <c r="AF166" s="21"/>
      <c r="AG166" s="21">
        <f>SUM(AG114:AG165)</f>
        <v>8</v>
      </c>
      <c r="AH166" s="21"/>
      <c r="AI166" s="21"/>
      <c r="AJ166" s="21"/>
      <c r="AK166" s="21"/>
      <c r="AL166" s="21"/>
      <c r="AM166" s="21"/>
      <c r="AN166" s="21"/>
      <c r="AO166" s="21"/>
      <c r="AP166" s="21"/>
      <c r="AQ166" s="21"/>
      <c r="AR166" s="21">
        <f>SUM(AR114:AR165)</f>
        <v>17</v>
      </c>
      <c r="AS166" s="21"/>
      <c r="AT166" s="21"/>
      <c r="AU166" s="21"/>
      <c r="AV166" s="21"/>
      <c r="AW166" s="21"/>
      <c r="AX166" s="21"/>
      <c r="AY166" s="21"/>
      <c r="AZ166" s="21"/>
      <c r="BA166" s="21"/>
      <c r="BB166" s="21"/>
      <c r="BC166" s="21">
        <f>SUM(BC114:BC165)</f>
        <v>7</v>
      </c>
      <c r="BD166" s="21"/>
      <c r="BE166" s="21"/>
      <c r="BF166" s="21"/>
      <c r="BG166" s="21"/>
      <c r="BH166" s="21"/>
      <c r="BI166" s="21"/>
      <c r="BJ166" s="21"/>
      <c r="BK166" s="21"/>
      <c r="BL166" s="21"/>
      <c r="BM166" s="21"/>
      <c r="BN166" s="21">
        <f>SUM(BN114:BN165)</f>
        <v>44</v>
      </c>
      <c r="BO166" s="21"/>
      <c r="BP166">
        <f>BN166+BC166+AR166+AG166+V166+K166</f>
        <v>103</v>
      </c>
    </row>
    <row r="167" spans="1:70" x14ac:dyDescent="0.25">
      <c r="A167" s="215"/>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row>
    <row r="168" spans="1:70" x14ac:dyDescent="0.25">
      <c r="A168" s="215"/>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row>
    <row r="169" spans="1:70" x14ac:dyDescent="0.25">
      <c r="A169" s="21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row>
    <row r="170" spans="1:70" x14ac:dyDescent="0.25">
      <c r="V170">
        <f>SUM(V48:V87)</f>
        <v>18</v>
      </c>
      <c r="AG170">
        <f>SUM(AG48:AG87)</f>
        <v>14</v>
      </c>
      <c r="AR170">
        <f>SUM(AR48:AR87)</f>
        <v>32</v>
      </c>
      <c r="BC170">
        <f>SUM(BC48:BC87)</f>
        <v>13</v>
      </c>
    </row>
    <row r="172" spans="1:70" ht="15.75" thickBot="1" x14ac:dyDescent="0.3">
      <c r="H172" s="153"/>
      <c r="I172" s="153"/>
      <c r="J172" s="153"/>
      <c r="K172" s="153"/>
      <c r="L172" s="153"/>
    </row>
    <row r="173" spans="1:70" ht="15.75" thickBot="1" x14ac:dyDescent="0.3">
      <c r="A173" s="214" t="s">
        <v>895</v>
      </c>
      <c r="B173" s="236" t="s">
        <v>890</v>
      </c>
      <c r="C173" s="236"/>
      <c r="D173" s="236"/>
      <c r="E173" s="236"/>
      <c r="F173" s="236"/>
      <c r="G173" s="236"/>
      <c r="H173" s="236"/>
      <c r="I173" s="236"/>
      <c r="J173" s="236"/>
      <c r="K173" s="236"/>
      <c r="L173" s="236" t="s">
        <v>892</v>
      </c>
      <c r="M173" s="236"/>
      <c r="N173" s="236"/>
      <c r="O173" s="236"/>
      <c r="P173" s="236"/>
      <c r="Q173" s="236"/>
      <c r="R173" s="236"/>
      <c r="S173" s="236"/>
      <c r="T173" s="236"/>
      <c r="U173" s="236"/>
      <c r="V173" s="236" t="s">
        <v>891</v>
      </c>
      <c r="W173" s="236"/>
      <c r="X173" s="236"/>
      <c r="Y173" s="236"/>
      <c r="Z173" s="236"/>
      <c r="AA173" s="236"/>
      <c r="AB173" s="236"/>
      <c r="AC173" s="236"/>
      <c r="AD173" s="236"/>
      <c r="AE173" s="236"/>
    </row>
    <row r="174" spans="1:70" ht="53.25" customHeight="1" thickBot="1" x14ac:dyDescent="0.3">
      <c r="A174" s="211" t="str">
        <f>CONCATENATE($A$2," -  ",$A$3)</f>
        <v>Women -  Lack of Access to Water</v>
      </c>
      <c r="B174" s="233" t="str">
        <f>ConcatenateIfs(L10:L49,K10:K49,"&gt;",0,", ")</f>
        <v>Commercial Loss (1), Crop Damage (1), Disease/Health Effects (3), Displacement (1), Drought (1), Economic and Livelihood Loss (1), Environmental effects (2), Infrastructure Damage (1), Injury (1), Loss of Clean Water Sources (3), Loss of Values (1), Reduction In Irrigation (1)</v>
      </c>
      <c r="C174" s="234"/>
      <c r="D174" s="234"/>
      <c r="E174" s="234"/>
      <c r="F174" s="234"/>
      <c r="G174" s="234"/>
      <c r="H174" s="234"/>
      <c r="I174" s="234"/>
      <c r="J174" s="234"/>
      <c r="K174" s="235"/>
      <c r="L174" s="233" t="str">
        <f>ConcatenateIfs($L56:$L107,$K56:$K107,"&gt;",0,", ")</f>
        <v>Economic Policies (6), Geographical Situation (1), Government Inefficiency (1), Lack Of Access To Technology (1), Lack Of Awareness And Education (4), Lack Of Government Action (1), Lack Of Government Commitment (1), Water Pollution (1)</v>
      </c>
      <c r="M174" s="234"/>
      <c r="N174" s="234"/>
      <c r="O174" s="234"/>
      <c r="P174" s="234"/>
      <c r="Q174" s="234"/>
      <c r="R174" s="234"/>
      <c r="S174" s="234"/>
      <c r="T174" s="234"/>
      <c r="U174" s="235"/>
      <c r="V174" s="233" t="str">
        <f>ConcatenateIfs($L$114:$L$165,$K$114:$K$165,"&gt;",0,", ")</f>
        <v>Awareness Raising  Education and Training (1), Climate Change Adaptation (1), Dam/Dyke Building (3), Protect Water Tanks (5), Reconstruction (1), Reforestation (2), Stock Piling (1), Water and Sanitation Programme (4)</v>
      </c>
      <c r="W174" s="234"/>
      <c r="X174" s="234"/>
      <c r="Y174" s="234"/>
      <c r="Z174" s="234"/>
      <c r="AA174" s="234"/>
      <c r="AB174" s="234"/>
      <c r="AC174" s="234"/>
      <c r="AD174" s="234"/>
      <c r="AE174" s="235"/>
    </row>
    <row r="175" spans="1:70" ht="60.75" customHeight="1" thickBot="1" x14ac:dyDescent="0.3">
      <c r="A175" s="212" t="str">
        <f>CONCATENATE($B$2," -  ",$B$3)</f>
        <v>Elderly -  Earthquakes</v>
      </c>
      <c r="B175" s="230" t="str">
        <f>ConcatenateIfs(W10:W49,V10:V49,"&gt;",0,", ")</f>
        <v>Building Destruction (1), Crop Damage (1), Economic and Livelihood Loss (3), Impact on Biodiversity (1), Looting of Properties (1), Loss of Access to Basic Services (1), Loss of Life (1)</v>
      </c>
      <c r="C175" s="231"/>
      <c r="D175" s="231"/>
      <c r="E175" s="231"/>
      <c r="F175" s="231"/>
      <c r="G175" s="231"/>
      <c r="H175" s="231"/>
      <c r="I175" s="231"/>
      <c r="J175" s="231"/>
      <c r="K175" s="232"/>
      <c r="L175" s="230" t="str">
        <f>ConcatenateIfs(W56:W107,V56:V107,"&gt;",0,", ")</f>
        <v>Attitudinal Issues (1), Conflict (1), Lack Of Accessibility (2), Lack Of Awareness And Education (3), Lack Of Community Commitment (1), Lack Of Coordination Between Actors (1)</v>
      </c>
      <c r="M175" s="231"/>
      <c r="N175" s="231"/>
      <c r="O175" s="231"/>
      <c r="P175" s="231"/>
      <c r="Q175" s="231"/>
      <c r="R175" s="231"/>
      <c r="S175" s="231"/>
      <c r="T175" s="231"/>
      <c r="U175" s="232"/>
      <c r="V175" s="237" t="str">
        <f>ConcatenateIfs($W$114:$W$165,$V$114:$V$165,"&gt;",0,", ")</f>
        <v>Actions For Poverty Reduction And Employment (1), Awareness Raising  Education and Training (2), Climate Change Adaptation (1), Climate Change Mitigation (1), Individual/Personal Action (1), Investment in Infrastructure Improvement and Mitigation Works (2), Resilience Building (1)</v>
      </c>
      <c r="W175" s="237"/>
      <c r="X175" s="237"/>
      <c r="Y175" s="237"/>
      <c r="Z175" s="237"/>
      <c r="AA175" s="237"/>
      <c r="AB175" s="237"/>
      <c r="AC175" s="237"/>
      <c r="AD175" s="237"/>
      <c r="AE175" s="237"/>
    </row>
    <row r="176" spans="1:70" ht="42" customHeight="1" x14ac:dyDescent="0.25">
      <c r="A176" s="212" t="str">
        <f>CONCATENATE($C$2," -  ",$C$3)</f>
        <v>Children &amp; Youth -  Floods</v>
      </c>
      <c r="B176" s="230" t="str">
        <f>ConcatenateIfs(AH10:AH49,AG10:AG49,"&gt;",0,", ")</f>
        <v>Commercial Loss (1), Crop Damage (2), Environmental effects (2), Flooding (1), School/Education Drop Out (1)</v>
      </c>
      <c r="C176" s="231"/>
      <c r="D176" s="231"/>
      <c r="E176" s="231"/>
      <c r="F176" s="231"/>
      <c r="G176" s="231"/>
      <c r="H176" s="231"/>
      <c r="I176" s="231"/>
      <c r="J176" s="231"/>
      <c r="K176" s="232"/>
      <c r="L176" s="230" t="str">
        <f>ConcatenateIfs(AH56:AH107,AG56:AG107,"&gt;",0,", ")</f>
        <v>Economic Policies (2), Lack Of Awareness And Education (1), Lack Of Employment (1), Lack Of Government Commitment (1), Lack Of Preparedness (1), Lack Of Resources (1)</v>
      </c>
      <c r="M176" s="231"/>
      <c r="N176" s="231"/>
      <c r="O176" s="231"/>
      <c r="P176" s="231"/>
      <c r="Q176" s="231"/>
      <c r="R176" s="231"/>
      <c r="S176" s="231"/>
      <c r="T176" s="231"/>
      <c r="U176" s="232"/>
      <c r="V176" s="230" t="str">
        <f>ConcatenateIfs($AH$114:$AH$165,$AG$114:$AG$165,"&gt;",0,", ")</f>
        <v>Dam/Dyke Building (3), Disaster Preparedness (1), Implementation of policies (1), Investment in Infrastructure Improvement and Mitigation Works (1), Reforestation (2)</v>
      </c>
      <c r="W176" s="231"/>
      <c r="X176" s="231"/>
      <c r="Y176" s="231"/>
      <c r="Z176" s="231"/>
      <c r="AA176" s="231"/>
      <c r="AB176" s="231"/>
      <c r="AC176" s="231"/>
      <c r="AD176" s="231"/>
      <c r="AE176" s="232"/>
    </row>
    <row r="177" spans="1:31" ht="46.5" customHeight="1" x14ac:dyDescent="0.25">
      <c r="A177" s="212" t="str">
        <f>CONCATENATE($D$2," -  ",$D$3)</f>
        <v>Men -  Floods</v>
      </c>
      <c r="B177" s="230" t="str">
        <f>ConcatenateIfs(AS10:AS49,AR10:AR49,"&gt;",0,", ")</f>
        <v>Building Destruction (2), Crop Damage (4), Economic and Livelihood Loss (1), Environmental effects (3), Erosion (1), Food Insecurity (1), Impact on Biodiversity (2), Infrastructure Damage (4)</v>
      </c>
      <c r="C177" s="231"/>
      <c r="D177" s="231"/>
      <c r="E177" s="231"/>
      <c r="F177" s="231"/>
      <c r="G177" s="231"/>
      <c r="H177" s="231"/>
      <c r="I177" s="231"/>
      <c r="J177" s="231"/>
      <c r="K177" s="232"/>
      <c r="L177" s="230" t="str">
        <f>ConcatenateIfs(AS56:AS107,AR56:AR107,"&gt;",0,", ")</f>
        <v>Economic Policies (2), Lack Of Access To Technology (1), Lack Of Accessibility (1), Lack Of Awareness And Education (2), Lack Of Government Commitment (1), Lack Of Land Surveying And Planning (1), Lack Of Policies (1), Lack Of Resources (2), Lack Of Risk Awareness And Planning (2), Poverty (1)</v>
      </c>
      <c r="M177" s="231"/>
      <c r="N177" s="231"/>
      <c r="O177" s="231"/>
      <c r="P177" s="231"/>
      <c r="Q177" s="231"/>
      <c r="R177" s="231"/>
      <c r="S177" s="231"/>
      <c r="T177" s="231"/>
      <c r="U177" s="232"/>
      <c r="V177" s="230" t="str">
        <f>ConcatenateIfs($AS$114:$AS$165,$AR$114:$AR$165,"&gt;",0,", ")</f>
        <v>Awareness Raising  Education and Training (1), Climate Change Adaptation (1), Climate Change Mitigation (1), Dam/Dyke Building (6), Disaster Preparedness (2), Drainage Channels (1), Early Warning Systems (EWS) (1), Investment in Infrastructure Improvement and Mitigation Works (1), Reforestation (2), Resilience Building (1)</v>
      </c>
      <c r="W177" s="231"/>
      <c r="X177" s="231"/>
      <c r="Y177" s="231"/>
      <c r="Z177" s="231"/>
      <c r="AA177" s="231"/>
      <c r="AB177" s="231"/>
      <c r="AC177" s="231"/>
      <c r="AD177" s="231"/>
      <c r="AE177" s="232"/>
    </row>
    <row r="178" spans="1:31" ht="47.25" customHeight="1" x14ac:dyDescent="0.25">
      <c r="A178" s="212" t="str">
        <f>CONCATENATE($E$2," -  ",$E$3)</f>
        <v>Persons with disability -  Lack of Access to Basic Services</v>
      </c>
      <c r="B178" s="230" t="str">
        <f>ConcatenateIfs(BD10:BD49,BC10:BC49,"&gt;",0,", ")</f>
        <v>Crop Damage (1), Disability (1), Disease/Health Effects (2), Economic and Livelihood Loss (1), Loss of Access to Basic Services (1), School/Education Drop Out (1)</v>
      </c>
      <c r="C178" s="231"/>
      <c r="D178" s="231"/>
      <c r="E178" s="231"/>
      <c r="F178" s="231"/>
      <c r="G178" s="231"/>
      <c r="H178" s="231"/>
      <c r="I178" s="231"/>
      <c r="J178" s="231"/>
      <c r="K178" s="232"/>
      <c r="L178" s="230" t="str">
        <f>ConcatenateIfs(BD56:BD107,BC56:BC107,"&gt;",0,", ")</f>
        <v>Lack Of Awareness And Education (2), Lack Of Facilities (1), Lack Of Government Action (1), Lack Of Resources (3)</v>
      </c>
      <c r="M178" s="231"/>
      <c r="N178" s="231"/>
      <c r="O178" s="231"/>
      <c r="P178" s="231"/>
      <c r="Q178" s="231"/>
      <c r="R178" s="231"/>
      <c r="S178" s="231"/>
      <c r="T178" s="231"/>
      <c r="U178" s="232"/>
      <c r="V178" s="230" t="str">
        <f>ConcatenateIfs($BD$114:$BD$165,$BC$114:$BC$165,"&gt;",0,", ")</f>
        <v>Awareness Raising  Education and Training (1), Drainage Channels (1), Health Promotion (1), Investment in Infrastructure Improvement and Mitigation Works (3), Maintain Basic Services (Medical and Other) (1)</v>
      </c>
      <c r="W178" s="231"/>
      <c r="X178" s="231"/>
      <c r="Y178" s="231"/>
      <c r="Z178" s="231"/>
      <c r="AA178" s="231"/>
      <c r="AB178" s="231"/>
      <c r="AC178" s="231"/>
      <c r="AD178" s="231"/>
      <c r="AE178" s="232"/>
    </row>
    <row r="179" spans="1:31" ht="58.5" customHeight="1" thickBot="1" x14ac:dyDescent="0.3">
      <c r="A179" s="213" t="str">
        <f>CONCATENATE($F$2," -  ",$F$3)</f>
        <v>All -  Floods</v>
      </c>
      <c r="B179" s="238" t="str">
        <f>ConcatenateIfs(BO10:BO49,BN10:BN49,"&gt;",0,", ")</f>
        <v>Building Destruction (3), Commercial Loss (3), Crop Damage (10), Disease/Health Effects (1), Economic and Livelihood Loss (3), Environmental effects (5), Erosion (2), Flooding (1), Food Insecurity (1), Impact on Biodiversity (2), Infrastructure Damage (10), Livestock Loss (1), Loss of Clean Water Sources (1), Reduction In Irrigation (1), School/Education Drop Out (1)</v>
      </c>
      <c r="C179" s="239"/>
      <c r="D179" s="239"/>
      <c r="E179" s="239"/>
      <c r="F179" s="239"/>
      <c r="G179" s="239"/>
      <c r="H179" s="239"/>
      <c r="I179" s="239"/>
      <c r="J179" s="239"/>
      <c r="K179" s="240"/>
      <c r="L179" s="238" t="str">
        <f>ConcatenateIfs(BO56:BO107,BN56:BN107,"&gt;",0,", ")</f>
        <v>Communication Issues (1), Economic Policies (9), Family Problem/ Issues (1), Lack Of Access To Technology (2), Lack Of Accessibility (1), Lack Of Awareness And Education (8), Lack Of Employment (1), Lack Of Government Commitment (2), Lack Of Initiative (1), Lack Of Land Surveying And Planning (1), Lack Of Opportunity/Time (1), Lack Of Policies (1), Lack Of Preparedness (1), Lack Of Resources (4), Lack Of Risk Awareness And Planning (2), Poverty (1)</v>
      </c>
      <c r="M179" s="239"/>
      <c r="N179" s="239"/>
      <c r="O179" s="239"/>
      <c r="P179" s="239"/>
      <c r="Q179" s="239"/>
      <c r="R179" s="239"/>
      <c r="S179" s="239"/>
      <c r="T179" s="239"/>
      <c r="U179" s="240"/>
      <c r="V179" s="238" t="str">
        <f>ConcatenateIfs($BO$114:$BO$165,$BN$114:$BN$165,"&gt;",0,", ")</f>
        <v>Awareness Raising  Education and Training (3), Climate Change Adaptation (1), Climate Change Mitigation (1), Dam/Dyke Building (14), Disaster Preparedness (5), Drainage Channels (1), Early Warning Systems (EWS) (1), Implementation of policies (1), Investment in Infrastructure Improvement and Mitigation Works (3), Livelihood Diversification (1), Raising Homes (1), Reconstruction (2), Reforestation (8), Resilience Building (1), Water and Sanitation Programme (1)</v>
      </c>
      <c r="W179" s="239"/>
      <c r="X179" s="239"/>
      <c r="Y179" s="239"/>
      <c r="Z179" s="239"/>
      <c r="AA179" s="239"/>
      <c r="AB179" s="239"/>
      <c r="AC179" s="239"/>
      <c r="AD179" s="239"/>
      <c r="AE179" s="240"/>
    </row>
    <row r="182" spans="1:31" ht="15.75" thickBot="1" x14ac:dyDescent="0.3">
      <c r="A182" t="s">
        <v>920</v>
      </c>
    </row>
    <row r="183" spans="1:31" ht="15.75" thickBot="1" x14ac:dyDescent="0.3">
      <c r="A183" s="214" t="s">
        <v>895</v>
      </c>
      <c r="B183" s="236" t="s">
        <v>890</v>
      </c>
      <c r="C183" s="236"/>
      <c r="D183" s="236"/>
      <c r="E183" s="236"/>
      <c r="F183" s="236"/>
      <c r="G183" s="236"/>
      <c r="H183" s="236"/>
      <c r="I183" s="236"/>
      <c r="J183" s="236"/>
      <c r="K183" s="236"/>
      <c r="L183" s="236" t="s">
        <v>892</v>
      </c>
      <c r="M183" s="236"/>
      <c r="N183" s="236"/>
      <c r="O183" s="236"/>
      <c r="P183" s="236"/>
      <c r="Q183" s="236"/>
      <c r="R183" s="236"/>
      <c r="S183" s="236"/>
      <c r="T183" s="236"/>
      <c r="U183" s="236"/>
      <c r="V183" s="236" t="s">
        <v>891</v>
      </c>
      <c r="W183" s="236"/>
      <c r="X183" s="236"/>
      <c r="Y183" s="236"/>
      <c r="Z183" s="236"/>
      <c r="AA183" s="236"/>
      <c r="AB183" s="236"/>
      <c r="AC183" s="236"/>
      <c r="AD183" s="236"/>
      <c r="AE183" s="236"/>
    </row>
    <row r="184" spans="1:31" ht="15" customHeight="1" x14ac:dyDescent="0.25">
      <c r="A184" s="211" t="s">
        <v>896</v>
      </c>
      <c r="B184" s="230" t="s">
        <v>897</v>
      </c>
      <c r="C184" s="231"/>
      <c r="D184" s="231"/>
      <c r="E184" s="231"/>
      <c r="F184" s="231"/>
      <c r="G184" s="231"/>
      <c r="H184" s="231"/>
      <c r="I184" s="231"/>
      <c r="J184" s="231"/>
      <c r="K184" s="232"/>
      <c r="L184" s="230" t="s">
        <v>898</v>
      </c>
      <c r="M184" s="231"/>
      <c r="N184" s="231"/>
      <c r="O184" s="231"/>
      <c r="P184" s="231"/>
      <c r="Q184" s="231"/>
      <c r="R184" s="231"/>
      <c r="S184" s="231"/>
      <c r="T184" s="231"/>
      <c r="U184" s="232"/>
      <c r="V184" s="230" t="s">
        <v>899</v>
      </c>
      <c r="W184" s="231"/>
      <c r="X184" s="231"/>
      <c r="Y184" s="231"/>
      <c r="Z184" s="231"/>
      <c r="AA184" s="231"/>
      <c r="AB184" s="231"/>
      <c r="AC184" s="231"/>
      <c r="AD184" s="231"/>
      <c r="AE184" s="232"/>
    </row>
    <row r="185" spans="1:31" ht="15" customHeight="1" x14ac:dyDescent="0.25">
      <c r="A185" s="212" t="s">
        <v>900</v>
      </c>
      <c r="B185" s="230" t="s">
        <v>901</v>
      </c>
      <c r="C185" s="231"/>
      <c r="D185" s="231"/>
      <c r="E185" s="231"/>
      <c r="F185" s="231"/>
      <c r="G185" s="231"/>
      <c r="H185" s="231"/>
      <c r="I185" s="231"/>
      <c r="J185" s="231"/>
      <c r="K185" s="232"/>
      <c r="L185" s="230" t="s">
        <v>902</v>
      </c>
      <c r="M185" s="231"/>
      <c r="N185" s="231"/>
      <c r="O185" s="231"/>
      <c r="P185" s="231"/>
      <c r="Q185" s="231"/>
      <c r="R185" s="231"/>
      <c r="S185" s="231"/>
      <c r="T185" s="231"/>
      <c r="U185" s="232"/>
      <c r="V185" s="230" t="s">
        <v>903</v>
      </c>
      <c r="W185" s="231"/>
      <c r="X185" s="231"/>
      <c r="Y185" s="231"/>
      <c r="Z185" s="231"/>
      <c r="AA185" s="231"/>
      <c r="AB185" s="231"/>
      <c r="AC185" s="231"/>
      <c r="AD185" s="231"/>
      <c r="AE185" s="232"/>
    </row>
    <row r="186" spans="1:31" ht="15" customHeight="1" x14ac:dyDescent="0.25">
      <c r="A186" s="212" t="s">
        <v>904</v>
      </c>
      <c r="B186" s="241" t="s">
        <v>905</v>
      </c>
      <c r="C186" s="242"/>
      <c r="D186" s="242"/>
      <c r="E186" s="242"/>
      <c r="F186" s="242"/>
      <c r="G186" s="242"/>
      <c r="H186" s="242"/>
      <c r="I186" s="242"/>
      <c r="J186" s="242"/>
      <c r="K186" s="243"/>
      <c r="L186" s="230" t="s">
        <v>906</v>
      </c>
      <c r="M186" s="231"/>
      <c r="N186" s="231"/>
      <c r="O186" s="231"/>
      <c r="P186" s="231"/>
      <c r="Q186" s="231"/>
      <c r="R186" s="231"/>
      <c r="S186" s="231"/>
      <c r="T186" s="231"/>
      <c r="U186" s="232"/>
      <c r="V186" s="230" t="s">
        <v>907</v>
      </c>
      <c r="W186" s="231"/>
      <c r="X186" s="231"/>
      <c r="Y186" s="231"/>
      <c r="Z186" s="231"/>
      <c r="AA186" s="231"/>
      <c r="AB186" s="231"/>
      <c r="AC186" s="231"/>
      <c r="AD186" s="231"/>
      <c r="AE186" s="232"/>
    </row>
    <row r="187" spans="1:31" ht="15" customHeight="1" x14ac:dyDescent="0.25">
      <c r="A187" s="212" t="s">
        <v>908</v>
      </c>
      <c r="B187" s="230" t="s">
        <v>909</v>
      </c>
      <c r="C187" s="231"/>
      <c r="D187" s="231"/>
      <c r="E187" s="231"/>
      <c r="F187" s="231"/>
      <c r="G187" s="231"/>
      <c r="H187" s="231"/>
      <c r="I187" s="231"/>
      <c r="J187" s="231"/>
      <c r="K187" s="232"/>
      <c r="L187" s="230" t="s">
        <v>910</v>
      </c>
      <c r="M187" s="231"/>
      <c r="N187" s="231"/>
      <c r="O187" s="231"/>
      <c r="P187" s="231"/>
      <c r="Q187" s="231"/>
      <c r="R187" s="231"/>
      <c r="S187" s="231"/>
      <c r="T187" s="231"/>
      <c r="U187" s="232"/>
      <c r="V187" s="230" t="s">
        <v>911</v>
      </c>
      <c r="W187" s="231"/>
      <c r="X187" s="231"/>
      <c r="Y187" s="231"/>
      <c r="Z187" s="231"/>
      <c r="AA187" s="231"/>
      <c r="AB187" s="231"/>
      <c r="AC187" s="231"/>
      <c r="AD187" s="231"/>
      <c r="AE187" s="232"/>
    </row>
    <row r="188" spans="1:31" ht="30" customHeight="1" x14ac:dyDescent="0.25">
      <c r="A188" s="212" t="s">
        <v>912</v>
      </c>
      <c r="B188" s="230" t="s">
        <v>913</v>
      </c>
      <c r="C188" s="231"/>
      <c r="D188" s="231"/>
      <c r="E188" s="231"/>
      <c r="F188" s="231"/>
      <c r="G188" s="231"/>
      <c r="H188" s="231"/>
      <c r="I188" s="231"/>
      <c r="J188" s="231"/>
      <c r="K188" s="232"/>
      <c r="L188" s="230" t="s">
        <v>914</v>
      </c>
      <c r="M188" s="231"/>
      <c r="N188" s="231"/>
      <c r="O188" s="231"/>
      <c r="P188" s="231"/>
      <c r="Q188" s="231"/>
      <c r="R188" s="231"/>
      <c r="S188" s="231"/>
      <c r="T188" s="231"/>
      <c r="U188" s="232"/>
      <c r="V188" s="230" t="s">
        <v>915</v>
      </c>
      <c r="W188" s="231"/>
      <c r="X188" s="231"/>
      <c r="Y188" s="231"/>
      <c r="Z188" s="231"/>
      <c r="AA188" s="231"/>
      <c r="AB188" s="231"/>
      <c r="AC188" s="231"/>
      <c r="AD188" s="231"/>
      <c r="AE188" s="232"/>
    </row>
    <row r="189" spans="1:31" ht="15.75" customHeight="1" thickBot="1" x14ac:dyDescent="0.3">
      <c r="A189" s="213" t="s">
        <v>916</v>
      </c>
      <c r="B189" s="241" t="s">
        <v>917</v>
      </c>
      <c r="C189" s="242"/>
      <c r="D189" s="242"/>
      <c r="E189" s="242"/>
      <c r="F189" s="242"/>
      <c r="G189" s="242"/>
      <c r="H189" s="242"/>
      <c r="I189" s="242"/>
      <c r="J189" s="242"/>
      <c r="K189" s="243"/>
      <c r="L189" s="230" t="s">
        <v>918</v>
      </c>
      <c r="M189" s="231"/>
      <c r="N189" s="231"/>
      <c r="O189" s="231"/>
      <c r="P189" s="231"/>
      <c r="Q189" s="231"/>
      <c r="R189" s="231"/>
      <c r="S189" s="231"/>
      <c r="T189" s="231"/>
      <c r="U189" s="232"/>
      <c r="V189" s="230" t="s">
        <v>919</v>
      </c>
      <c r="W189" s="231"/>
      <c r="X189" s="231"/>
      <c r="Y189" s="231"/>
      <c r="Z189" s="231"/>
      <c r="AA189" s="231"/>
      <c r="AB189" s="231"/>
      <c r="AC189" s="231"/>
      <c r="AD189" s="231"/>
      <c r="AE189" s="232"/>
    </row>
    <row r="192" spans="1:31" ht="15.75" thickBot="1" x14ac:dyDescent="0.3"/>
    <row r="193" spans="1:31" ht="15.75" thickBot="1" x14ac:dyDescent="0.3">
      <c r="A193" s="214" t="s">
        <v>955</v>
      </c>
      <c r="B193" s="236" t="s">
        <v>890</v>
      </c>
      <c r="C193" s="236"/>
      <c r="D193" s="236"/>
      <c r="E193" s="236"/>
      <c r="F193" s="236"/>
      <c r="G193" s="236"/>
      <c r="H193" s="236"/>
      <c r="I193" s="236"/>
      <c r="J193" s="236"/>
      <c r="K193" s="236"/>
      <c r="L193" s="236" t="s">
        <v>892</v>
      </c>
      <c r="M193" s="236"/>
      <c r="N193" s="236"/>
      <c r="O193" s="236"/>
      <c r="P193" s="236"/>
      <c r="Q193" s="236"/>
      <c r="R193" s="236"/>
      <c r="S193" s="236"/>
      <c r="T193" s="236"/>
      <c r="U193" s="236"/>
      <c r="V193" s="236" t="s">
        <v>891</v>
      </c>
      <c r="W193" s="236"/>
      <c r="X193" s="236"/>
      <c r="Y193" s="236"/>
      <c r="Z193" s="236"/>
      <c r="AA193" s="236"/>
      <c r="AB193" s="236"/>
      <c r="AC193" s="236"/>
      <c r="AD193" s="236"/>
      <c r="AE193" s="236"/>
    </row>
    <row r="194" spans="1:31" x14ac:dyDescent="0.25">
      <c r="A194" s="221" t="s">
        <v>896</v>
      </c>
      <c r="B194" s="246" t="str">
        <f>CONCATENATE("Infrastructure and Economic(",SUMIFS(K10:K49,BS10:BS49,"Infrastructure and Economic"),"), ","Health and Education(",SUMIFS(K10:K49,BS10:BS49,"Health and Education"),"), ","Agriculture and Environment(",SUMIFS(K10:K49,BS10:BS49,"Agriculture and Environment"),")")</f>
        <v>Infrastructure and Economic(5), Health and Education(4), Agriculture and Environment(8)</v>
      </c>
      <c r="C194" s="246"/>
      <c r="D194" s="246"/>
      <c r="E194" s="246"/>
      <c r="F194" s="246"/>
      <c r="G194" s="246"/>
      <c r="H194" s="246"/>
      <c r="I194" s="246"/>
      <c r="J194" s="246"/>
      <c r="K194" s="246"/>
      <c r="L194" s="246" t="str">
        <f>CONCATENATE("Policy and Legal Provisions(",SUMIFS($K$56:$K$107,$BS$56:$BS$107,"Policy and Legal Provisions"),"), ","Awareness and Education(",SUMIFS($K$56:$K$107,$BS$56:$BS$107,"Awareness and Education"),"), ","Infrastructure and Basic Services(",SUMIFS($K$56:$K$107,$BS$56:$BS$107,"Infrastructure and Basic Services"),")")</f>
        <v>Policy and Legal Provisions(9), Awareness and Education(4), Infrastructure and Basic Services(2)</v>
      </c>
      <c r="M194" s="246"/>
      <c r="N194" s="246"/>
      <c r="O194" s="246"/>
      <c r="P194" s="246"/>
      <c r="Q194" s="246"/>
      <c r="R194" s="246"/>
      <c r="S194" s="246"/>
      <c r="T194" s="246"/>
      <c r="U194" s="246"/>
      <c r="V194" s="246" t="str">
        <f>CONCATENATE("Policy and Legal Provision(",SUMIFS($K$114:$K$165,$BS$114:$BS$165,"Policy and Legal Provision"),"), ","Infrastructure and Development(",SUMIFS($K$114:$K$165,$BS$114:$BS$165,"Infrastructure and Development"),"), ","Awareness and Education(",SUMIFS($K$114:$K$165,$BS$114:$BS$165,"Awareness and Education"),")")</f>
        <v>Policy and Legal Provision(3), Infrastructure and Development(9), Awareness and Education(6)</v>
      </c>
      <c r="W194" s="246"/>
      <c r="X194" s="246"/>
      <c r="Y194" s="246"/>
      <c r="Z194" s="246"/>
      <c r="AA194" s="246"/>
      <c r="AB194" s="246"/>
      <c r="AC194" s="246"/>
      <c r="AD194" s="246"/>
      <c r="AE194" s="246"/>
    </row>
    <row r="195" spans="1:31" x14ac:dyDescent="0.25">
      <c r="A195" s="219" t="s">
        <v>900</v>
      </c>
      <c r="B195" s="244" t="str">
        <f>CONCATENATE("Infrastructure and Economic(",SUMIFS(V10:V49,BS10:BS49,"Infrastructure and Economic"),"), ","Health and Education(",SUMIFS(V10:V49,BS10:BS49,"Health and Education"),"), ","Agriculture and Environment(",SUMIFS(V10:V49,BS10:BS49,"Agriculture and Environment"),")")</f>
        <v>Infrastructure and Economic(5), Health and Education(2), Agriculture and Environment(2)</v>
      </c>
      <c r="C195" s="244"/>
      <c r="D195" s="244"/>
      <c r="E195" s="244"/>
      <c r="F195" s="244"/>
      <c r="G195" s="244"/>
      <c r="H195" s="244"/>
      <c r="I195" s="244"/>
      <c r="J195" s="244"/>
      <c r="K195" s="244"/>
      <c r="L195" s="244" t="str">
        <f>CONCATENATE("Policy and Legal Provisions(",SUMIFS($V$56:$V$107,$BS$56:$BS$107,"Policy and Legal Provisions"),"), ","Awareness and Education(",SUMIFS($V$56:$V$107,$BS$56:$BS$107,"Awareness and Education"),"), ","Infrastructure and Basic Services(",SUMIFS($V$56:$V$107,$BS$56:$BS$107,"Infrastructure and Basic Services"),")")</f>
        <v>Policy and Legal Provisions(2), Awareness and Education(5), Infrastructure and Basic Services(2)</v>
      </c>
      <c r="M195" s="244"/>
      <c r="N195" s="244"/>
      <c r="O195" s="244"/>
      <c r="P195" s="244"/>
      <c r="Q195" s="244"/>
      <c r="R195" s="244"/>
      <c r="S195" s="244"/>
      <c r="T195" s="244"/>
      <c r="U195" s="244"/>
      <c r="V195" s="244" t="str">
        <f>CONCATENATE("Policy and Legal Provision(",SUMIFS($V$114:$V$165,$BS$114:$BS$165,"Policy and Legal Provision"),"), ","Infrastructure and Development(",SUMIFS($V$114:$V$165,$BS$114:$BS$165,"Infrastructure and Development"),"), ","Awareness and Education(",SUMIFS($V$114:$V$165,$BS$114:$BS$165,"Awareness and Education"),")")</f>
        <v>Policy and Legal Provision(1), Infrastructure and Development(3), Awareness and Education(5)</v>
      </c>
      <c r="W195" s="244"/>
      <c r="X195" s="244"/>
      <c r="Y195" s="244"/>
      <c r="Z195" s="244"/>
      <c r="AA195" s="244"/>
      <c r="AB195" s="244"/>
      <c r="AC195" s="244"/>
      <c r="AD195" s="244"/>
      <c r="AE195" s="244"/>
    </row>
    <row r="196" spans="1:31" x14ac:dyDescent="0.25">
      <c r="A196" s="219" t="s">
        <v>904</v>
      </c>
      <c r="B196" s="244" t="str">
        <f>CONCATENATE("Infrastructure and Economic(",SUMIFS(AG10:AG49,BS10:BS49,"Infrastructure and Economic"),"), ","Health and Education(",SUMIFS(AG10:AG49,BS10:BS49,"Health and Education"),"), ","Agriculture and Environment(",SUMIFS(AG10:AG49,BS10:BS49,"Agriculture and Environment"),")")</f>
        <v>Infrastructure and Economic(1), Health and Education(1), Agriculture and Environment(4)</v>
      </c>
      <c r="C196" s="244"/>
      <c r="D196" s="244"/>
      <c r="E196" s="244"/>
      <c r="F196" s="244"/>
      <c r="G196" s="244"/>
      <c r="H196" s="244"/>
      <c r="I196" s="244"/>
      <c r="J196" s="244"/>
      <c r="K196" s="244"/>
      <c r="L196" s="244" t="str">
        <f>CONCATENATE("Policy and Legal Provisions(",SUMIFS($AG$56:$AG$107,$BS$56:$BS$107,"Policy and Legal Provisions"),"), ","Awareness and Education(",SUMIFS($AG$56:$AG$107,$BS$56:$BS$107,"Awareness and Education"),"), ","Infrastructure and Basic Services(",SUMIFS($AG$56:$AG$107,$BS$56:$BS$107,"Infrastructure and Basic Services"),")")</f>
        <v>Policy and Legal Provisions(3), Awareness and Education(2), Infrastructure and Basic Services(2)</v>
      </c>
      <c r="M196" s="244"/>
      <c r="N196" s="244"/>
      <c r="O196" s="244"/>
      <c r="P196" s="244"/>
      <c r="Q196" s="244"/>
      <c r="R196" s="244"/>
      <c r="S196" s="244"/>
      <c r="T196" s="244"/>
      <c r="U196" s="244"/>
      <c r="V196" s="244" t="str">
        <f>CONCATENATE("Policy and Legal Provision(",SUMIFS($AG$114:$AG$165,$BS$114:$BS$165,"Policy and Legal Provision"),"), ","Infrastructure and Development(",SUMIFS($AG$114:$AG$165,$BS$114:$BS$165,"Infrastructure and Development"),"), ","Awareness and Education(",SUMIFS($AG$114:$AG$165,$BS$114:$BS$165,"Awareness and Education"),")")</f>
        <v>Policy and Legal Provision(3), Infrastructure and Development(4), Awareness and Education(1)</v>
      </c>
      <c r="W196" s="244"/>
      <c r="X196" s="244"/>
      <c r="Y196" s="244"/>
      <c r="Z196" s="244"/>
      <c r="AA196" s="244"/>
      <c r="AB196" s="244"/>
      <c r="AC196" s="244"/>
      <c r="AD196" s="244"/>
      <c r="AE196" s="244"/>
    </row>
    <row r="197" spans="1:31" x14ac:dyDescent="0.25">
      <c r="A197" s="219" t="s">
        <v>908</v>
      </c>
      <c r="B197" s="244" t="str">
        <f>CONCATENATE("Infrastructure and Economic(",SUMIFS(AR10:AR49,BS10:BS49,"Infrastructure and Economic"),"), ","Health and Education(",SUMIFS(AR10:AR49,BS10:BS49,"Health and Education"),"), ","Agriculture and Environment(",SUMIFS(AR10:AR49,BS10:BS49,"Agriculture and Environment"),")")</f>
        <v>Infrastructure and Economic(7), Health and Education(1), Agriculture and Environment(10)</v>
      </c>
      <c r="C197" s="244"/>
      <c r="D197" s="244"/>
      <c r="E197" s="244"/>
      <c r="F197" s="244"/>
      <c r="G197" s="244"/>
      <c r="H197" s="244"/>
      <c r="I197" s="244"/>
      <c r="J197" s="244"/>
      <c r="K197" s="244"/>
      <c r="L197" s="244" t="str">
        <f>CONCATENATE("Policy and Legal Provisions(",SUMIFS($AR$56:$AR$107,$BS$56:$BS$107,"Policy and Legal Provisions"),"), ","Awareness and Education(",SUMIFS($AR$56:$AR$107,$BS$56:$BS$107,"Awareness and Education"),"), ","Infrastructure and Basic Services(",SUMIFS($AR$56:$AR$107,$BS$56:$BS$107,"Infrastructure and Basic Services"),")")</f>
        <v>Policy and Legal Provisions(5), Awareness and Education(5), Infrastructure and Basic Services(4)</v>
      </c>
      <c r="M197" s="244"/>
      <c r="N197" s="244"/>
      <c r="O197" s="244"/>
      <c r="P197" s="244"/>
      <c r="Q197" s="244"/>
      <c r="R197" s="244"/>
      <c r="S197" s="244"/>
      <c r="T197" s="244"/>
      <c r="U197" s="244"/>
      <c r="V197" s="244" t="str">
        <f>CONCATENATE("Policy and Legal Provision(",SUMIFS($AR$114:$AR$165,$BS$114:$BS$165,"Policy and Legal Provision"),"), ","Infrastructure and Development(",SUMIFS($AR$114:$AR$165,$BS$114:$BS$165,"Infrastructure and Development"),"), ","Awareness and Education(",SUMIFS($AR$114:$AR$165,$BS$114:$BS$165,"Awareness and Education"),")")</f>
        <v>Policy and Legal Provision(2), Infrastructure and Development(10), Awareness and Education(5)</v>
      </c>
      <c r="W197" s="244"/>
      <c r="X197" s="244"/>
      <c r="Y197" s="244"/>
      <c r="Z197" s="244"/>
      <c r="AA197" s="244"/>
      <c r="AB197" s="244"/>
      <c r="AC197" s="244"/>
      <c r="AD197" s="244"/>
      <c r="AE197" s="244"/>
    </row>
    <row r="198" spans="1:31" ht="15" customHeight="1" x14ac:dyDescent="0.25">
      <c r="A198" s="219" t="s">
        <v>912</v>
      </c>
      <c r="B198" s="244" t="str">
        <f>CONCATENATE("Infrastructure and Economic(",SUMIFS(BC10:BC49,BS10:BS49,"Infrastructure and Economic"),"), ","Health and Education(",SUMIFS(BC10:BC49,BS10:BS49,"Health and Education"),"), ","Agriculture and Environment(",SUMIFS(BC10:BC49,BS10:BS49,"Agriculture and Environment"),")")</f>
        <v>Infrastructure and Economic(2), Health and Education(4), Agriculture and Environment(1)</v>
      </c>
      <c r="C198" s="244"/>
      <c r="D198" s="244"/>
      <c r="E198" s="244"/>
      <c r="F198" s="244"/>
      <c r="G198" s="244"/>
      <c r="H198" s="244"/>
      <c r="I198" s="244"/>
      <c r="J198" s="244"/>
      <c r="K198" s="244"/>
      <c r="L198" s="244" t="str">
        <f>CONCATENATE("Policy and Legal Provisions(",SUMIFS($BC$56:$BC$107,$BS$56:$BS$107,"Policy and Legal Provisions"),"), ","Awareness and Education(",SUMIFS($BC$56:$BC$107,$BS$56:$BS$107,"Awareness and Education"),"), ","Infrastructure and Basic Services(",SUMIFS($BC$56:$BC$107,$BS$56:$BS$107,"Infrastructure and Basic Services"),")")</f>
        <v>Policy and Legal Provisions(1), Awareness and Education(2), Infrastructure and Basic Services(4)</v>
      </c>
      <c r="M198" s="244"/>
      <c r="N198" s="244"/>
      <c r="O198" s="244"/>
      <c r="P198" s="244"/>
      <c r="Q198" s="244"/>
      <c r="R198" s="244"/>
      <c r="S198" s="244"/>
      <c r="T198" s="244"/>
      <c r="U198" s="244"/>
      <c r="V198" s="244" t="str">
        <f>CONCATENATE("Policy and Legal Provision(",SUMIFS($BC$114:$BC$165,$BS$114:$BS$165,"Policy and Legal Provision"),"), ","Infrastructure and Development(",SUMIFS($BC$114:$BC$165,$BS$114:$BS$165,"Infrastructure and Development"),"), ","Awareness and Education(",SUMIFS($BC$114:$BC$165,$BS$114:$BS$165,"Awareness and Education"),")")</f>
        <v>Policy and Legal Provision(0), Infrastructure and Development(4), Awareness and Education(3)</v>
      </c>
      <c r="W198" s="244"/>
      <c r="X198" s="244"/>
      <c r="Y198" s="244"/>
      <c r="Z198" s="244"/>
      <c r="AA198" s="244"/>
      <c r="AB198" s="244"/>
      <c r="AC198" s="244"/>
      <c r="AD198" s="244"/>
      <c r="AE198" s="244"/>
    </row>
    <row r="199" spans="1:31" ht="15.75" thickBot="1" x14ac:dyDescent="0.3">
      <c r="A199" s="220" t="s">
        <v>916</v>
      </c>
      <c r="B199" s="245" t="str">
        <f>CONCATENATE("Infrastructure and Economic(",SUMIFS(BN10:BN49,BS10:BS49,"Infrastructure and Economic"),"), ","Health and Education(",SUMIFS(BN10:BN49,BS10:BS49,"Health and Education"),"), ","Agriculture and Environment(",SUMIFS(BN10:BN49,BS10:BS49,"Agriculture and Environment"),")")</f>
        <v>Infrastructure and Economic(20), Health and Education(3), Agriculture and Environment(21)</v>
      </c>
      <c r="C199" s="245"/>
      <c r="D199" s="245"/>
      <c r="E199" s="245"/>
      <c r="F199" s="245"/>
      <c r="G199" s="245"/>
      <c r="H199" s="245"/>
      <c r="I199" s="245"/>
      <c r="J199" s="245"/>
      <c r="K199" s="245"/>
      <c r="L199" s="245" t="str">
        <f>CONCATENATE("Policy and Legal Provisions(",SUMIFS($BN$56:$BN$107,$BS$56:$BS$107,"Policy and Legal Provisions"),"), ","Awareness and Education(",SUMIFS($BN$56:$BN$107,$BS$56:$BS$107,"Awareness and Education"),"), ","Infrastructure and Basic Services(",SUMIFS($BN$56:$BN$107,$BS$56:$BS$107,"Infrastructure and Basic Services"),")")</f>
        <v>Policy and Legal Provisions(14), Awareness and Education(13), Infrastructure and Basic Services(10)</v>
      </c>
      <c r="M199" s="245"/>
      <c r="N199" s="245"/>
      <c r="O199" s="245"/>
      <c r="P199" s="245"/>
      <c r="Q199" s="245"/>
      <c r="R199" s="245"/>
      <c r="S199" s="245"/>
      <c r="T199" s="245"/>
      <c r="U199" s="245"/>
      <c r="V199" s="245" t="str">
        <f>CONCATENATE("Policy and Legal Provision(",SUMIFS($BN$114:$BN$165,$BS$114:$BS$165,"Policy and Legal Provision"),"), ","Infrastructure and Development(",SUMIFS($BN$114:$BN$165,$BS$114:$BS$165,"Infrastructure and Development"),"), ","Awareness and Education(",SUMIFS($BN$114:$BN$165,$BS$114:$BS$165,"Awareness and Education"),")")</f>
        <v>Policy and Legal Provision(9), Infrastructure and Development(24), Awareness and Education(11)</v>
      </c>
      <c r="W199" s="245"/>
      <c r="X199" s="245"/>
      <c r="Y199" s="245"/>
      <c r="Z199" s="245"/>
      <c r="AA199" s="245"/>
      <c r="AB199" s="245"/>
      <c r="AC199" s="245"/>
      <c r="AD199" s="245"/>
      <c r="AE199" s="245"/>
    </row>
    <row r="201" spans="1:31" x14ac:dyDescent="0.25">
      <c r="W201">
        <f>SUMIFS($BN$114:$BN$165,$BS$114:$BS$165,"Policy and Legal Provision")</f>
        <v>9</v>
      </c>
    </row>
    <row r="202" spans="1:31" x14ac:dyDescent="0.25">
      <c r="B202" s="271" t="s">
        <v>890</v>
      </c>
      <c r="C202" s="271"/>
      <c r="D202" s="271"/>
      <c r="E202" s="222"/>
      <c r="F202" s="271" t="s">
        <v>892</v>
      </c>
      <c r="G202" s="271"/>
      <c r="H202" s="271"/>
      <c r="I202" s="222"/>
      <c r="J202" s="271" t="s">
        <v>891</v>
      </c>
      <c r="K202" s="271"/>
      <c r="L202" s="271"/>
    </row>
    <row r="203" spans="1:31" ht="66" x14ac:dyDescent="0.3">
      <c r="A203" s="278" t="s">
        <v>945</v>
      </c>
      <c r="B203" s="279" t="s">
        <v>924</v>
      </c>
      <c r="C203" s="279" t="s">
        <v>922</v>
      </c>
      <c r="D203" s="279" t="s">
        <v>923</v>
      </c>
      <c r="E203" s="279"/>
      <c r="F203" s="279" t="s">
        <v>942</v>
      </c>
      <c r="G203" s="279" t="s">
        <v>929</v>
      </c>
      <c r="H203" s="279" t="s">
        <v>943</v>
      </c>
      <c r="I203" s="279"/>
      <c r="J203" s="279" t="s">
        <v>944</v>
      </c>
      <c r="K203" s="279" t="s">
        <v>927</v>
      </c>
      <c r="L203" s="279" t="s">
        <v>929</v>
      </c>
      <c r="M203" s="4"/>
      <c r="W203">
        <f>SUMIFS($BC$114:$BC$165,$BS$114:$BS$165,"Policy and Legal Provision")</f>
        <v>0</v>
      </c>
    </row>
    <row r="204" spans="1:31" x14ac:dyDescent="0.25">
      <c r="A204" s="4" t="s">
        <v>896</v>
      </c>
      <c r="B204">
        <f>SUMIFS(K$10:K$49,BS$10:BS$49,B$203)</f>
        <v>5</v>
      </c>
      <c r="C204">
        <f>SUMIFS(K$10:K$49,BS$10:BS$49,C$203)</f>
        <v>4</v>
      </c>
      <c r="D204">
        <f>SUMIFS(K$10:K$49,BS$10:BS$49,D$203)</f>
        <v>8</v>
      </c>
      <c r="E204">
        <f>SUM(B204:D204)</f>
        <v>17</v>
      </c>
      <c r="F204">
        <f>SUMIFS($K$56:$K$107,$BS$56:$BS$107,F$203)</f>
        <v>9</v>
      </c>
      <c r="G204">
        <f>SUMIFS($K$56:$K$107,$BS$56:$BS$107,G$203)</f>
        <v>4</v>
      </c>
      <c r="H204">
        <f>SUMIFS($K$56:$K$107,$BS$56:$BS$107,H$203)</f>
        <v>2</v>
      </c>
      <c r="I204" s="280">
        <f>SUM(F204:H204)</f>
        <v>15</v>
      </c>
      <c r="J204">
        <f>SUMIFS($K$114:$K$165,$BS$114:$BS$165,J$203)</f>
        <v>3</v>
      </c>
      <c r="K204">
        <f>SUMIFS($K$114:$K$165,$BS$114:$BS$165,K$203)</f>
        <v>9</v>
      </c>
      <c r="L204">
        <f t="shared" ref="K204:L209" si="42">SUMIFS($K$114:$K$165,$BS$114:$BS$165,L$203)</f>
        <v>6</v>
      </c>
      <c r="M204" s="94">
        <f>SUM(J204:L204)</f>
        <v>18</v>
      </c>
    </row>
    <row r="205" spans="1:31" x14ac:dyDescent="0.25">
      <c r="A205" s="4" t="s">
        <v>900</v>
      </c>
      <c r="B205">
        <f>SUMIFS(V$10:V$49,BS$10:BS$49,B$203)</f>
        <v>5</v>
      </c>
      <c r="C205">
        <f>SUMIFS(V$10:V$49,BS$10:BS$49,C$203)</f>
        <v>2</v>
      </c>
      <c r="D205">
        <f>SUMIFS(V$10:V$49,BS$10:BS$49,D$203)</f>
        <v>2</v>
      </c>
      <c r="E205">
        <f>SUM(B205:D205)</f>
        <v>9</v>
      </c>
      <c r="F205">
        <f>SUMIFS($V$56:$V$107,$BS$56:$BS$107,F$203)</f>
        <v>2</v>
      </c>
      <c r="G205">
        <f>SUMIFS($V$56:$V$107,$BS$56:$BS$107,G$203)</f>
        <v>5</v>
      </c>
      <c r="H205">
        <f>SUMIFS($V$56:$V$107,$BS$56:$BS$107,H$203)</f>
        <v>2</v>
      </c>
      <c r="I205">
        <f t="shared" ref="I205:I209" si="43">SUM(F205:H205)</f>
        <v>9</v>
      </c>
      <c r="J205">
        <f>SUMIFS($V$114:$V$165,$BS$114:$BS$165,J$203)</f>
        <v>1</v>
      </c>
      <c r="K205">
        <f>SUMIFS($V$114:$V$165,$BS$114:$BS$165,K$203)</f>
        <v>3</v>
      </c>
      <c r="L205">
        <f>SUMIFS($V$114:$V$165,$BS$114:$BS$165,L$203)</f>
        <v>5</v>
      </c>
      <c r="M205">
        <f t="shared" ref="M205:M209" si="44">SUM(J205:L205)</f>
        <v>9</v>
      </c>
    </row>
    <row r="206" spans="1:31" x14ac:dyDescent="0.25">
      <c r="A206" s="4" t="s">
        <v>904</v>
      </c>
      <c r="B206">
        <f>SUMIFS(AG$10:AG$49,BS$10:BS$49,B$203)</f>
        <v>1</v>
      </c>
      <c r="C206">
        <f>SUMIFS(AG$10:AG$49,BS$10:BS$49,C$203)</f>
        <v>1</v>
      </c>
      <c r="D206">
        <f>SUMIFS(AG$10:AG$49,BS$10:BS$49,D$203)</f>
        <v>4</v>
      </c>
      <c r="E206">
        <f t="shared" ref="E206:E208" si="45">SUM(B206:D206)</f>
        <v>6</v>
      </c>
      <c r="F206">
        <f>SUMIFS($AG$56:$AG$107,$BS$56:$BS$107,F$203)</f>
        <v>3</v>
      </c>
      <c r="G206">
        <f>SUMIFS($AG$56:$AG$107,$BS$56:$BS$107,G$203)</f>
        <v>2</v>
      </c>
      <c r="H206">
        <f>SUMIFS($AG$56:$AG$107,$BS$56:$BS$107,H$203)</f>
        <v>2</v>
      </c>
      <c r="I206">
        <f t="shared" si="43"/>
        <v>7</v>
      </c>
      <c r="J206">
        <f>SUMIFS($AG$114:$AG$165,$BS$114:$BS$165,J$203)</f>
        <v>3</v>
      </c>
      <c r="K206">
        <f>SUMIFS($AG$114:$AG$165,$BS$114:$BS$165,K$203)</f>
        <v>4</v>
      </c>
      <c r="L206">
        <f>SUMIFS($AG$114:$AG$165,$BS$114:$BS$165,L$203)</f>
        <v>1</v>
      </c>
      <c r="M206">
        <f t="shared" si="44"/>
        <v>8</v>
      </c>
    </row>
    <row r="207" spans="1:31" x14ac:dyDescent="0.25">
      <c r="A207" s="4" t="s">
        <v>908</v>
      </c>
      <c r="B207">
        <f>SUMIFS(AR$10:AR$49,BS$10:BS$49,B$203)</f>
        <v>7</v>
      </c>
      <c r="C207">
        <f>SUMIFS(AR$10:AR$49,BS$10:BS$49,C$203)</f>
        <v>1</v>
      </c>
      <c r="D207">
        <f>SUMIFS(AR$10:AR$49,BS$10:BS$49,D$203)</f>
        <v>10</v>
      </c>
      <c r="E207">
        <f t="shared" si="45"/>
        <v>18</v>
      </c>
      <c r="F207">
        <f>SUMIFS($AR$56:$AR$107,$BS$56:$BS$107,F$203)</f>
        <v>5</v>
      </c>
      <c r="G207">
        <f>SUMIFS($AR$56:$AR$107,$BS$56:$BS$107,G$203)</f>
        <v>5</v>
      </c>
      <c r="H207">
        <f>SUMIFS($AR$56:$AR$107,$BS$56:$BS$107,H$203)</f>
        <v>4</v>
      </c>
      <c r="I207">
        <f t="shared" si="43"/>
        <v>14</v>
      </c>
      <c r="J207">
        <f>SUMIFS($AR$114:$AR$165,$BS$114:$BS$165,J$203)</f>
        <v>2</v>
      </c>
      <c r="K207">
        <f>SUMIFS($AR$114:$AR$165,$BS$114:$BS$165,K$203)</f>
        <v>10</v>
      </c>
      <c r="L207">
        <f>SUMIFS($AR$114:$AR$165,$BS$114:$BS$165,L$203)</f>
        <v>5</v>
      </c>
      <c r="M207" s="94">
        <f t="shared" si="44"/>
        <v>17</v>
      </c>
    </row>
    <row r="208" spans="1:31" ht="30" x14ac:dyDescent="0.25">
      <c r="A208" s="4" t="s">
        <v>912</v>
      </c>
      <c r="B208">
        <f>SUMIFS(BC$10:BC$49,BS$10:BS$49,B$203)</f>
        <v>2</v>
      </c>
      <c r="C208">
        <f>SUMIFS(BC$10:BC$49,BS$10:BS$49,C$203)</f>
        <v>4</v>
      </c>
      <c r="D208">
        <f>SUMIFS(BC$10:BC$49,BS$10:BS$49,D$203)</f>
        <v>1</v>
      </c>
      <c r="E208">
        <f t="shared" si="45"/>
        <v>7</v>
      </c>
      <c r="F208">
        <f>SUMIFS($BC$56:$BC$107,$BS$56:$BS$107,F$203)</f>
        <v>1</v>
      </c>
      <c r="G208">
        <f>SUMIFS($BC$56:$BC$107,$BS$56:$BS$107,G$203)</f>
        <v>2</v>
      </c>
      <c r="H208">
        <f>SUMIFS($BC$56:$BC$107,$BS$56:$BS$107,H$203)</f>
        <v>4</v>
      </c>
      <c r="I208">
        <f t="shared" si="43"/>
        <v>7</v>
      </c>
      <c r="J208">
        <f>SUMIFS($BC$114:$BC$165,$BS$114:$BS$165,J$203)</f>
        <v>0</v>
      </c>
      <c r="K208">
        <f>SUMIFS($BC$114:$BC$165,$BS$114:$BS$165,K$203)</f>
        <v>4</v>
      </c>
      <c r="L208">
        <f>SUMIFS($BC$114:$BC$165,$BS$114:$BS$165,L$203)</f>
        <v>3</v>
      </c>
      <c r="M208" s="94">
        <f t="shared" si="44"/>
        <v>7</v>
      </c>
    </row>
    <row r="209" spans="1:13" x14ac:dyDescent="0.25">
      <c r="A209" s="4" t="s">
        <v>916</v>
      </c>
      <c r="B209">
        <f>SUMIFS(BN$10:BN$49,BS$10:BS$49,B$203)</f>
        <v>20</v>
      </c>
      <c r="C209">
        <f>SUMIFS(BN$10:BN$49,BS$10:BS$49,C$203)</f>
        <v>3</v>
      </c>
      <c r="D209">
        <f>SUMIFS(BN$10:BN$49,BS$10:BS$49,D$203)</f>
        <v>21</v>
      </c>
      <c r="E209" s="280">
        <f t="shared" ref="E209" si="46">SUM(B209:D209)</f>
        <v>44</v>
      </c>
      <c r="F209">
        <f>SUMIFS($BN$56:$BN$107,$BS$56:$BS$107,F$203)</f>
        <v>14</v>
      </c>
      <c r="G209">
        <f>SUMIFS($BN$56:$BN$107,$BS$56:$BS$107,G$203)</f>
        <v>13</v>
      </c>
      <c r="H209">
        <f>SUMIFS($BN$56:$BN$107,$BS$56:$BS$107,H$203)</f>
        <v>10</v>
      </c>
      <c r="I209">
        <f t="shared" si="43"/>
        <v>37</v>
      </c>
      <c r="J209">
        <f>SUMIFS($BN$114:$BN$165,$BS$114:$BS$165,J$203)</f>
        <v>9</v>
      </c>
      <c r="K209">
        <f>SUMIFS($BN$114:$BN$165,$BS$114:$BS$165,K$203)</f>
        <v>24</v>
      </c>
      <c r="L209">
        <f>SUMIFS($BN$114:$BN$165,$BS$114:$BS$165,L$203)</f>
        <v>11</v>
      </c>
      <c r="M209" s="94">
        <f t="shared" si="44"/>
        <v>44</v>
      </c>
    </row>
    <row r="210" spans="1:13" x14ac:dyDescent="0.25">
      <c r="A210" s="4" t="s">
        <v>953</v>
      </c>
    </row>
    <row r="211" spans="1:13" x14ac:dyDescent="0.25">
      <c r="A211" s="4" t="s">
        <v>947</v>
      </c>
      <c r="E211">
        <f>K50</f>
        <v>17</v>
      </c>
      <c r="G211" t="s">
        <v>954</v>
      </c>
      <c r="I211" s="280">
        <f>K108</f>
        <v>16</v>
      </c>
      <c r="M211" s="94">
        <f>K166</f>
        <v>18</v>
      </c>
    </row>
    <row r="212" spans="1:13" x14ac:dyDescent="0.25">
      <c r="A212" s="4" t="s">
        <v>948</v>
      </c>
      <c r="E212">
        <f>V50</f>
        <v>9</v>
      </c>
      <c r="I212">
        <f>V108</f>
        <v>9</v>
      </c>
      <c r="M212">
        <f>V166</f>
        <v>9</v>
      </c>
    </row>
    <row r="213" spans="1:13" x14ac:dyDescent="0.25">
      <c r="A213" s="4" t="s">
        <v>949</v>
      </c>
      <c r="E213">
        <f>AG50</f>
        <v>7</v>
      </c>
      <c r="I213">
        <f>AG108</f>
        <v>7</v>
      </c>
      <c r="M213">
        <f>AG166</f>
        <v>8</v>
      </c>
    </row>
    <row r="214" spans="1:13" x14ac:dyDescent="0.25">
      <c r="A214" s="4" t="s">
        <v>950</v>
      </c>
      <c r="E214">
        <f>AR50</f>
        <v>18</v>
      </c>
      <c r="G214" s="138"/>
      <c r="I214">
        <f>AR108</f>
        <v>14</v>
      </c>
      <c r="M214" s="94">
        <f>AR166</f>
        <v>17</v>
      </c>
    </row>
    <row r="215" spans="1:13" x14ac:dyDescent="0.25">
      <c r="A215" s="4" t="s">
        <v>951</v>
      </c>
      <c r="E215">
        <f>BC50</f>
        <v>7</v>
      </c>
      <c r="I215">
        <f>BC108</f>
        <v>7</v>
      </c>
      <c r="M215" s="94">
        <f>BC166</f>
        <v>7</v>
      </c>
    </row>
    <row r="216" spans="1:13" x14ac:dyDescent="0.25">
      <c r="A216" s="4" t="s">
        <v>952</v>
      </c>
      <c r="B216">
        <v>1</v>
      </c>
      <c r="C216" t="s">
        <v>946</v>
      </c>
      <c r="E216" s="281">
        <f>BN50</f>
        <v>45</v>
      </c>
      <c r="I216">
        <f>BN108</f>
        <v>37</v>
      </c>
      <c r="M216" s="94">
        <f>BN166</f>
        <v>44</v>
      </c>
    </row>
    <row r="219" spans="1:13" x14ac:dyDescent="0.25">
      <c r="B219" t="s">
        <v>922</v>
      </c>
    </row>
    <row r="235" ht="66.75" customHeight="1" x14ac:dyDescent="0.25"/>
  </sheetData>
  <mergeCells count="124">
    <mergeCell ref="B202:D202"/>
    <mergeCell ref="F202:H202"/>
    <mergeCell ref="J202:L202"/>
    <mergeCell ref="V197:AE197"/>
    <mergeCell ref="V198:AE198"/>
    <mergeCell ref="V199:AE199"/>
    <mergeCell ref="L193:U193"/>
    <mergeCell ref="V193:AE193"/>
    <mergeCell ref="V194:AE194"/>
    <mergeCell ref="V195:AE195"/>
    <mergeCell ref="V196:AE196"/>
    <mergeCell ref="B198:K198"/>
    <mergeCell ref="B199:K199"/>
    <mergeCell ref="L194:U194"/>
    <mergeCell ref="L196:U196"/>
    <mergeCell ref="L195:U195"/>
    <mergeCell ref="L197:U197"/>
    <mergeCell ref="L198:U198"/>
    <mergeCell ref="L199:U199"/>
    <mergeCell ref="B193:K193"/>
    <mergeCell ref="B194:K194"/>
    <mergeCell ref="B195:K195"/>
    <mergeCell ref="B196:K196"/>
    <mergeCell ref="B197:K197"/>
    <mergeCell ref="B186:K186"/>
    <mergeCell ref="L188:U188"/>
    <mergeCell ref="L189:U189"/>
    <mergeCell ref="V183:AE183"/>
    <mergeCell ref="V185:AE185"/>
    <mergeCell ref="V186:AE186"/>
    <mergeCell ref="V187:AE187"/>
    <mergeCell ref="V188:AE188"/>
    <mergeCell ref="V189:AE189"/>
    <mergeCell ref="L187:U187"/>
    <mergeCell ref="V184:AE184"/>
    <mergeCell ref="B187:K187"/>
    <mergeCell ref="B188:K188"/>
    <mergeCell ref="B189:K189"/>
    <mergeCell ref="L185:U185"/>
    <mergeCell ref="L186:U186"/>
    <mergeCell ref="B185:K185"/>
    <mergeCell ref="V178:AE178"/>
    <mergeCell ref="V179:AE179"/>
    <mergeCell ref="L178:U178"/>
    <mergeCell ref="L179:U179"/>
    <mergeCell ref="B179:K179"/>
    <mergeCell ref="B178:K178"/>
    <mergeCell ref="B184:K184"/>
    <mergeCell ref="L183:U183"/>
    <mergeCell ref="L184:U184"/>
    <mergeCell ref="B183:K183"/>
    <mergeCell ref="BE112:BM112"/>
    <mergeCell ref="V173:AE173"/>
    <mergeCell ref="V174:AE174"/>
    <mergeCell ref="V175:AE175"/>
    <mergeCell ref="V176:AE176"/>
    <mergeCell ref="AI112:AQ112"/>
    <mergeCell ref="AT112:BB112"/>
    <mergeCell ref="X111:AH111"/>
    <mergeCell ref="AI111:AS111"/>
    <mergeCell ref="V177:AE177"/>
    <mergeCell ref="A112:A113"/>
    <mergeCell ref="B112:J112"/>
    <mergeCell ref="M112:U112"/>
    <mergeCell ref="X112:AF112"/>
    <mergeCell ref="L177:U177"/>
    <mergeCell ref="B173:K173"/>
    <mergeCell ref="BE54:BM54"/>
    <mergeCell ref="L173:U173"/>
    <mergeCell ref="L174:U174"/>
    <mergeCell ref="L175:U175"/>
    <mergeCell ref="L176:U176"/>
    <mergeCell ref="AT110:BD110"/>
    <mergeCell ref="BE110:BO110"/>
    <mergeCell ref="AT111:BD111"/>
    <mergeCell ref="BE111:BO111"/>
    <mergeCell ref="AT54:BB54"/>
    <mergeCell ref="B110:L110"/>
    <mergeCell ref="M110:W110"/>
    <mergeCell ref="X110:AH110"/>
    <mergeCell ref="AI110:AS110"/>
    <mergeCell ref="B111:L111"/>
    <mergeCell ref="M111:W111"/>
    <mergeCell ref="A54:A55"/>
    <mergeCell ref="AT7:BD7"/>
    <mergeCell ref="M8:U8"/>
    <mergeCell ref="X8:AF8"/>
    <mergeCell ref="X6:AH6"/>
    <mergeCell ref="B54:J54"/>
    <mergeCell ref="M54:U54"/>
    <mergeCell ref="X54:AF54"/>
    <mergeCell ref="AI54:AQ54"/>
    <mergeCell ref="B52:L52"/>
    <mergeCell ref="M52:W52"/>
    <mergeCell ref="X52:AH52"/>
    <mergeCell ref="AI52:AS52"/>
    <mergeCell ref="B53:L53"/>
    <mergeCell ref="M53:W53"/>
    <mergeCell ref="X53:AH53"/>
    <mergeCell ref="AI53:AS53"/>
    <mergeCell ref="X7:AH7"/>
    <mergeCell ref="A1:F1"/>
    <mergeCell ref="B8:J8"/>
    <mergeCell ref="A8:A9"/>
    <mergeCell ref="BE6:BO6"/>
    <mergeCell ref="BE7:BO7"/>
    <mergeCell ref="B175:K175"/>
    <mergeCell ref="B176:K176"/>
    <mergeCell ref="B177:K177"/>
    <mergeCell ref="AT52:BD52"/>
    <mergeCell ref="BE52:BO52"/>
    <mergeCell ref="AT53:BD53"/>
    <mergeCell ref="BE53:BO53"/>
    <mergeCell ref="BE8:BM8"/>
    <mergeCell ref="B174:K174"/>
    <mergeCell ref="B6:L6"/>
    <mergeCell ref="B7:L7"/>
    <mergeCell ref="M6:W6"/>
    <mergeCell ref="M7:W7"/>
    <mergeCell ref="AI8:AQ8"/>
    <mergeCell ref="AT8:BB8"/>
    <mergeCell ref="AI6:AS6"/>
    <mergeCell ref="AI7:AS7"/>
    <mergeCell ref="AT6:BD6"/>
  </mergeCells>
  <conditionalFormatting sqref="K56:L107">
    <cfRule type="colorScale" priority="42">
      <colorScale>
        <cfvo type="min"/>
        <cfvo type="max"/>
        <color rgb="FFFCFCFF"/>
        <color rgb="FFF8696B"/>
      </colorScale>
    </cfRule>
  </conditionalFormatting>
  <conditionalFormatting sqref="V56:W107">
    <cfRule type="colorScale" priority="43">
      <colorScale>
        <cfvo type="min"/>
        <cfvo type="max"/>
        <color rgb="FFFCFCFF"/>
        <color rgb="FFF8696B"/>
      </colorScale>
    </cfRule>
  </conditionalFormatting>
  <conditionalFormatting sqref="AG56:AH107">
    <cfRule type="colorScale" priority="44">
      <colorScale>
        <cfvo type="min"/>
        <cfvo type="max"/>
        <color rgb="FFFCFCFF"/>
        <color rgb="FFF8696B"/>
      </colorScale>
    </cfRule>
  </conditionalFormatting>
  <conditionalFormatting sqref="AR56:AS107">
    <cfRule type="colorScale" priority="45">
      <colorScale>
        <cfvo type="min"/>
        <cfvo type="max"/>
        <color rgb="FFFCFCFF"/>
        <color rgb="FFF8696B"/>
      </colorScale>
    </cfRule>
  </conditionalFormatting>
  <conditionalFormatting sqref="BC56:BD107">
    <cfRule type="colorScale" priority="46">
      <colorScale>
        <cfvo type="min"/>
        <cfvo type="max"/>
        <color rgb="FFFCFCFF"/>
        <color rgb="FFF8696B"/>
      </colorScale>
    </cfRule>
  </conditionalFormatting>
  <conditionalFormatting sqref="BN56:BO107">
    <cfRule type="colorScale" priority="47">
      <colorScale>
        <cfvo type="min"/>
        <cfvo type="max"/>
        <color rgb="FFFCFCFF"/>
        <color rgb="FFF8696B"/>
      </colorScale>
    </cfRule>
  </conditionalFormatting>
  <conditionalFormatting sqref="K10:L49 K109:L109 K51:L51">
    <cfRule type="colorScale" priority="100">
      <colorScale>
        <cfvo type="min"/>
        <cfvo type="max"/>
        <color rgb="FFFCFCFF"/>
        <color rgb="FFF8696B"/>
      </colorScale>
    </cfRule>
  </conditionalFormatting>
  <conditionalFormatting sqref="V10:W49 V109:W109 V51:W51">
    <cfRule type="colorScale" priority="103">
      <colorScale>
        <cfvo type="min"/>
        <cfvo type="max"/>
        <color rgb="FFFCFCFF"/>
        <color rgb="FFF8696B"/>
      </colorScale>
    </cfRule>
  </conditionalFormatting>
  <conditionalFormatting sqref="AG10:AH49 AG109:AH109 AG51:AH51">
    <cfRule type="colorScale" priority="106">
      <colorScale>
        <cfvo type="min"/>
        <cfvo type="max"/>
        <color rgb="FFFCFCFF"/>
        <color rgb="FFF8696B"/>
      </colorScale>
    </cfRule>
  </conditionalFormatting>
  <conditionalFormatting sqref="AR10:AS49 AR109:AS109 AR51:AS51">
    <cfRule type="colorScale" priority="109">
      <colorScale>
        <cfvo type="min"/>
        <cfvo type="max"/>
        <color rgb="FFFCFCFF"/>
        <color rgb="FFF8696B"/>
      </colorScale>
    </cfRule>
  </conditionalFormatting>
  <conditionalFormatting sqref="BC10:BD49 BC109:BD109 BC51:BD51">
    <cfRule type="colorScale" priority="112">
      <colorScale>
        <cfvo type="min"/>
        <cfvo type="max"/>
        <color rgb="FFFCFCFF"/>
        <color rgb="FFF8696B"/>
      </colorScale>
    </cfRule>
  </conditionalFormatting>
  <conditionalFormatting sqref="BN10:BO49 BN109:BO109 BN51:BO51">
    <cfRule type="colorScale" priority="115">
      <colorScale>
        <cfvo type="min"/>
        <cfvo type="max"/>
        <color rgb="FFFCFCFF"/>
        <color rgb="FFF8696B"/>
      </colorScale>
    </cfRule>
  </conditionalFormatting>
  <conditionalFormatting sqref="K114:L165">
    <cfRule type="colorScale" priority="30">
      <colorScale>
        <cfvo type="min"/>
        <cfvo type="max"/>
        <color rgb="FFFCFCFF"/>
        <color rgb="FFF8696B"/>
      </colorScale>
    </cfRule>
  </conditionalFormatting>
  <conditionalFormatting sqref="V114:W165">
    <cfRule type="colorScale" priority="31">
      <colorScale>
        <cfvo type="min"/>
        <cfvo type="max"/>
        <color rgb="FFFCFCFF"/>
        <color rgb="FFF8696B"/>
      </colorScale>
    </cfRule>
  </conditionalFormatting>
  <conditionalFormatting sqref="AG114:AH165">
    <cfRule type="colorScale" priority="32">
      <colorScale>
        <cfvo type="min"/>
        <cfvo type="max"/>
        <color rgb="FFFCFCFF"/>
        <color rgb="FFF8696B"/>
      </colorScale>
    </cfRule>
  </conditionalFormatting>
  <conditionalFormatting sqref="AR114:AS165">
    <cfRule type="colorScale" priority="33">
      <colorScale>
        <cfvo type="min"/>
        <cfvo type="max"/>
        <color rgb="FFFCFCFF"/>
        <color rgb="FFF8696B"/>
      </colorScale>
    </cfRule>
  </conditionalFormatting>
  <conditionalFormatting sqref="BC114:BD165">
    <cfRule type="colorScale" priority="34">
      <colorScale>
        <cfvo type="min"/>
        <cfvo type="max"/>
        <color rgb="FFFCFCFF"/>
        <color rgb="FFF8696B"/>
      </colorScale>
    </cfRule>
  </conditionalFormatting>
  <conditionalFormatting sqref="BN114:BO165">
    <cfRule type="colorScale" priority="35">
      <colorScale>
        <cfvo type="min"/>
        <cfvo type="max"/>
        <color rgb="FFFCFCFF"/>
        <color rgb="FFF8696B"/>
      </colorScale>
    </cfRule>
  </conditionalFormatting>
  <conditionalFormatting sqref="K167:L169">
    <cfRule type="colorScale" priority="116">
      <colorScale>
        <cfvo type="min"/>
        <cfvo type="max"/>
        <color rgb="FFFCFCFF"/>
        <color rgb="FFF8696B"/>
      </colorScale>
    </cfRule>
  </conditionalFormatting>
  <conditionalFormatting sqref="V167:W169">
    <cfRule type="colorScale" priority="118">
      <colorScale>
        <cfvo type="min"/>
        <cfvo type="max"/>
        <color rgb="FFFCFCFF"/>
        <color rgb="FFF8696B"/>
      </colorScale>
    </cfRule>
  </conditionalFormatting>
  <conditionalFormatting sqref="AG167:AH169">
    <cfRule type="colorScale" priority="120">
      <colorScale>
        <cfvo type="min"/>
        <cfvo type="max"/>
        <color rgb="FFFCFCFF"/>
        <color rgb="FFF8696B"/>
      </colorScale>
    </cfRule>
  </conditionalFormatting>
  <conditionalFormatting sqref="AR167:AS169">
    <cfRule type="colorScale" priority="122">
      <colorScale>
        <cfvo type="min"/>
        <cfvo type="max"/>
        <color rgb="FFFCFCFF"/>
        <color rgb="FFF8696B"/>
      </colorScale>
    </cfRule>
  </conditionalFormatting>
  <conditionalFormatting sqref="BC167:BD169">
    <cfRule type="colorScale" priority="124">
      <colorScale>
        <cfvo type="min"/>
        <cfvo type="max"/>
        <color rgb="FFFCFCFF"/>
        <color rgb="FFF8696B"/>
      </colorScale>
    </cfRule>
  </conditionalFormatting>
  <conditionalFormatting sqref="BN167:BO169">
    <cfRule type="colorScale" priority="126">
      <colorScale>
        <cfvo type="min"/>
        <cfvo type="max"/>
        <color rgb="FFFCFCFF"/>
        <color rgb="FFF8696B"/>
      </colorScale>
    </cfRule>
  </conditionalFormatting>
  <conditionalFormatting sqref="BR10:BR49">
    <cfRule type="colorScale" priority="13">
      <colorScale>
        <cfvo type="min"/>
        <cfvo type="percentile" val="50"/>
        <cfvo type="max"/>
        <color rgb="FF63BE7B"/>
        <color rgb="FFFFEB84"/>
        <color rgb="FFF8696B"/>
      </colorScale>
    </cfRule>
    <cfRule type="colorScale" priority="14">
      <colorScale>
        <cfvo type="min"/>
        <cfvo type="max"/>
        <color rgb="FFFCFCFF"/>
        <color rgb="FFF8696B"/>
      </colorScale>
    </cfRule>
  </conditionalFormatting>
  <conditionalFormatting sqref="BR56:BR107">
    <cfRule type="colorScale" priority="11">
      <colorScale>
        <cfvo type="min"/>
        <cfvo type="percentile" val="50"/>
        <cfvo type="max"/>
        <color rgb="FF63BE7B"/>
        <color rgb="FFFFEB84"/>
        <color rgb="FFF8696B"/>
      </colorScale>
    </cfRule>
    <cfRule type="colorScale" priority="12">
      <colorScale>
        <cfvo type="min"/>
        <cfvo type="max"/>
        <color rgb="FFFCFCFF"/>
        <color rgb="FFF8696B"/>
      </colorScale>
    </cfRule>
  </conditionalFormatting>
  <conditionalFormatting sqref="BR114:BR165">
    <cfRule type="colorScale" priority="9">
      <colorScale>
        <cfvo type="min"/>
        <cfvo type="percentile" val="50"/>
        <cfvo type="max"/>
        <color rgb="FF63BE7B"/>
        <color rgb="FFFFEB84"/>
        <color rgb="FFF8696B"/>
      </colorScale>
    </cfRule>
    <cfRule type="colorScale" priority="10">
      <colorScale>
        <cfvo type="min"/>
        <cfvo type="max"/>
        <color rgb="FFFCFCFF"/>
        <color rgb="FFF8696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J33"/>
  <sheetViews>
    <sheetView tabSelected="1" topLeftCell="A12" zoomScale="70" zoomScaleNormal="70" workbookViewId="0">
      <selection activeCell="O26" sqref="O26"/>
    </sheetView>
  </sheetViews>
  <sheetFormatPr defaultRowHeight="15" x14ac:dyDescent="0.25"/>
  <cols>
    <col min="1" max="1" width="51.5703125" bestFit="1" customWidth="1"/>
  </cols>
  <sheetData>
    <row r="3" spans="1:10" x14ac:dyDescent="0.25">
      <c r="A3" s="4"/>
      <c r="B3" s="153" t="s">
        <v>890</v>
      </c>
      <c r="C3" s="153"/>
      <c r="D3" s="153"/>
      <c r="E3" s="271" t="s">
        <v>892</v>
      </c>
      <c r="F3" s="271"/>
      <c r="G3" s="271"/>
      <c r="H3" s="271" t="s">
        <v>891</v>
      </c>
      <c r="I3" s="271"/>
      <c r="J3" s="271"/>
    </row>
    <row r="4" spans="1:10" ht="75" x14ac:dyDescent="0.25">
      <c r="A4" s="4" t="s">
        <v>945</v>
      </c>
      <c r="B4" s="4" t="s">
        <v>924</v>
      </c>
      <c r="C4" s="4" t="s">
        <v>922</v>
      </c>
      <c r="D4" s="4" t="s">
        <v>923</v>
      </c>
      <c r="E4" s="4" t="s">
        <v>942</v>
      </c>
      <c r="F4" s="4" t="s">
        <v>929</v>
      </c>
      <c r="G4" s="4" t="s">
        <v>943</v>
      </c>
      <c r="H4" s="4" t="s">
        <v>944</v>
      </c>
      <c r="I4" s="4" t="s">
        <v>927</v>
      </c>
      <c r="J4" s="4" t="s">
        <v>929</v>
      </c>
    </row>
    <row r="5" spans="1:10" x14ac:dyDescent="0.25">
      <c r="A5" s="4" t="s">
        <v>896</v>
      </c>
      <c r="B5">
        <v>5</v>
      </c>
      <c r="C5">
        <v>4</v>
      </c>
      <c r="D5">
        <v>8</v>
      </c>
      <c r="E5">
        <v>9</v>
      </c>
      <c r="F5">
        <v>4</v>
      </c>
      <c r="G5">
        <v>2</v>
      </c>
      <c r="H5">
        <v>3</v>
      </c>
      <c r="I5">
        <v>9</v>
      </c>
      <c r="J5">
        <v>6</v>
      </c>
    </row>
    <row r="6" spans="1:10" x14ac:dyDescent="0.25">
      <c r="A6" s="4" t="s">
        <v>900</v>
      </c>
      <c r="B6">
        <v>5</v>
      </c>
      <c r="C6">
        <v>2</v>
      </c>
      <c r="D6">
        <v>2</v>
      </c>
      <c r="E6">
        <v>2</v>
      </c>
      <c r="F6">
        <v>5</v>
      </c>
      <c r="G6">
        <v>2</v>
      </c>
      <c r="H6">
        <v>1</v>
      </c>
      <c r="I6">
        <v>3</v>
      </c>
      <c r="J6">
        <v>5</v>
      </c>
    </row>
    <row r="7" spans="1:10" x14ac:dyDescent="0.25">
      <c r="A7" s="4" t="s">
        <v>904</v>
      </c>
      <c r="B7">
        <v>1</v>
      </c>
      <c r="C7">
        <v>1</v>
      </c>
      <c r="D7">
        <v>4</v>
      </c>
      <c r="E7">
        <v>3</v>
      </c>
      <c r="F7">
        <v>2</v>
      </c>
      <c r="G7">
        <v>2</v>
      </c>
      <c r="H7">
        <v>3</v>
      </c>
      <c r="I7">
        <v>4</v>
      </c>
      <c r="J7">
        <v>1</v>
      </c>
    </row>
    <row r="8" spans="1:10" x14ac:dyDescent="0.25">
      <c r="A8" s="4" t="s">
        <v>908</v>
      </c>
      <c r="B8">
        <v>7</v>
      </c>
      <c r="C8">
        <v>1</v>
      </c>
      <c r="D8">
        <v>10</v>
      </c>
      <c r="E8">
        <v>5</v>
      </c>
      <c r="F8">
        <v>5</v>
      </c>
      <c r="G8">
        <v>4</v>
      </c>
      <c r="H8">
        <v>2</v>
      </c>
      <c r="I8">
        <v>10</v>
      </c>
      <c r="J8">
        <v>5</v>
      </c>
    </row>
    <row r="9" spans="1:10" x14ac:dyDescent="0.25">
      <c r="A9" s="4" t="s">
        <v>912</v>
      </c>
      <c r="B9">
        <v>2</v>
      </c>
      <c r="C9">
        <v>4</v>
      </c>
      <c r="D9">
        <v>1</v>
      </c>
      <c r="E9">
        <v>1</v>
      </c>
      <c r="F9">
        <v>2</v>
      </c>
      <c r="G9">
        <v>4</v>
      </c>
      <c r="H9">
        <v>0</v>
      </c>
      <c r="I9">
        <v>4</v>
      </c>
      <c r="J9">
        <v>3</v>
      </c>
    </row>
    <row r="10" spans="1:10" x14ac:dyDescent="0.25">
      <c r="A10" s="4" t="s">
        <v>916</v>
      </c>
      <c r="B10">
        <v>20</v>
      </c>
      <c r="C10">
        <v>3</v>
      </c>
      <c r="D10">
        <v>21</v>
      </c>
      <c r="E10">
        <v>14</v>
      </c>
      <c r="F10">
        <v>13</v>
      </c>
      <c r="G10">
        <v>10</v>
      </c>
      <c r="H10">
        <v>9</v>
      </c>
      <c r="I10">
        <v>24</v>
      </c>
      <c r="J10">
        <v>11</v>
      </c>
    </row>
    <row r="15" spans="1:10" ht="75" x14ac:dyDescent="0.25">
      <c r="A15" s="4" t="s">
        <v>945</v>
      </c>
      <c r="B15" s="4" t="s">
        <v>942</v>
      </c>
      <c r="C15" s="4" t="s">
        <v>929</v>
      </c>
      <c r="D15" s="4" t="s">
        <v>943</v>
      </c>
      <c r="H15" s="4"/>
      <c r="I15" s="4"/>
      <c r="J15" s="4"/>
    </row>
    <row r="16" spans="1:10" x14ac:dyDescent="0.25">
      <c r="A16" s="4" t="s">
        <v>896</v>
      </c>
      <c r="B16">
        <v>9</v>
      </c>
      <c r="C16">
        <v>4</v>
      </c>
      <c r="D16">
        <v>2</v>
      </c>
    </row>
    <row r="17" spans="1:7" x14ac:dyDescent="0.25">
      <c r="A17" s="4" t="s">
        <v>900</v>
      </c>
      <c r="B17">
        <v>2</v>
      </c>
      <c r="C17">
        <v>5</v>
      </c>
      <c r="D17">
        <v>2</v>
      </c>
    </row>
    <row r="18" spans="1:7" x14ac:dyDescent="0.25">
      <c r="A18" s="4" t="s">
        <v>904</v>
      </c>
      <c r="B18">
        <v>3</v>
      </c>
      <c r="C18">
        <v>2</v>
      </c>
      <c r="D18">
        <v>2</v>
      </c>
    </row>
    <row r="19" spans="1:7" x14ac:dyDescent="0.25">
      <c r="A19" s="4" t="s">
        <v>908</v>
      </c>
      <c r="B19">
        <v>5</v>
      </c>
      <c r="C19">
        <v>5</v>
      </c>
      <c r="D19">
        <v>4</v>
      </c>
    </row>
    <row r="20" spans="1:7" x14ac:dyDescent="0.25">
      <c r="A20" s="4" t="s">
        <v>912</v>
      </c>
      <c r="B20">
        <v>1</v>
      </c>
      <c r="C20">
        <v>2</v>
      </c>
      <c r="D20">
        <v>4</v>
      </c>
    </row>
    <row r="21" spans="1:7" x14ac:dyDescent="0.25">
      <c r="A21" s="4" t="s">
        <v>916</v>
      </c>
      <c r="B21">
        <v>14</v>
      </c>
      <c r="C21">
        <v>13</v>
      </c>
      <c r="D21">
        <v>10</v>
      </c>
    </row>
    <row r="26" spans="1:7" x14ac:dyDescent="0.25">
      <c r="A26" s="4"/>
      <c r="B26" s="271" t="s">
        <v>891</v>
      </c>
      <c r="C26" s="271"/>
      <c r="D26" s="271"/>
      <c r="E26" s="271"/>
      <c r="F26" s="271"/>
      <c r="G26" s="271"/>
    </row>
    <row r="27" spans="1:7" ht="75" x14ac:dyDescent="0.25">
      <c r="A27" s="4" t="s">
        <v>945</v>
      </c>
      <c r="B27" s="4" t="s">
        <v>944</v>
      </c>
      <c r="C27" s="4" t="s">
        <v>927</v>
      </c>
      <c r="D27" s="4" t="s">
        <v>929</v>
      </c>
      <c r="E27" s="4"/>
      <c r="F27" s="4"/>
      <c r="G27" s="4"/>
    </row>
    <row r="28" spans="1:7" x14ac:dyDescent="0.25">
      <c r="A28" s="4" t="s">
        <v>896</v>
      </c>
      <c r="B28">
        <v>3</v>
      </c>
      <c r="C28">
        <v>9</v>
      </c>
      <c r="D28">
        <v>6</v>
      </c>
    </row>
    <row r="29" spans="1:7" x14ac:dyDescent="0.25">
      <c r="A29" s="4" t="s">
        <v>900</v>
      </c>
      <c r="B29">
        <v>1</v>
      </c>
      <c r="C29">
        <v>3</v>
      </c>
      <c r="D29">
        <v>5</v>
      </c>
    </row>
    <row r="30" spans="1:7" x14ac:dyDescent="0.25">
      <c r="A30" s="4" t="s">
        <v>904</v>
      </c>
      <c r="B30">
        <v>3</v>
      </c>
      <c r="C30">
        <v>4</v>
      </c>
      <c r="D30">
        <v>1</v>
      </c>
    </row>
    <row r="31" spans="1:7" x14ac:dyDescent="0.25">
      <c r="A31" s="4" t="s">
        <v>908</v>
      </c>
      <c r="B31">
        <v>2</v>
      </c>
      <c r="C31">
        <v>10</v>
      </c>
      <c r="D31">
        <v>5</v>
      </c>
    </row>
    <row r="32" spans="1:7" x14ac:dyDescent="0.25">
      <c r="A32" s="4" t="s">
        <v>912</v>
      </c>
      <c r="B32">
        <v>0</v>
      </c>
      <c r="C32">
        <v>4</v>
      </c>
      <c r="D32">
        <v>3</v>
      </c>
    </row>
    <row r="33" spans="1:4" x14ac:dyDescent="0.25">
      <c r="A33" s="4" t="s">
        <v>916</v>
      </c>
      <c r="B33">
        <v>9</v>
      </c>
      <c r="C33">
        <v>24</v>
      </c>
      <c r="D33">
        <v>11</v>
      </c>
    </row>
  </sheetData>
  <mergeCells count="4">
    <mergeCell ref="E26:G26"/>
    <mergeCell ref="B26:D26"/>
    <mergeCell ref="E3:G3"/>
    <mergeCell ref="H3:J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53"/>
  <sheetViews>
    <sheetView topLeftCell="A118" workbookViewId="0">
      <selection activeCell="D102" sqref="D102"/>
    </sheetView>
  </sheetViews>
  <sheetFormatPr defaultRowHeight="15" x14ac:dyDescent="0.25"/>
  <cols>
    <col min="1" max="1" width="28.7109375" bestFit="1" customWidth="1"/>
    <col min="2" max="2" width="7.5703125" customWidth="1"/>
    <col min="3" max="3" width="30.140625" bestFit="1" customWidth="1"/>
    <col min="4" max="4" width="34.5703125" bestFit="1" customWidth="1"/>
    <col min="5" max="5" width="14.42578125" bestFit="1" customWidth="1"/>
    <col min="6" max="6" width="14.42578125" customWidth="1"/>
    <col min="7" max="7" width="59.42578125" bestFit="1" customWidth="1"/>
    <col min="8" max="8" width="30.140625" bestFit="1" customWidth="1"/>
  </cols>
  <sheetData>
    <row r="1" spans="1:3" x14ac:dyDescent="0.25">
      <c r="A1" t="s">
        <v>890</v>
      </c>
      <c r="B1" t="s">
        <v>804</v>
      </c>
      <c r="C1" t="s">
        <v>921</v>
      </c>
    </row>
    <row r="2" spans="1:3" x14ac:dyDescent="0.25">
      <c r="A2" t="s">
        <v>157</v>
      </c>
      <c r="B2">
        <v>4</v>
      </c>
    </row>
    <row r="3" spans="1:3" x14ac:dyDescent="0.25">
      <c r="A3" t="s">
        <v>158</v>
      </c>
      <c r="B3">
        <v>1</v>
      </c>
      <c r="C3" t="s">
        <v>924</v>
      </c>
    </row>
    <row r="4" spans="1:3" x14ac:dyDescent="0.25">
      <c r="A4" t="s">
        <v>159</v>
      </c>
      <c r="B4">
        <v>1</v>
      </c>
      <c r="C4" t="s">
        <v>924</v>
      </c>
    </row>
    <row r="5" spans="1:3" x14ac:dyDescent="0.25">
      <c r="A5" t="s">
        <v>174</v>
      </c>
      <c r="B5">
        <v>9</v>
      </c>
      <c r="C5" t="s">
        <v>924</v>
      </c>
    </row>
    <row r="6" spans="1:3" x14ac:dyDescent="0.25">
      <c r="A6" t="s">
        <v>197</v>
      </c>
      <c r="B6">
        <v>1</v>
      </c>
      <c r="C6" t="s">
        <v>922</v>
      </c>
    </row>
    <row r="7" spans="1:3" x14ac:dyDescent="0.25">
      <c r="A7" t="s">
        <v>198</v>
      </c>
      <c r="B7">
        <v>1</v>
      </c>
      <c r="C7" t="s">
        <v>922</v>
      </c>
    </row>
    <row r="8" spans="1:3" x14ac:dyDescent="0.25">
      <c r="A8" t="s">
        <v>229</v>
      </c>
      <c r="B8">
        <v>6</v>
      </c>
      <c r="C8" t="s">
        <v>922</v>
      </c>
    </row>
    <row r="9" spans="1:3" x14ac:dyDescent="0.25">
      <c r="A9" t="s">
        <v>211</v>
      </c>
      <c r="B9">
        <v>0</v>
      </c>
    </row>
    <row r="10" spans="1:3" x14ac:dyDescent="0.25">
      <c r="A10" t="s">
        <v>253</v>
      </c>
      <c r="B10">
        <v>2</v>
      </c>
      <c r="C10" t="s">
        <v>922</v>
      </c>
    </row>
    <row r="11" spans="1:3" x14ac:dyDescent="0.25">
      <c r="A11" t="s">
        <v>254</v>
      </c>
      <c r="B11">
        <v>0</v>
      </c>
    </row>
    <row r="12" spans="1:3" x14ac:dyDescent="0.25">
      <c r="A12" t="s">
        <v>275</v>
      </c>
      <c r="B12">
        <v>0</v>
      </c>
    </row>
    <row r="13" spans="1:3" x14ac:dyDescent="0.25">
      <c r="A13" t="s">
        <v>287</v>
      </c>
      <c r="B13">
        <v>19</v>
      </c>
      <c r="C13" t="s">
        <v>923</v>
      </c>
    </row>
    <row r="14" spans="1:3" x14ac:dyDescent="0.25">
      <c r="A14" t="s">
        <v>352</v>
      </c>
      <c r="B14">
        <v>15</v>
      </c>
      <c r="C14" t="s">
        <v>924</v>
      </c>
    </row>
    <row r="15" spans="1:3" x14ac:dyDescent="0.25">
      <c r="A15" t="s">
        <v>215</v>
      </c>
      <c r="B15">
        <v>2</v>
      </c>
      <c r="C15" t="s">
        <v>923</v>
      </c>
    </row>
    <row r="16" spans="1:3" x14ac:dyDescent="0.25">
      <c r="A16" t="s">
        <v>166</v>
      </c>
      <c r="B16">
        <v>6</v>
      </c>
      <c r="C16" t="s">
        <v>924</v>
      </c>
    </row>
    <row r="17" spans="1:3" x14ac:dyDescent="0.25">
      <c r="A17" t="s">
        <v>260</v>
      </c>
      <c r="B17">
        <v>1</v>
      </c>
      <c r="C17" t="s">
        <v>924</v>
      </c>
    </row>
    <row r="18" spans="1:3" x14ac:dyDescent="0.25">
      <c r="A18" t="s">
        <v>303</v>
      </c>
      <c r="B18">
        <v>2</v>
      </c>
    </row>
    <row r="19" spans="1:3" x14ac:dyDescent="0.25">
      <c r="A19" t="s">
        <v>167</v>
      </c>
      <c r="B19">
        <v>12</v>
      </c>
      <c r="C19" t="s">
        <v>923</v>
      </c>
    </row>
    <row r="20" spans="1:3" x14ac:dyDescent="0.25">
      <c r="A20" t="s">
        <v>168</v>
      </c>
      <c r="B20">
        <v>5</v>
      </c>
      <c r="C20" t="s">
        <v>924</v>
      </c>
    </row>
    <row r="21" spans="1:3" x14ac:dyDescent="0.25">
      <c r="A21" t="s">
        <v>202</v>
      </c>
      <c r="B21">
        <v>1</v>
      </c>
      <c r="C21" t="s">
        <v>923</v>
      </c>
    </row>
    <row r="22" spans="1:3" x14ac:dyDescent="0.25">
      <c r="A22" t="s">
        <v>304</v>
      </c>
      <c r="B22">
        <v>0</v>
      </c>
    </row>
    <row r="23" spans="1:3" x14ac:dyDescent="0.25">
      <c r="A23" t="s">
        <v>172</v>
      </c>
      <c r="B23">
        <v>0</v>
      </c>
    </row>
    <row r="24" spans="1:3" x14ac:dyDescent="0.25">
      <c r="A24" t="s">
        <v>353</v>
      </c>
      <c r="B24">
        <v>0</v>
      </c>
    </row>
    <row r="25" spans="1:3" x14ac:dyDescent="0.25">
      <c r="A25" t="s">
        <v>495</v>
      </c>
      <c r="B25">
        <v>0</v>
      </c>
    </row>
    <row r="26" spans="1:3" x14ac:dyDescent="0.25">
      <c r="A26" t="s">
        <v>316</v>
      </c>
      <c r="B26">
        <v>0</v>
      </c>
    </row>
    <row r="27" spans="1:3" x14ac:dyDescent="0.25">
      <c r="A27" t="s">
        <v>278</v>
      </c>
      <c r="B27">
        <v>1</v>
      </c>
      <c r="C27" t="s">
        <v>922</v>
      </c>
    </row>
    <row r="28" spans="1:3" x14ac:dyDescent="0.25">
      <c r="A28" t="s">
        <v>173</v>
      </c>
      <c r="B28">
        <v>0</v>
      </c>
    </row>
    <row r="29" spans="1:3" x14ac:dyDescent="0.25">
      <c r="A29" t="s">
        <v>165</v>
      </c>
      <c r="B29">
        <v>0</v>
      </c>
    </row>
    <row r="30" spans="1:3" x14ac:dyDescent="0.25">
      <c r="A30" t="s">
        <v>238</v>
      </c>
      <c r="B30">
        <v>1</v>
      </c>
      <c r="C30" t="s">
        <v>922</v>
      </c>
    </row>
    <row r="31" spans="1:3" x14ac:dyDescent="0.25">
      <c r="A31" t="s">
        <v>204</v>
      </c>
      <c r="B31">
        <v>2</v>
      </c>
      <c r="C31" t="s">
        <v>924</v>
      </c>
    </row>
    <row r="32" spans="1:3" x14ac:dyDescent="0.25">
      <c r="A32" t="s">
        <v>537</v>
      </c>
      <c r="B32">
        <v>0</v>
      </c>
    </row>
    <row r="33" spans="1:3" x14ac:dyDescent="0.25">
      <c r="A33" t="s">
        <v>234</v>
      </c>
      <c r="B33">
        <v>5</v>
      </c>
      <c r="C33" t="s">
        <v>923</v>
      </c>
    </row>
    <row r="34" spans="1:3" x14ac:dyDescent="0.25">
      <c r="A34" t="s">
        <v>318</v>
      </c>
      <c r="B34">
        <v>3</v>
      </c>
      <c r="C34" t="s">
        <v>923</v>
      </c>
    </row>
    <row r="35" spans="1:3" x14ac:dyDescent="0.25">
      <c r="A35" t="s">
        <v>497</v>
      </c>
      <c r="B35">
        <v>3</v>
      </c>
      <c r="C35" t="s">
        <v>922</v>
      </c>
    </row>
    <row r="36" spans="1:3" x14ac:dyDescent="0.25">
      <c r="A36" t="s">
        <v>203</v>
      </c>
      <c r="B36">
        <v>0</v>
      </c>
    </row>
    <row r="37" spans="1:3" x14ac:dyDescent="0.25">
      <c r="A37" t="s">
        <v>259</v>
      </c>
      <c r="B37">
        <v>0</v>
      </c>
    </row>
    <row r="38" spans="1:3" x14ac:dyDescent="0.25">
      <c r="A38" t="s">
        <v>307</v>
      </c>
      <c r="B38">
        <v>0</v>
      </c>
    </row>
    <row r="39" spans="1:3" x14ac:dyDescent="0.25">
      <c r="A39" t="s">
        <v>451</v>
      </c>
      <c r="B39">
        <v>0</v>
      </c>
    </row>
    <row r="40" spans="1:3" x14ac:dyDescent="0.25">
      <c r="A40" t="s">
        <v>480</v>
      </c>
      <c r="B40">
        <v>0</v>
      </c>
    </row>
    <row r="41" spans="1:3" x14ac:dyDescent="0.25">
      <c r="A41" t="s">
        <v>498</v>
      </c>
      <c r="B41">
        <v>0</v>
      </c>
    </row>
    <row r="45" spans="1:3" x14ac:dyDescent="0.25">
      <c r="A45" t="s">
        <v>892</v>
      </c>
      <c r="B45" t="s">
        <v>804</v>
      </c>
      <c r="C45" t="s">
        <v>921</v>
      </c>
    </row>
    <row r="46" spans="1:3" x14ac:dyDescent="0.25">
      <c r="A46" t="s">
        <v>163</v>
      </c>
      <c r="B46">
        <v>19</v>
      </c>
      <c r="C46" t="s">
        <v>925</v>
      </c>
    </row>
    <row r="47" spans="1:3" x14ac:dyDescent="0.25">
      <c r="A47" t="s">
        <v>164</v>
      </c>
      <c r="B47">
        <v>20</v>
      </c>
      <c r="C47" t="s">
        <v>424</v>
      </c>
    </row>
    <row r="48" spans="1:3" x14ac:dyDescent="0.25">
      <c r="A48" t="s">
        <v>200</v>
      </c>
      <c r="B48">
        <v>1</v>
      </c>
      <c r="C48" t="s">
        <v>424</v>
      </c>
    </row>
    <row r="49" spans="1:3" x14ac:dyDescent="0.25">
      <c r="A49" t="s">
        <v>201</v>
      </c>
      <c r="B49">
        <v>2</v>
      </c>
      <c r="C49" t="s">
        <v>925</v>
      </c>
    </row>
    <row r="50" spans="1:3" x14ac:dyDescent="0.25">
      <c r="A50" t="s">
        <v>232</v>
      </c>
      <c r="B50">
        <v>1</v>
      </c>
      <c r="C50" t="s">
        <v>424</v>
      </c>
    </row>
    <row r="51" spans="1:3" x14ac:dyDescent="0.25">
      <c r="A51" t="s">
        <v>208</v>
      </c>
      <c r="B51">
        <v>0</v>
      </c>
    </row>
    <row r="52" spans="1:3" x14ac:dyDescent="0.25">
      <c r="A52" t="s">
        <v>173</v>
      </c>
      <c r="B52">
        <v>1</v>
      </c>
      <c r="C52" t="s">
        <v>424</v>
      </c>
    </row>
    <row r="53" spans="1:3" x14ac:dyDescent="0.25">
      <c r="A53" t="s">
        <v>257</v>
      </c>
      <c r="B53">
        <v>0</v>
      </c>
    </row>
    <row r="54" spans="1:3" x14ac:dyDescent="0.25">
      <c r="A54" t="s">
        <v>276</v>
      </c>
      <c r="B54">
        <v>0</v>
      </c>
    </row>
    <row r="55" spans="1:3" x14ac:dyDescent="0.25">
      <c r="A55" t="s">
        <v>277</v>
      </c>
      <c r="B55">
        <v>0</v>
      </c>
    </row>
    <row r="56" spans="1:3" x14ac:dyDescent="0.25">
      <c r="A56" t="s">
        <v>214</v>
      </c>
      <c r="B56">
        <v>1</v>
      </c>
      <c r="C56" t="s">
        <v>925</v>
      </c>
    </row>
    <row r="57" spans="1:3" x14ac:dyDescent="0.25">
      <c r="A57" t="s">
        <v>288</v>
      </c>
      <c r="B57">
        <v>2</v>
      </c>
      <c r="C57" t="s">
        <v>925</v>
      </c>
    </row>
    <row r="58" spans="1:3" x14ac:dyDescent="0.25">
      <c r="A58" t="s">
        <v>171</v>
      </c>
      <c r="B58">
        <v>2</v>
      </c>
      <c r="C58" t="s">
        <v>925</v>
      </c>
    </row>
    <row r="59" spans="1:3" x14ac:dyDescent="0.25">
      <c r="A59" t="s">
        <v>252</v>
      </c>
      <c r="B59">
        <v>2</v>
      </c>
      <c r="C59" t="s">
        <v>424</v>
      </c>
    </row>
    <row r="60" spans="1:3" x14ac:dyDescent="0.25">
      <c r="A60" t="s">
        <v>216</v>
      </c>
      <c r="B60">
        <v>0</v>
      </c>
    </row>
    <row r="61" spans="1:3" x14ac:dyDescent="0.25">
      <c r="A61" t="s">
        <v>241</v>
      </c>
      <c r="B61">
        <v>0</v>
      </c>
    </row>
    <row r="62" spans="1:3" x14ac:dyDescent="0.25">
      <c r="A62" t="s">
        <v>305</v>
      </c>
      <c r="B62">
        <v>1</v>
      </c>
      <c r="C62" t="s">
        <v>926</v>
      </c>
    </row>
    <row r="63" spans="1:3" x14ac:dyDescent="0.25">
      <c r="A63" t="s">
        <v>324</v>
      </c>
      <c r="B63">
        <v>5</v>
      </c>
      <c r="C63" t="s">
        <v>925</v>
      </c>
    </row>
    <row r="64" spans="1:3" x14ac:dyDescent="0.25">
      <c r="A64" t="s">
        <v>300</v>
      </c>
      <c r="B64">
        <v>2</v>
      </c>
      <c r="C64" t="s">
        <v>424</v>
      </c>
    </row>
    <row r="65" spans="1:3" x14ac:dyDescent="0.25">
      <c r="A65" t="s">
        <v>328</v>
      </c>
      <c r="B65">
        <v>4</v>
      </c>
      <c r="C65" t="s">
        <v>926</v>
      </c>
    </row>
    <row r="66" spans="1:3" x14ac:dyDescent="0.25">
      <c r="A66" t="s">
        <v>393</v>
      </c>
      <c r="B66">
        <v>1</v>
      </c>
      <c r="C66" t="s">
        <v>925</v>
      </c>
    </row>
    <row r="67" spans="1:3" x14ac:dyDescent="0.25">
      <c r="A67" t="s">
        <v>237</v>
      </c>
      <c r="B67">
        <v>4</v>
      </c>
      <c r="C67" t="s">
        <v>424</v>
      </c>
    </row>
    <row r="68" spans="1:3" x14ac:dyDescent="0.25">
      <c r="A68" t="s">
        <v>309</v>
      </c>
      <c r="B68">
        <v>2</v>
      </c>
      <c r="C68" t="s">
        <v>926</v>
      </c>
    </row>
    <row r="69" spans="1:3" x14ac:dyDescent="0.25">
      <c r="A69" t="s">
        <v>430</v>
      </c>
      <c r="B69">
        <v>1</v>
      </c>
      <c r="C69" t="s">
        <v>925</v>
      </c>
    </row>
    <row r="70" spans="1:3" x14ac:dyDescent="0.25">
      <c r="A70" t="s">
        <v>322</v>
      </c>
      <c r="B70">
        <v>1</v>
      </c>
      <c r="C70" t="s">
        <v>926</v>
      </c>
    </row>
    <row r="71" spans="1:3" x14ac:dyDescent="0.25">
      <c r="A71" t="s">
        <v>353</v>
      </c>
      <c r="B71">
        <v>1</v>
      </c>
    </row>
    <row r="72" spans="1:3" x14ac:dyDescent="0.25">
      <c r="A72" t="s">
        <v>496</v>
      </c>
      <c r="B72">
        <v>0</v>
      </c>
    </row>
    <row r="73" spans="1:3" x14ac:dyDescent="0.25">
      <c r="A73" t="s">
        <v>301</v>
      </c>
      <c r="B73">
        <v>0</v>
      </c>
    </row>
    <row r="74" spans="1:3" x14ac:dyDescent="0.25">
      <c r="A74" t="s">
        <v>233</v>
      </c>
      <c r="B74">
        <v>0</v>
      </c>
    </row>
    <row r="75" spans="1:3" x14ac:dyDescent="0.25">
      <c r="A75" t="s">
        <v>265</v>
      </c>
      <c r="B75">
        <v>1</v>
      </c>
      <c r="C75" t="s">
        <v>925</v>
      </c>
    </row>
    <row r="76" spans="1:3" x14ac:dyDescent="0.25">
      <c r="A76" t="s">
        <v>326</v>
      </c>
      <c r="B76">
        <v>4</v>
      </c>
      <c r="C76" t="s">
        <v>926</v>
      </c>
    </row>
    <row r="77" spans="1:3" x14ac:dyDescent="0.25">
      <c r="A77" t="s">
        <v>209</v>
      </c>
      <c r="B77">
        <v>10</v>
      </c>
      <c r="C77" t="s">
        <v>926</v>
      </c>
    </row>
    <row r="78" spans="1:3" x14ac:dyDescent="0.25">
      <c r="A78" t="s">
        <v>452</v>
      </c>
      <c r="B78">
        <v>0</v>
      </c>
    </row>
    <row r="79" spans="1:3" x14ac:dyDescent="0.25">
      <c r="A79" t="s">
        <v>507</v>
      </c>
      <c r="B79">
        <v>0</v>
      </c>
    </row>
    <row r="80" spans="1:3" x14ac:dyDescent="0.25">
      <c r="A80" t="s">
        <v>332</v>
      </c>
      <c r="B80">
        <v>0</v>
      </c>
    </row>
    <row r="81" spans="1:3" x14ac:dyDescent="0.25">
      <c r="A81" t="s">
        <v>576</v>
      </c>
      <c r="B81">
        <v>0</v>
      </c>
    </row>
    <row r="82" spans="1:3" x14ac:dyDescent="0.25">
      <c r="A82" t="s">
        <v>312</v>
      </c>
      <c r="B82">
        <v>0</v>
      </c>
    </row>
    <row r="83" spans="1:3" x14ac:dyDescent="0.25">
      <c r="A83" t="s">
        <v>334</v>
      </c>
      <c r="B83">
        <v>0</v>
      </c>
    </row>
    <row r="84" spans="1:3" x14ac:dyDescent="0.25">
      <c r="A84" t="s">
        <v>262</v>
      </c>
      <c r="B84">
        <v>1</v>
      </c>
      <c r="C84" t="s">
        <v>926</v>
      </c>
    </row>
    <row r="85" spans="1:3" x14ac:dyDescent="0.25">
      <c r="A85" t="s">
        <v>466</v>
      </c>
      <c r="B85">
        <v>1</v>
      </c>
      <c r="C85" t="s">
        <v>926</v>
      </c>
    </row>
    <row r="86" spans="1:3" x14ac:dyDescent="0.25">
      <c r="A86" t="s">
        <v>210</v>
      </c>
      <c r="B86">
        <v>0</v>
      </c>
    </row>
    <row r="87" spans="1:3" x14ac:dyDescent="0.25">
      <c r="A87" t="s">
        <v>280</v>
      </c>
      <c r="B87">
        <v>0</v>
      </c>
    </row>
    <row r="88" spans="1:3" x14ac:dyDescent="0.25">
      <c r="A88" t="s">
        <v>306</v>
      </c>
      <c r="B88">
        <v>0</v>
      </c>
    </row>
    <row r="89" spans="1:3" x14ac:dyDescent="0.25">
      <c r="A89" t="s">
        <v>362</v>
      </c>
      <c r="B89">
        <v>0</v>
      </c>
    </row>
    <row r="90" spans="1:3" x14ac:dyDescent="0.25">
      <c r="A90" t="s">
        <v>311</v>
      </c>
      <c r="B90">
        <v>0</v>
      </c>
    </row>
    <row r="91" spans="1:3" x14ac:dyDescent="0.25">
      <c r="A91" t="s">
        <v>292</v>
      </c>
      <c r="B91">
        <v>0</v>
      </c>
    </row>
    <row r="92" spans="1:3" x14ac:dyDescent="0.25">
      <c r="A92" t="s">
        <v>179</v>
      </c>
      <c r="B92">
        <v>0</v>
      </c>
    </row>
    <row r="93" spans="1:3" x14ac:dyDescent="0.25">
      <c r="A93" t="s">
        <v>439</v>
      </c>
      <c r="B93">
        <v>0</v>
      </c>
    </row>
    <row r="94" spans="1:3" x14ac:dyDescent="0.25">
      <c r="A94" t="s">
        <v>558</v>
      </c>
      <c r="B94">
        <v>0</v>
      </c>
    </row>
    <row r="95" spans="1:3" x14ac:dyDescent="0.25">
      <c r="A95" t="s">
        <v>499</v>
      </c>
      <c r="B95">
        <v>0</v>
      </c>
    </row>
    <row r="96" spans="1:3" x14ac:dyDescent="0.25">
      <c r="A96" t="s">
        <v>395</v>
      </c>
      <c r="B96">
        <v>0</v>
      </c>
    </row>
    <row r="97" spans="1:3" x14ac:dyDescent="0.25">
      <c r="A97" t="s">
        <v>404</v>
      </c>
      <c r="B97">
        <v>0</v>
      </c>
    </row>
    <row r="101" spans="1:3" x14ac:dyDescent="0.25">
      <c r="A101" t="s">
        <v>891</v>
      </c>
      <c r="B101" t="s">
        <v>804</v>
      </c>
      <c r="C101" t="s">
        <v>921</v>
      </c>
    </row>
    <row r="102" spans="1:3" x14ac:dyDescent="0.25">
      <c r="A102" t="s">
        <v>160</v>
      </c>
      <c r="B102">
        <v>1</v>
      </c>
      <c r="C102" t="s">
        <v>928</v>
      </c>
    </row>
    <row r="103" spans="1:3" x14ac:dyDescent="0.25">
      <c r="A103" t="s">
        <v>161</v>
      </c>
      <c r="B103">
        <v>3</v>
      </c>
      <c r="C103" t="s">
        <v>927</v>
      </c>
    </row>
    <row r="104" spans="1:3" x14ac:dyDescent="0.25">
      <c r="A104" t="s">
        <v>162</v>
      </c>
      <c r="B104">
        <v>26</v>
      </c>
      <c r="C104" t="s">
        <v>927</v>
      </c>
    </row>
    <row r="105" spans="1:3" x14ac:dyDescent="0.25">
      <c r="A105" t="s">
        <v>170</v>
      </c>
      <c r="B105">
        <v>8</v>
      </c>
      <c r="C105" t="s">
        <v>929</v>
      </c>
    </row>
    <row r="106" spans="1:3" x14ac:dyDescent="0.25">
      <c r="A106" t="s">
        <v>199</v>
      </c>
      <c r="B106">
        <v>0</v>
      </c>
    </row>
    <row r="107" spans="1:3" x14ac:dyDescent="0.25">
      <c r="A107" t="s">
        <v>169</v>
      </c>
      <c r="B107">
        <v>3</v>
      </c>
      <c r="C107" t="s">
        <v>927</v>
      </c>
    </row>
    <row r="108" spans="1:3" x14ac:dyDescent="0.25">
      <c r="A108" t="s">
        <v>230</v>
      </c>
      <c r="B108">
        <v>0</v>
      </c>
    </row>
    <row r="109" spans="1:3" x14ac:dyDescent="0.25">
      <c r="A109" t="s">
        <v>231</v>
      </c>
      <c r="B109">
        <v>1</v>
      </c>
      <c r="C109" t="s">
        <v>929</v>
      </c>
    </row>
    <row r="110" spans="1:3" x14ac:dyDescent="0.25">
      <c r="A110" t="s">
        <v>207</v>
      </c>
      <c r="B110">
        <v>1</v>
      </c>
      <c r="C110" t="s">
        <v>927</v>
      </c>
    </row>
    <row r="111" spans="1:3" x14ac:dyDescent="0.25">
      <c r="A111" t="s">
        <v>255</v>
      </c>
      <c r="B111">
        <v>0</v>
      </c>
    </row>
    <row r="112" spans="1:3" x14ac:dyDescent="0.25">
      <c r="A112" t="s">
        <v>256</v>
      </c>
      <c r="B112">
        <v>1</v>
      </c>
      <c r="C112" t="s">
        <v>927</v>
      </c>
    </row>
    <row r="113" spans="1:3" x14ac:dyDescent="0.25">
      <c r="A113" t="s">
        <v>239</v>
      </c>
      <c r="B113">
        <v>0</v>
      </c>
      <c r="C113" t="s">
        <v>928</v>
      </c>
    </row>
    <row r="114" spans="1:3" x14ac:dyDescent="0.25">
      <c r="A114" t="s">
        <v>205</v>
      </c>
      <c r="B114">
        <v>1</v>
      </c>
      <c r="C114" t="s">
        <v>928</v>
      </c>
    </row>
    <row r="115" spans="1:3" x14ac:dyDescent="0.25">
      <c r="A115" t="s">
        <v>342</v>
      </c>
      <c r="B115">
        <v>14</v>
      </c>
      <c r="C115" t="s">
        <v>928</v>
      </c>
    </row>
    <row r="116" spans="1:3" x14ac:dyDescent="0.25">
      <c r="A116" t="s">
        <v>212</v>
      </c>
      <c r="B116">
        <v>8</v>
      </c>
      <c r="C116" t="s">
        <v>929</v>
      </c>
    </row>
    <row r="117" spans="1:3" x14ac:dyDescent="0.25">
      <c r="A117" t="s">
        <v>394</v>
      </c>
      <c r="B117">
        <v>5</v>
      </c>
      <c r="C117" t="s">
        <v>927</v>
      </c>
    </row>
    <row r="118" spans="1:3" x14ac:dyDescent="0.25">
      <c r="A118" t="s">
        <v>325</v>
      </c>
      <c r="B118">
        <v>5</v>
      </c>
      <c r="C118" t="s">
        <v>929</v>
      </c>
    </row>
    <row r="119" spans="1:3" x14ac:dyDescent="0.25">
      <c r="A119" t="s">
        <v>416</v>
      </c>
      <c r="B119">
        <v>2</v>
      </c>
      <c r="C119" t="s">
        <v>927</v>
      </c>
    </row>
    <row r="120" spans="1:3" x14ac:dyDescent="0.25">
      <c r="A120" t="s">
        <v>423</v>
      </c>
      <c r="B120">
        <v>2</v>
      </c>
      <c r="C120" t="s">
        <v>928</v>
      </c>
    </row>
    <row r="121" spans="1:3" x14ac:dyDescent="0.25">
      <c r="A121" t="s">
        <v>449</v>
      </c>
      <c r="B121">
        <v>0</v>
      </c>
    </row>
    <row r="122" spans="1:3" x14ac:dyDescent="0.25">
      <c r="A122" t="s">
        <v>206</v>
      </c>
      <c r="B122">
        <v>10</v>
      </c>
      <c r="C122" t="s">
        <v>927</v>
      </c>
    </row>
    <row r="123" spans="1:3" x14ac:dyDescent="0.25">
      <c r="A123" t="s">
        <v>459</v>
      </c>
      <c r="B123">
        <v>0</v>
      </c>
    </row>
    <row r="124" spans="1:3" x14ac:dyDescent="0.25">
      <c r="A124" t="s">
        <v>290</v>
      </c>
      <c r="B124">
        <v>4</v>
      </c>
      <c r="C124" t="s">
        <v>929</v>
      </c>
    </row>
    <row r="125" spans="1:3" x14ac:dyDescent="0.25">
      <c r="A125" t="s">
        <v>479</v>
      </c>
      <c r="B125">
        <v>0</v>
      </c>
    </row>
    <row r="126" spans="1:3" x14ac:dyDescent="0.25">
      <c r="A126" t="s">
        <v>314</v>
      </c>
      <c r="B126">
        <v>0</v>
      </c>
    </row>
    <row r="127" spans="1:3" x14ac:dyDescent="0.25">
      <c r="A127" t="s">
        <v>308</v>
      </c>
      <c r="B127">
        <v>0</v>
      </c>
    </row>
    <row r="128" spans="1:3" x14ac:dyDescent="0.25">
      <c r="A128" t="s">
        <v>323</v>
      </c>
      <c r="B128">
        <v>0</v>
      </c>
    </row>
    <row r="129" spans="1:3" x14ac:dyDescent="0.25">
      <c r="A129" t="s">
        <v>236</v>
      </c>
      <c r="B129">
        <v>0</v>
      </c>
    </row>
    <row r="130" spans="1:3" x14ac:dyDescent="0.25">
      <c r="A130" t="s">
        <v>213</v>
      </c>
      <c r="B130">
        <v>0</v>
      </c>
    </row>
    <row r="131" spans="1:3" x14ac:dyDescent="0.25">
      <c r="A131" t="s">
        <v>417</v>
      </c>
      <c r="B131">
        <v>0</v>
      </c>
    </row>
    <row r="132" spans="1:3" x14ac:dyDescent="0.25">
      <c r="A132" t="s">
        <v>261</v>
      </c>
      <c r="B132">
        <v>1</v>
      </c>
      <c r="C132" t="s">
        <v>929</v>
      </c>
    </row>
    <row r="133" spans="1:3" x14ac:dyDescent="0.25">
      <c r="A133" t="s">
        <v>310</v>
      </c>
      <c r="B133">
        <v>1</v>
      </c>
      <c r="C133" t="s">
        <v>929</v>
      </c>
    </row>
    <row r="134" spans="1:3" x14ac:dyDescent="0.25">
      <c r="A134" t="s">
        <v>317</v>
      </c>
      <c r="B134">
        <v>0</v>
      </c>
    </row>
    <row r="135" spans="1:3" x14ac:dyDescent="0.25">
      <c r="A135" t="s">
        <v>438</v>
      </c>
      <c r="B135">
        <v>0</v>
      </c>
    </row>
    <row r="136" spans="1:3" x14ac:dyDescent="0.25">
      <c r="A136" t="s">
        <v>264</v>
      </c>
      <c r="B136">
        <v>3</v>
      </c>
      <c r="C136" t="s">
        <v>927</v>
      </c>
    </row>
    <row r="137" spans="1:3" x14ac:dyDescent="0.25">
      <c r="A137" t="s">
        <v>291</v>
      </c>
      <c r="B137">
        <v>3</v>
      </c>
      <c r="C137" t="s">
        <v>929</v>
      </c>
    </row>
    <row r="138" spans="1:3" x14ac:dyDescent="0.25">
      <c r="A138" t="s">
        <v>175</v>
      </c>
      <c r="B138">
        <v>0</v>
      </c>
    </row>
    <row r="139" spans="1:3" x14ac:dyDescent="0.25">
      <c r="A139" t="s">
        <v>235</v>
      </c>
      <c r="B139">
        <v>0</v>
      </c>
    </row>
    <row r="140" spans="1:3" x14ac:dyDescent="0.25">
      <c r="A140" t="s">
        <v>279</v>
      </c>
      <c r="B140">
        <v>0</v>
      </c>
    </row>
    <row r="141" spans="1:3" x14ac:dyDescent="0.25">
      <c r="A141" t="s">
        <v>289</v>
      </c>
      <c r="B141">
        <v>0</v>
      </c>
    </row>
    <row r="142" spans="1:3" x14ac:dyDescent="0.25">
      <c r="A142" t="s">
        <v>299</v>
      </c>
      <c r="B142">
        <v>0</v>
      </c>
    </row>
    <row r="143" spans="1:3" x14ac:dyDescent="0.25">
      <c r="A143" t="s">
        <v>450</v>
      </c>
      <c r="B143">
        <v>0</v>
      </c>
    </row>
    <row r="144" spans="1:3" x14ac:dyDescent="0.25">
      <c r="A144" t="s">
        <v>321</v>
      </c>
      <c r="B144">
        <v>0</v>
      </c>
    </row>
    <row r="145" spans="1:2" x14ac:dyDescent="0.25">
      <c r="A145" t="s">
        <v>521</v>
      </c>
      <c r="B145">
        <v>0</v>
      </c>
    </row>
    <row r="146" spans="1:2" x14ac:dyDescent="0.25">
      <c r="A146" t="s">
        <v>473</v>
      </c>
      <c r="B146">
        <v>0</v>
      </c>
    </row>
    <row r="147" spans="1:2" x14ac:dyDescent="0.25">
      <c r="A147" t="s">
        <v>331</v>
      </c>
      <c r="B147">
        <v>0</v>
      </c>
    </row>
    <row r="148" spans="1:2" x14ac:dyDescent="0.25">
      <c r="A148" t="s">
        <v>642</v>
      </c>
      <c r="B148">
        <v>0</v>
      </c>
    </row>
    <row r="149" spans="1:2" x14ac:dyDescent="0.25">
      <c r="A149" t="s">
        <v>176</v>
      </c>
      <c r="B149">
        <v>0</v>
      </c>
    </row>
    <row r="150" spans="1:2" x14ac:dyDescent="0.25">
      <c r="A150" t="s">
        <v>240</v>
      </c>
      <c r="B150">
        <v>0</v>
      </c>
    </row>
    <row r="151" spans="1:2" x14ac:dyDescent="0.25">
      <c r="A151" t="s">
        <v>320</v>
      </c>
      <c r="B151">
        <v>0</v>
      </c>
    </row>
    <row r="152" spans="1:2" x14ac:dyDescent="0.25">
      <c r="A152" t="s">
        <v>539</v>
      </c>
      <c r="B152">
        <v>0</v>
      </c>
    </row>
    <row r="153" spans="1:2" x14ac:dyDescent="0.25">
      <c r="A153" t="s">
        <v>553</v>
      </c>
      <c r="B153">
        <v>0</v>
      </c>
    </row>
  </sheetData>
  <conditionalFormatting sqref="B2:B41">
    <cfRule type="colorScale" priority="13">
      <colorScale>
        <cfvo type="min"/>
        <cfvo type="max"/>
        <color rgb="FFFCFCFF"/>
        <color rgb="FFF8696B"/>
      </colorScale>
    </cfRule>
  </conditionalFormatting>
  <conditionalFormatting sqref="B46:B97">
    <cfRule type="colorScale" priority="12">
      <colorScale>
        <cfvo type="min"/>
        <cfvo type="max"/>
        <color rgb="FFFCFCFF"/>
        <color rgb="FFF8696B"/>
      </colorScale>
    </cfRule>
  </conditionalFormatting>
  <conditionalFormatting sqref="B102:B153">
    <cfRule type="colorScale" priority="11">
      <colorScale>
        <cfvo type="min"/>
        <cfvo type="max"/>
        <color rgb="FFFCFCFF"/>
        <color rgb="FFF8696B"/>
      </colorScale>
    </cfRule>
  </conditionalFormatting>
  <conditionalFormatting sqref="A2:A41">
    <cfRule type="expression" dxfId="12" priority="10">
      <formula>$B$2&lt;=0</formula>
    </cfRule>
  </conditionalFormatting>
  <conditionalFormatting sqref="A3">
    <cfRule type="expression" dxfId="11" priority="9">
      <formula>$B$2&lt;=0</formula>
    </cfRule>
  </conditionalFormatting>
  <conditionalFormatting sqref="A4:A41">
    <cfRule type="expression" dxfId="10" priority="8">
      <formula>$B2&lt;=0</formula>
    </cfRule>
  </conditionalFormatting>
  <conditionalFormatting sqref="A46:A97">
    <cfRule type="expression" dxfId="9" priority="2">
      <formula>$B46&lt;=0</formula>
    </cfRule>
  </conditionalFormatting>
  <conditionalFormatting sqref="A102:A153">
    <cfRule type="expression" dxfId="8" priority="1">
      <formula>$B102&lt;=0</formula>
    </cfRule>
  </conditionalFormatting>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52"/>
  <sheetViews>
    <sheetView topLeftCell="Y1" zoomScale="60" zoomScaleNormal="60" workbookViewId="0">
      <selection activeCell="A47" sqref="A47:H47"/>
    </sheetView>
  </sheetViews>
  <sheetFormatPr defaultRowHeight="15" x14ac:dyDescent="0.25"/>
  <cols>
    <col min="1" max="1" width="14" customWidth="1"/>
    <col min="2" max="2" width="11.42578125" customWidth="1"/>
    <col min="3" max="3" width="10.5703125" customWidth="1"/>
    <col min="4" max="4" width="25.140625" customWidth="1"/>
    <col min="5" max="5" width="23.42578125" customWidth="1"/>
    <col min="6" max="6" width="42.140625" customWidth="1"/>
    <col min="7" max="7" width="12.140625" customWidth="1"/>
    <col min="8" max="8" width="42.28515625" customWidth="1"/>
    <col min="9" max="9" width="17.85546875" customWidth="1"/>
    <col min="10" max="10" width="20.7109375" customWidth="1"/>
    <col min="11" max="11" width="39.85546875" customWidth="1"/>
    <col min="12" max="12" width="25.7109375" customWidth="1"/>
    <col min="13" max="13" width="34.7109375" customWidth="1"/>
    <col min="14" max="18" width="58.5703125" customWidth="1"/>
    <col min="19" max="19" width="60" customWidth="1"/>
    <col min="20" max="20" width="51.7109375" customWidth="1"/>
    <col min="21" max="23" width="54" customWidth="1"/>
    <col min="24" max="24" width="55" customWidth="1"/>
    <col min="25" max="25" width="73.42578125" customWidth="1"/>
    <col min="26" max="26" width="24.42578125" customWidth="1"/>
    <col min="27" max="27" width="27.5703125" bestFit="1" customWidth="1"/>
    <col min="28" max="28" width="22.42578125" customWidth="1"/>
    <col min="29" max="29" width="13.5703125" customWidth="1"/>
    <col min="33" max="33" width="20.28515625" customWidth="1"/>
    <col min="36" max="36" width="37.42578125" customWidth="1"/>
    <col min="37" max="37" width="27.5703125" bestFit="1" customWidth="1"/>
    <col min="45" max="45" width="16.42578125" customWidth="1"/>
    <col min="46" max="46" width="29.5703125" customWidth="1"/>
    <col min="56" max="60" width="73.42578125" customWidth="1"/>
    <col min="61" max="63" width="14.85546875" customWidth="1"/>
    <col min="69" max="69" width="17" customWidth="1"/>
    <col min="75" max="75" width="17" customWidth="1"/>
    <col min="81" max="81" width="17" customWidth="1"/>
    <col min="87" max="87" width="17" customWidth="1"/>
    <col min="93" max="93" width="17" customWidth="1"/>
    <col min="99" max="99" width="17" customWidth="1"/>
    <col min="105" max="105" width="17" customWidth="1"/>
    <col min="106" max="106" width="37.85546875" customWidth="1"/>
    <col min="107" max="107" width="37.5703125" customWidth="1"/>
    <col min="108" max="108" width="37.85546875" customWidth="1"/>
    <col min="109" max="109" width="37.5703125" customWidth="1"/>
    <col min="110" max="110" width="37.85546875" customWidth="1"/>
    <col min="111" max="111" width="37.5703125" customWidth="1"/>
    <col min="117" max="117" width="17" customWidth="1"/>
    <col min="123" max="123" width="18" customWidth="1"/>
    <col min="129" max="129" width="18" customWidth="1"/>
    <col min="135" max="135" width="18" customWidth="1"/>
    <col min="141" max="141" width="18" customWidth="1"/>
    <col min="142" max="142" width="12.42578125" customWidth="1"/>
    <col min="143" max="143" width="11.7109375" customWidth="1"/>
    <col min="144" max="144" width="14.140625" customWidth="1"/>
  </cols>
  <sheetData>
    <row r="1" spans="1: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row>
    <row r="2" spans="1:144" hidden="1" x14ac:dyDescent="0.25">
      <c r="A2">
        <v>2109</v>
      </c>
      <c r="B2" t="s">
        <v>144</v>
      </c>
      <c r="C2" t="s">
        <v>145</v>
      </c>
      <c r="D2" t="s">
        <v>146</v>
      </c>
      <c r="E2" t="s">
        <v>147</v>
      </c>
      <c r="F2" t="s">
        <v>148</v>
      </c>
      <c r="G2" t="s">
        <v>149</v>
      </c>
      <c r="H2" t="s">
        <v>150</v>
      </c>
      <c r="I2" t="s">
        <v>151</v>
      </c>
      <c r="J2" t="s">
        <v>152</v>
      </c>
      <c r="K2" t="s">
        <v>153</v>
      </c>
      <c r="L2" t="s">
        <v>154</v>
      </c>
      <c r="M2">
        <v>21</v>
      </c>
      <c r="P2">
        <v>1</v>
      </c>
      <c r="Q2">
        <v>4</v>
      </c>
      <c r="R2">
        <v>9</v>
      </c>
      <c r="S2">
        <v>7</v>
      </c>
      <c r="Y2" t="s">
        <v>155</v>
      </c>
      <c r="Z2" t="s">
        <v>156</v>
      </c>
      <c r="AA2" t="s">
        <v>157</v>
      </c>
      <c r="AB2" t="s">
        <v>158</v>
      </c>
      <c r="AC2" t="s">
        <v>159</v>
      </c>
      <c r="AD2" t="s">
        <v>160</v>
      </c>
      <c r="AE2" t="s">
        <v>161</v>
      </c>
      <c r="AF2" t="s">
        <v>162</v>
      </c>
      <c r="AG2" t="s">
        <v>163</v>
      </c>
      <c r="AH2" t="s">
        <v>164</v>
      </c>
      <c r="AI2" t="s">
        <v>163</v>
      </c>
      <c r="AJ2" t="s">
        <v>165</v>
      </c>
      <c r="AK2" t="s">
        <v>166</v>
      </c>
      <c r="AL2" t="s">
        <v>167</v>
      </c>
      <c r="AM2" t="s">
        <v>168</v>
      </c>
      <c r="AN2" t="s">
        <v>169</v>
      </c>
      <c r="AO2" t="s">
        <v>170</v>
      </c>
      <c r="AP2" t="s">
        <v>161</v>
      </c>
      <c r="AQ2" t="s">
        <v>163</v>
      </c>
      <c r="AR2" t="s">
        <v>171</v>
      </c>
      <c r="AS2" t="s">
        <v>163</v>
      </c>
      <c r="AT2" t="s">
        <v>172</v>
      </c>
      <c r="AU2" t="s">
        <v>159</v>
      </c>
      <c r="AV2" t="s">
        <v>173</v>
      </c>
      <c r="AW2" t="s">
        <v>174</v>
      </c>
      <c r="AX2" t="s">
        <v>175</v>
      </c>
      <c r="AY2" t="s">
        <v>170</v>
      </c>
      <c r="AZ2" t="s">
        <v>176</v>
      </c>
      <c r="BA2" t="s">
        <v>171</v>
      </c>
      <c r="BB2" t="s">
        <v>163</v>
      </c>
      <c r="BC2" t="s">
        <v>173</v>
      </c>
      <c r="BI2" t="s">
        <v>172</v>
      </c>
      <c r="BJ2" t="s">
        <v>177</v>
      </c>
      <c r="BK2" t="s">
        <v>178</v>
      </c>
      <c r="BO2">
        <v>21</v>
      </c>
      <c r="BR2">
        <v>2</v>
      </c>
      <c r="BS2">
        <v>1</v>
      </c>
      <c r="BT2">
        <v>7</v>
      </c>
      <c r="BU2">
        <v>1</v>
      </c>
      <c r="BY2">
        <v>11</v>
      </c>
      <c r="BZ2">
        <v>10</v>
      </c>
      <c r="CD2">
        <v>21</v>
      </c>
      <c r="CJ2">
        <v>3</v>
      </c>
      <c r="CK2">
        <v>6</v>
      </c>
      <c r="CL2">
        <v>1</v>
      </c>
      <c r="CN2">
        <v>11</v>
      </c>
      <c r="CR2">
        <v>1</v>
      </c>
      <c r="CT2">
        <v>20</v>
      </c>
      <c r="CV2">
        <v>1</v>
      </c>
      <c r="CZ2">
        <v>20</v>
      </c>
      <c r="DB2" t="s">
        <v>179</v>
      </c>
      <c r="DC2" t="s">
        <v>180</v>
      </c>
      <c r="DD2" t="s">
        <v>181</v>
      </c>
      <c r="DE2" t="s">
        <v>182</v>
      </c>
      <c r="DF2" t="s">
        <v>183</v>
      </c>
      <c r="DG2" t="s">
        <v>184</v>
      </c>
      <c r="DI2">
        <v>21</v>
      </c>
      <c r="DO2">
        <v>15</v>
      </c>
      <c r="DP2">
        <v>5</v>
      </c>
      <c r="DQ2">
        <v>1</v>
      </c>
      <c r="DT2">
        <v>20</v>
      </c>
      <c r="DU2">
        <v>11</v>
      </c>
      <c r="EA2">
        <v>9</v>
      </c>
      <c r="EB2">
        <v>12</v>
      </c>
      <c r="EH2">
        <v>12</v>
      </c>
      <c r="EI2">
        <v>9</v>
      </c>
      <c r="EL2" t="s">
        <v>185</v>
      </c>
      <c r="EN2" t="s">
        <v>186</v>
      </c>
    </row>
    <row r="3" spans="1:144" hidden="1" x14ac:dyDescent="0.25">
      <c r="A3">
        <v>2538</v>
      </c>
      <c r="B3" t="s">
        <v>187</v>
      </c>
      <c r="C3" t="s">
        <v>145</v>
      </c>
      <c r="D3" t="s">
        <v>188</v>
      </c>
      <c r="E3" t="s">
        <v>189</v>
      </c>
      <c r="F3" t="s">
        <v>148</v>
      </c>
      <c r="G3" t="s">
        <v>149</v>
      </c>
      <c r="H3" t="s">
        <v>190</v>
      </c>
      <c r="I3" t="s">
        <v>151</v>
      </c>
      <c r="J3" t="s">
        <v>191</v>
      </c>
      <c r="K3" t="s">
        <v>192</v>
      </c>
      <c r="L3" t="s">
        <v>193</v>
      </c>
      <c r="M3">
        <v>34</v>
      </c>
      <c r="R3">
        <v>23</v>
      </c>
      <c r="S3">
        <v>11</v>
      </c>
      <c r="T3" t="s">
        <v>194</v>
      </c>
      <c r="Y3" t="s">
        <v>195</v>
      </c>
      <c r="Z3" t="s">
        <v>196</v>
      </c>
      <c r="AA3" t="s">
        <v>174</v>
      </c>
      <c r="AB3" t="s">
        <v>197</v>
      </c>
      <c r="AC3" t="s">
        <v>198</v>
      </c>
      <c r="AD3" t="s">
        <v>170</v>
      </c>
      <c r="AE3" t="s">
        <v>199</v>
      </c>
      <c r="AF3" t="s">
        <v>169</v>
      </c>
      <c r="AG3" t="s">
        <v>200</v>
      </c>
      <c r="AH3" t="s">
        <v>164</v>
      </c>
      <c r="AI3" t="s">
        <v>201</v>
      </c>
      <c r="AJ3" t="s">
        <v>202</v>
      </c>
      <c r="AK3" t="s">
        <v>174</v>
      </c>
      <c r="AL3" t="s">
        <v>203</v>
      </c>
      <c r="AM3" t="s">
        <v>204</v>
      </c>
      <c r="AN3" t="s">
        <v>205</v>
      </c>
      <c r="AO3" t="s">
        <v>206</v>
      </c>
      <c r="AP3" t="s">
        <v>207</v>
      </c>
      <c r="AQ3" t="s">
        <v>208</v>
      </c>
      <c r="AR3" t="s">
        <v>209</v>
      </c>
      <c r="AS3" t="s">
        <v>210</v>
      </c>
      <c r="AT3" t="s">
        <v>178</v>
      </c>
      <c r="AU3" t="s">
        <v>211</v>
      </c>
      <c r="AV3" t="s">
        <v>174</v>
      </c>
      <c r="AW3" t="s">
        <v>198</v>
      </c>
      <c r="AX3" t="s">
        <v>206</v>
      </c>
      <c r="AY3" t="s">
        <v>212</v>
      </c>
      <c r="AZ3" t="s">
        <v>213</v>
      </c>
      <c r="BA3" t="s">
        <v>200</v>
      </c>
      <c r="BC3" t="s">
        <v>214</v>
      </c>
      <c r="BF3" t="s">
        <v>194</v>
      </c>
      <c r="BI3" t="s">
        <v>178</v>
      </c>
      <c r="BJ3" t="s">
        <v>215</v>
      </c>
      <c r="BK3" t="s">
        <v>216</v>
      </c>
      <c r="BL3">
        <v>34</v>
      </c>
      <c r="BR3">
        <v>34</v>
      </c>
      <c r="BX3">
        <v>34</v>
      </c>
      <c r="CD3">
        <v>34</v>
      </c>
      <c r="CJ3">
        <v>30</v>
      </c>
      <c r="CM3">
        <v>4</v>
      </c>
      <c r="CO3" t="s">
        <v>217</v>
      </c>
      <c r="CP3">
        <v>30</v>
      </c>
      <c r="CR3">
        <v>1</v>
      </c>
      <c r="CT3">
        <v>4</v>
      </c>
      <c r="CV3">
        <v>28</v>
      </c>
      <c r="CX3">
        <v>1</v>
      </c>
      <c r="CZ3">
        <v>5</v>
      </c>
      <c r="DA3" t="s">
        <v>218</v>
      </c>
      <c r="DB3" t="s">
        <v>219</v>
      </c>
      <c r="DC3" t="s">
        <v>220</v>
      </c>
      <c r="DD3" t="s">
        <v>221</v>
      </c>
      <c r="DE3" t="s">
        <v>222</v>
      </c>
      <c r="DF3" t="s">
        <v>223</v>
      </c>
      <c r="DG3" t="s">
        <v>224</v>
      </c>
      <c r="DH3">
        <v>3</v>
      </c>
      <c r="DI3">
        <v>2</v>
      </c>
      <c r="DL3">
        <v>29</v>
      </c>
      <c r="DN3">
        <v>29</v>
      </c>
      <c r="DR3">
        <v>5</v>
      </c>
      <c r="DT3">
        <v>34</v>
      </c>
      <c r="DZ3">
        <v>34</v>
      </c>
      <c r="EF3">
        <v>32</v>
      </c>
      <c r="EG3">
        <v>2</v>
      </c>
      <c r="EL3" t="s">
        <v>225</v>
      </c>
      <c r="EN3" t="s">
        <v>186</v>
      </c>
    </row>
    <row r="4" spans="1:144" hidden="1" x14ac:dyDescent="0.25">
      <c r="A4">
        <v>2539</v>
      </c>
      <c r="B4" t="s">
        <v>226</v>
      </c>
      <c r="C4" t="s">
        <v>145</v>
      </c>
      <c r="D4" t="s">
        <v>188</v>
      </c>
      <c r="E4" t="s">
        <v>189</v>
      </c>
      <c r="F4" t="s">
        <v>148</v>
      </c>
      <c r="G4" t="s">
        <v>149</v>
      </c>
      <c r="H4" t="s">
        <v>190</v>
      </c>
      <c r="I4" t="s">
        <v>151</v>
      </c>
      <c r="J4" t="s">
        <v>227</v>
      </c>
      <c r="K4" t="s">
        <v>228</v>
      </c>
      <c r="L4" t="s">
        <v>154</v>
      </c>
      <c r="M4">
        <v>26</v>
      </c>
      <c r="P4">
        <v>9</v>
      </c>
      <c r="Q4">
        <v>17</v>
      </c>
      <c r="T4" t="s">
        <v>194</v>
      </c>
      <c r="Y4" t="s">
        <v>195</v>
      </c>
      <c r="Z4" t="s">
        <v>178</v>
      </c>
      <c r="AA4" t="s">
        <v>229</v>
      </c>
      <c r="AB4" t="s">
        <v>197</v>
      </c>
      <c r="AC4" t="s">
        <v>211</v>
      </c>
      <c r="AD4" t="s">
        <v>170</v>
      </c>
      <c r="AE4" t="s">
        <v>230</v>
      </c>
      <c r="AF4" t="s">
        <v>231</v>
      </c>
      <c r="AG4" t="s">
        <v>232</v>
      </c>
      <c r="AH4" t="s">
        <v>208</v>
      </c>
      <c r="AI4" t="s">
        <v>164</v>
      </c>
      <c r="AJ4" t="s">
        <v>233</v>
      </c>
      <c r="AK4" t="s">
        <v>174</v>
      </c>
      <c r="AL4" t="s">
        <v>167</v>
      </c>
      <c r="AM4" t="s">
        <v>234</v>
      </c>
      <c r="AN4" t="s">
        <v>206</v>
      </c>
      <c r="AO4" t="s">
        <v>235</v>
      </c>
      <c r="AP4" t="s">
        <v>236</v>
      </c>
      <c r="AQ4" t="s">
        <v>164</v>
      </c>
      <c r="AR4" t="s">
        <v>200</v>
      </c>
      <c r="AS4" t="s">
        <v>237</v>
      </c>
      <c r="AT4" t="s">
        <v>196</v>
      </c>
      <c r="AU4" t="s">
        <v>174</v>
      </c>
      <c r="AV4" t="s">
        <v>167</v>
      </c>
      <c r="AW4" t="s">
        <v>238</v>
      </c>
      <c r="AX4" t="s">
        <v>239</v>
      </c>
      <c r="AY4" t="s">
        <v>240</v>
      </c>
      <c r="AZ4" t="s">
        <v>169</v>
      </c>
      <c r="BA4" t="s">
        <v>241</v>
      </c>
      <c r="BB4" t="s">
        <v>200</v>
      </c>
      <c r="BC4" t="s">
        <v>209</v>
      </c>
      <c r="BF4" t="s">
        <v>194</v>
      </c>
      <c r="BI4" t="s">
        <v>216</v>
      </c>
      <c r="BJ4" t="s">
        <v>242</v>
      </c>
      <c r="BK4" t="s">
        <v>243</v>
      </c>
      <c r="BL4">
        <v>25</v>
      </c>
      <c r="BN4">
        <v>1</v>
      </c>
      <c r="BR4">
        <v>26</v>
      </c>
      <c r="BX4">
        <v>23</v>
      </c>
      <c r="BZ4">
        <v>3</v>
      </c>
      <c r="CD4">
        <v>26</v>
      </c>
      <c r="CJ4">
        <v>26</v>
      </c>
      <c r="CP4">
        <v>26</v>
      </c>
      <c r="CV4">
        <v>26</v>
      </c>
      <c r="DB4" t="s">
        <v>223</v>
      </c>
      <c r="DC4" t="s">
        <v>224</v>
      </c>
      <c r="DD4" t="s">
        <v>244</v>
      </c>
      <c r="DE4" t="s">
        <v>245</v>
      </c>
      <c r="DF4" t="s">
        <v>246</v>
      </c>
      <c r="DG4" t="s">
        <v>247</v>
      </c>
      <c r="DH4">
        <v>21</v>
      </c>
      <c r="DL4">
        <v>5</v>
      </c>
      <c r="DN4">
        <v>23</v>
      </c>
      <c r="DP4">
        <v>3</v>
      </c>
      <c r="DT4">
        <v>26</v>
      </c>
      <c r="DZ4">
        <v>26</v>
      </c>
      <c r="EF4">
        <v>24</v>
      </c>
      <c r="EG4">
        <v>2</v>
      </c>
      <c r="EL4" t="s">
        <v>248</v>
      </c>
      <c r="EN4" t="s">
        <v>186</v>
      </c>
    </row>
    <row r="5" spans="1:144" hidden="1" x14ac:dyDescent="0.25">
      <c r="A5">
        <v>2540</v>
      </c>
      <c r="B5" t="s">
        <v>249</v>
      </c>
      <c r="C5" t="s">
        <v>145</v>
      </c>
      <c r="D5" t="s">
        <v>188</v>
      </c>
      <c r="E5" t="s">
        <v>189</v>
      </c>
      <c r="F5" t="s">
        <v>148</v>
      </c>
      <c r="G5" t="s">
        <v>149</v>
      </c>
      <c r="H5" t="s">
        <v>190</v>
      </c>
      <c r="I5" t="s">
        <v>151</v>
      </c>
      <c r="J5" s="1">
        <v>43651</v>
      </c>
      <c r="K5" t="s">
        <v>250</v>
      </c>
      <c r="L5" t="s">
        <v>251</v>
      </c>
      <c r="M5">
        <v>15</v>
      </c>
      <c r="N5">
        <v>3</v>
      </c>
      <c r="O5">
        <v>12</v>
      </c>
      <c r="W5" t="s">
        <v>194</v>
      </c>
      <c r="Y5" t="s">
        <v>155</v>
      </c>
      <c r="Z5" t="s">
        <v>252</v>
      </c>
      <c r="AA5" t="s">
        <v>174</v>
      </c>
      <c r="AB5" t="s">
        <v>253</v>
      </c>
      <c r="AC5" t="s">
        <v>254</v>
      </c>
      <c r="AD5" t="s">
        <v>207</v>
      </c>
      <c r="AE5" t="s">
        <v>255</v>
      </c>
      <c r="AF5" t="s">
        <v>256</v>
      </c>
      <c r="AG5" t="s">
        <v>173</v>
      </c>
      <c r="AH5" t="s">
        <v>257</v>
      </c>
      <c r="AI5" t="s">
        <v>163</v>
      </c>
      <c r="AJ5" t="s">
        <v>258</v>
      </c>
      <c r="AK5" t="s">
        <v>259</v>
      </c>
      <c r="AL5" t="s">
        <v>174</v>
      </c>
      <c r="AM5" t="s">
        <v>260</v>
      </c>
      <c r="AN5" t="s">
        <v>261</v>
      </c>
      <c r="AO5" t="s">
        <v>207</v>
      </c>
      <c r="AP5" t="s">
        <v>236</v>
      </c>
      <c r="AQ5" t="s">
        <v>262</v>
      </c>
      <c r="AR5" t="s">
        <v>163</v>
      </c>
      <c r="AS5" t="s">
        <v>214</v>
      </c>
      <c r="AT5" t="s">
        <v>263</v>
      </c>
      <c r="AU5" t="s">
        <v>229</v>
      </c>
      <c r="AV5" t="s">
        <v>198</v>
      </c>
      <c r="AW5" t="s">
        <v>157</v>
      </c>
      <c r="AX5" t="s">
        <v>231</v>
      </c>
      <c r="AY5" t="s">
        <v>170</v>
      </c>
      <c r="AZ5" t="s">
        <v>264</v>
      </c>
      <c r="BA5" t="s">
        <v>232</v>
      </c>
      <c r="BB5" t="s">
        <v>257</v>
      </c>
      <c r="BC5" t="s">
        <v>265</v>
      </c>
      <c r="BE5" t="s">
        <v>194</v>
      </c>
      <c r="BI5" t="s">
        <v>233</v>
      </c>
      <c r="BJ5" t="s">
        <v>263</v>
      </c>
      <c r="BK5" t="s">
        <v>216</v>
      </c>
      <c r="BL5">
        <v>15</v>
      </c>
      <c r="BR5">
        <v>15</v>
      </c>
      <c r="BX5">
        <v>15</v>
      </c>
      <c r="CD5">
        <v>15</v>
      </c>
      <c r="CJ5">
        <v>15</v>
      </c>
      <c r="CP5">
        <v>15</v>
      </c>
      <c r="CV5">
        <v>15</v>
      </c>
      <c r="DB5" t="s">
        <v>244</v>
      </c>
      <c r="DC5" t="s">
        <v>245</v>
      </c>
      <c r="DD5" t="s">
        <v>266</v>
      </c>
      <c r="DE5" t="s">
        <v>267</v>
      </c>
      <c r="DF5" t="s">
        <v>268</v>
      </c>
      <c r="DG5" t="s">
        <v>269</v>
      </c>
      <c r="DH5">
        <v>15</v>
      </c>
      <c r="DP5">
        <v>15</v>
      </c>
      <c r="DT5">
        <v>15</v>
      </c>
      <c r="DZ5">
        <v>15</v>
      </c>
      <c r="EF5">
        <v>15</v>
      </c>
      <c r="EL5" t="s">
        <v>270</v>
      </c>
      <c r="EN5" t="s">
        <v>186</v>
      </c>
    </row>
    <row r="6" spans="1:144" hidden="1" x14ac:dyDescent="0.25">
      <c r="A6">
        <v>2541</v>
      </c>
      <c r="B6" t="s">
        <v>271</v>
      </c>
      <c r="C6" t="s">
        <v>145</v>
      </c>
      <c r="D6" t="s">
        <v>188</v>
      </c>
      <c r="E6" t="s">
        <v>189</v>
      </c>
      <c r="F6" t="s">
        <v>148</v>
      </c>
      <c r="G6" t="s">
        <v>149</v>
      </c>
      <c r="H6" t="s">
        <v>190</v>
      </c>
      <c r="I6" t="s">
        <v>151</v>
      </c>
      <c r="J6" s="1">
        <v>43651</v>
      </c>
      <c r="K6" t="s">
        <v>272</v>
      </c>
      <c r="L6" t="s">
        <v>273</v>
      </c>
      <c r="M6">
        <v>20</v>
      </c>
      <c r="O6">
        <v>5</v>
      </c>
      <c r="P6">
        <v>5</v>
      </c>
      <c r="Q6">
        <v>5</v>
      </c>
      <c r="R6">
        <v>5</v>
      </c>
      <c r="W6" t="s">
        <v>194</v>
      </c>
      <c r="Y6" t="s">
        <v>155</v>
      </c>
      <c r="Z6" t="s">
        <v>274</v>
      </c>
      <c r="AA6" t="s">
        <v>275</v>
      </c>
      <c r="AB6" t="s">
        <v>211</v>
      </c>
      <c r="AC6" t="s">
        <v>159</v>
      </c>
      <c r="AD6" t="s">
        <v>170</v>
      </c>
      <c r="AE6" t="s">
        <v>231</v>
      </c>
      <c r="AF6" t="s">
        <v>239</v>
      </c>
      <c r="AG6" t="s">
        <v>276</v>
      </c>
      <c r="AH6" t="s">
        <v>277</v>
      </c>
      <c r="AI6" t="s">
        <v>164</v>
      </c>
      <c r="AJ6" t="s">
        <v>178</v>
      </c>
      <c r="AK6" t="s">
        <v>278</v>
      </c>
      <c r="AL6" t="s">
        <v>229</v>
      </c>
      <c r="AM6" t="s">
        <v>198</v>
      </c>
      <c r="AN6" t="s">
        <v>231</v>
      </c>
      <c r="AO6" t="s">
        <v>279</v>
      </c>
      <c r="AP6" t="s">
        <v>230</v>
      </c>
      <c r="AQ6" t="s">
        <v>280</v>
      </c>
      <c r="AR6" t="s">
        <v>277</v>
      </c>
      <c r="AS6" t="s">
        <v>209</v>
      </c>
      <c r="AT6" t="s">
        <v>179</v>
      </c>
      <c r="AU6" t="s">
        <v>278</v>
      </c>
      <c r="AV6" t="s">
        <v>159</v>
      </c>
      <c r="AW6" t="s">
        <v>198</v>
      </c>
      <c r="AX6" t="s">
        <v>231</v>
      </c>
      <c r="AY6" t="s">
        <v>261</v>
      </c>
      <c r="AZ6" t="s">
        <v>230</v>
      </c>
      <c r="BA6" t="s">
        <v>280</v>
      </c>
      <c r="BB6" t="s">
        <v>200</v>
      </c>
      <c r="BC6" t="s">
        <v>209</v>
      </c>
      <c r="BE6" t="s">
        <v>194</v>
      </c>
      <c r="BI6" t="s">
        <v>281</v>
      </c>
      <c r="BJ6" t="s">
        <v>216</v>
      </c>
      <c r="BK6" t="s">
        <v>282</v>
      </c>
      <c r="BL6">
        <v>20</v>
      </c>
      <c r="BO6">
        <v>20</v>
      </c>
      <c r="BR6">
        <v>20</v>
      </c>
      <c r="BX6">
        <v>18</v>
      </c>
      <c r="BY6">
        <v>2</v>
      </c>
      <c r="CD6">
        <v>20</v>
      </c>
      <c r="CJ6">
        <v>18</v>
      </c>
      <c r="CK6">
        <v>2</v>
      </c>
      <c r="CP6">
        <v>20</v>
      </c>
      <c r="CV6">
        <v>20</v>
      </c>
      <c r="DB6" t="s">
        <v>268</v>
      </c>
      <c r="DC6" t="s">
        <v>269</v>
      </c>
      <c r="DD6" t="s">
        <v>221</v>
      </c>
      <c r="DE6" t="s">
        <v>220</v>
      </c>
      <c r="DF6" t="s">
        <v>252</v>
      </c>
      <c r="DG6" t="s">
        <v>283</v>
      </c>
      <c r="DH6">
        <v>20</v>
      </c>
      <c r="DN6">
        <v>14</v>
      </c>
      <c r="DO6">
        <v>2</v>
      </c>
      <c r="DR6">
        <v>4</v>
      </c>
      <c r="DT6">
        <v>20</v>
      </c>
      <c r="DZ6">
        <v>20</v>
      </c>
      <c r="EF6">
        <v>20</v>
      </c>
      <c r="EL6" t="s">
        <v>284</v>
      </c>
      <c r="EN6" t="s">
        <v>186</v>
      </c>
    </row>
    <row r="7" spans="1:144" hidden="1" x14ac:dyDescent="0.25">
      <c r="A7">
        <v>2542</v>
      </c>
      <c r="B7" t="s">
        <v>285</v>
      </c>
      <c r="C7" t="s">
        <v>145</v>
      </c>
      <c r="D7" t="s">
        <v>188</v>
      </c>
      <c r="E7" t="s">
        <v>189</v>
      </c>
      <c r="F7" t="s">
        <v>148</v>
      </c>
      <c r="G7" t="s">
        <v>149</v>
      </c>
      <c r="H7" t="s">
        <v>190</v>
      </c>
      <c r="I7" t="s">
        <v>151</v>
      </c>
      <c r="J7" s="1">
        <v>43651</v>
      </c>
      <c r="K7" t="s">
        <v>286</v>
      </c>
      <c r="L7" t="s">
        <v>193</v>
      </c>
      <c r="M7">
        <v>10</v>
      </c>
      <c r="R7">
        <v>7</v>
      </c>
      <c r="S7">
        <v>3</v>
      </c>
      <c r="T7" t="s">
        <v>194</v>
      </c>
      <c r="Y7" t="s">
        <v>195</v>
      </c>
      <c r="Z7" t="s">
        <v>287</v>
      </c>
      <c r="AA7" t="s">
        <v>174</v>
      </c>
      <c r="AB7" t="s">
        <v>253</v>
      </c>
      <c r="AC7" t="s">
        <v>254</v>
      </c>
      <c r="AD7" t="s">
        <v>205</v>
      </c>
      <c r="AE7" t="s">
        <v>255</v>
      </c>
      <c r="AF7" t="s">
        <v>207</v>
      </c>
      <c r="AG7" t="s">
        <v>214</v>
      </c>
      <c r="AH7" t="s">
        <v>200</v>
      </c>
      <c r="AI7" t="s">
        <v>288</v>
      </c>
      <c r="AJ7" t="s">
        <v>179</v>
      </c>
      <c r="AK7" t="s">
        <v>211</v>
      </c>
      <c r="AL7" t="s">
        <v>198</v>
      </c>
      <c r="AM7" t="s">
        <v>229</v>
      </c>
      <c r="AN7" t="s">
        <v>231</v>
      </c>
      <c r="AO7" t="s">
        <v>230</v>
      </c>
      <c r="AP7" t="s">
        <v>289</v>
      </c>
      <c r="AQ7" t="s">
        <v>200</v>
      </c>
      <c r="AR7" t="s">
        <v>276</v>
      </c>
      <c r="AS7" t="s">
        <v>277</v>
      </c>
      <c r="AT7" t="s">
        <v>274</v>
      </c>
      <c r="AU7" t="s">
        <v>287</v>
      </c>
      <c r="AV7" t="s">
        <v>234</v>
      </c>
      <c r="AW7" t="s">
        <v>174</v>
      </c>
      <c r="AX7" t="s">
        <v>290</v>
      </c>
      <c r="AY7" t="s">
        <v>291</v>
      </c>
      <c r="AZ7" t="s">
        <v>206</v>
      </c>
      <c r="BA7" t="s">
        <v>164</v>
      </c>
      <c r="BB7" t="s">
        <v>265</v>
      </c>
      <c r="BC7" t="s">
        <v>214</v>
      </c>
      <c r="BD7" t="s">
        <v>194</v>
      </c>
      <c r="BI7" t="s">
        <v>292</v>
      </c>
      <c r="BJ7" t="s">
        <v>287</v>
      </c>
      <c r="BK7" t="s">
        <v>274</v>
      </c>
      <c r="BL7">
        <v>5</v>
      </c>
      <c r="BN7">
        <v>5</v>
      </c>
      <c r="BR7">
        <v>7</v>
      </c>
      <c r="BT7">
        <v>3</v>
      </c>
      <c r="BY7">
        <v>8</v>
      </c>
      <c r="BZ7">
        <v>2</v>
      </c>
      <c r="CD7">
        <v>7</v>
      </c>
      <c r="CG7">
        <v>3</v>
      </c>
      <c r="CJ7">
        <v>8</v>
      </c>
      <c r="CM7">
        <v>2</v>
      </c>
      <c r="CP7">
        <v>9</v>
      </c>
      <c r="CS7">
        <v>1</v>
      </c>
      <c r="CV7">
        <v>4</v>
      </c>
      <c r="CX7">
        <v>3</v>
      </c>
      <c r="CY7">
        <v>2</v>
      </c>
      <c r="CZ7">
        <v>1</v>
      </c>
      <c r="DB7" t="s">
        <v>244</v>
      </c>
      <c r="DC7" t="s">
        <v>293</v>
      </c>
      <c r="DD7" t="s">
        <v>266</v>
      </c>
      <c r="DE7" t="s">
        <v>267</v>
      </c>
      <c r="DF7" t="s">
        <v>223</v>
      </c>
      <c r="DG7" t="s">
        <v>224</v>
      </c>
      <c r="DH7">
        <v>5</v>
      </c>
      <c r="DJ7">
        <v>4</v>
      </c>
      <c r="DK7">
        <v>1</v>
      </c>
      <c r="DN7">
        <v>10</v>
      </c>
      <c r="DT7">
        <v>10</v>
      </c>
      <c r="EA7">
        <v>8</v>
      </c>
      <c r="EB7">
        <v>2</v>
      </c>
      <c r="EF7">
        <v>5</v>
      </c>
      <c r="EG7">
        <v>5</v>
      </c>
      <c r="EL7" t="s">
        <v>294</v>
      </c>
      <c r="EN7" t="s">
        <v>186</v>
      </c>
    </row>
    <row r="8" spans="1:144" hidden="1" x14ac:dyDescent="0.25">
      <c r="A8">
        <v>2558</v>
      </c>
      <c r="B8" t="s">
        <v>337</v>
      </c>
      <c r="C8" t="s">
        <v>145</v>
      </c>
      <c r="D8" t="s">
        <v>338</v>
      </c>
      <c r="E8" t="s">
        <v>339</v>
      </c>
      <c r="F8" t="s">
        <v>148</v>
      </c>
      <c r="G8" t="s">
        <v>149</v>
      </c>
      <c r="H8" t="s">
        <v>340</v>
      </c>
      <c r="I8" t="s">
        <v>151</v>
      </c>
      <c r="J8" s="1">
        <v>43589</v>
      </c>
      <c r="K8" t="s">
        <v>341</v>
      </c>
      <c r="L8" t="s">
        <v>273</v>
      </c>
      <c r="M8">
        <v>29</v>
      </c>
      <c r="O8">
        <v>2</v>
      </c>
      <c r="P8">
        <v>2</v>
      </c>
      <c r="Q8">
        <v>12</v>
      </c>
      <c r="R8">
        <v>6</v>
      </c>
      <c r="S8">
        <v>7</v>
      </c>
      <c r="Y8" t="s">
        <v>155</v>
      </c>
      <c r="Z8" t="s">
        <v>302</v>
      </c>
      <c r="AA8" t="s">
        <v>253</v>
      </c>
      <c r="AB8" t="s">
        <v>287</v>
      </c>
      <c r="AD8" t="s">
        <v>162</v>
      </c>
      <c r="AE8" t="s">
        <v>342</v>
      </c>
      <c r="AG8" t="s">
        <v>171</v>
      </c>
      <c r="AH8" t="s">
        <v>252</v>
      </c>
      <c r="AU8" t="s">
        <v>238</v>
      </c>
      <c r="BH8">
        <v>5</v>
      </c>
      <c r="BI8" t="s">
        <v>302</v>
      </c>
      <c r="BJ8" t="s">
        <v>216</v>
      </c>
      <c r="BK8" t="s">
        <v>156</v>
      </c>
      <c r="BN8">
        <v>3</v>
      </c>
      <c r="BR8">
        <v>1</v>
      </c>
      <c r="CA8">
        <v>4</v>
      </c>
      <c r="CG8">
        <v>4</v>
      </c>
      <c r="CK8">
        <v>2</v>
      </c>
      <c r="CS8">
        <v>4</v>
      </c>
      <c r="CX8">
        <v>3</v>
      </c>
      <c r="DB8" t="s">
        <v>343</v>
      </c>
      <c r="DC8" t="s">
        <v>344</v>
      </c>
      <c r="DD8" t="s">
        <v>345</v>
      </c>
      <c r="DE8" t="s">
        <v>346</v>
      </c>
      <c r="DF8" t="s">
        <v>347</v>
      </c>
      <c r="DG8" t="s">
        <v>348</v>
      </c>
      <c r="DH8">
        <v>1</v>
      </c>
      <c r="DN8">
        <v>1</v>
      </c>
      <c r="DV8">
        <v>3</v>
      </c>
      <c r="ED8">
        <v>5</v>
      </c>
      <c r="EG8">
        <v>2</v>
      </c>
      <c r="EL8" t="s">
        <v>349</v>
      </c>
      <c r="EN8" t="s">
        <v>186</v>
      </c>
    </row>
    <row r="9" spans="1:144" hidden="1" x14ac:dyDescent="0.25">
      <c r="A9">
        <v>2559</v>
      </c>
      <c r="B9" t="s">
        <v>350</v>
      </c>
      <c r="C9" t="s">
        <v>145</v>
      </c>
      <c r="D9" t="s">
        <v>338</v>
      </c>
      <c r="E9" t="s">
        <v>339</v>
      </c>
      <c r="F9" t="s">
        <v>148</v>
      </c>
      <c r="G9" t="s">
        <v>149</v>
      </c>
      <c r="H9" t="s">
        <v>340</v>
      </c>
      <c r="I9" t="s">
        <v>151</v>
      </c>
      <c r="J9" s="1">
        <v>43593</v>
      </c>
      <c r="K9" t="s">
        <v>351</v>
      </c>
      <c r="L9" t="s">
        <v>193</v>
      </c>
      <c r="M9">
        <v>30</v>
      </c>
      <c r="R9">
        <v>6</v>
      </c>
      <c r="S9">
        <v>24</v>
      </c>
      <c r="Y9" t="s">
        <v>195</v>
      </c>
      <c r="Z9" t="s">
        <v>302</v>
      </c>
      <c r="AA9" t="s">
        <v>352</v>
      </c>
      <c r="AB9" t="s">
        <v>215</v>
      </c>
      <c r="AD9" t="s">
        <v>170</v>
      </c>
      <c r="AH9" t="s">
        <v>164</v>
      </c>
      <c r="AJ9" t="s">
        <v>202</v>
      </c>
      <c r="AK9" t="s">
        <v>215</v>
      </c>
      <c r="AL9" t="s">
        <v>157</v>
      </c>
      <c r="AN9" t="s">
        <v>342</v>
      </c>
      <c r="AO9" t="s">
        <v>170</v>
      </c>
      <c r="AQ9" t="s">
        <v>353</v>
      </c>
      <c r="AR9" t="s">
        <v>306</v>
      </c>
      <c r="BI9" t="s">
        <v>287</v>
      </c>
      <c r="BJ9" t="s">
        <v>156</v>
      </c>
      <c r="BK9" t="s">
        <v>354</v>
      </c>
      <c r="BL9">
        <v>1</v>
      </c>
      <c r="BR9">
        <v>1</v>
      </c>
      <c r="BX9">
        <v>1</v>
      </c>
      <c r="CG9">
        <v>4</v>
      </c>
      <c r="CL9">
        <v>3</v>
      </c>
      <c r="CS9">
        <v>4</v>
      </c>
      <c r="CT9">
        <v>5</v>
      </c>
      <c r="CW9">
        <v>2</v>
      </c>
      <c r="DB9" t="s">
        <v>219</v>
      </c>
      <c r="DC9" t="s">
        <v>315</v>
      </c>
      <c r="DD9" t="s">
        <v>355</v>
      </c>
      <c r="DE9" t="s">
        <v>356</v>
      </c>
      <c r="DF9" t="s">
        <v>357</v>
      </c>
      <c r="DG9" t="s">
        <v>358</v>
      </c>
      <c r="DJ9">
        <v>3</v>
      </c>
      <c r="DN9">
        <v>1</v>
      </c>
      <c r="DV9">
        <v>3</v>
      </c>
      <c r="ED9">
        <v>5</v>
      </c>
      <c r="EI9">
        <v>4</v>
      </c>
      <c r="EL9" t="s">
        <v>359</v>
      </c>
      <c r="EN9" t="s">
        <v>186</v>
      </c>
    </row>
    <row r="10" spans="1:144" hidden="1" x14ac:dyDescent="0.25">
      <c r="A10">
        <v>2560</v>
      </c>
      <c r="B10" t="s">
        <v>360</v>
      </c>
      <c r="C10" t="s">
        <v>145</v>
      </c>
      <c r="D10" t="s">
        <v>338</v>
      </c>
      <c r="E10" t="s">
        <v>339</v>
      </c>
      <c r="F10" t="s">
        <v>148</v>
      </c>
      <c r="G10" t="s">
        <v>149</v>
      </c>
      <c r="H10" t="s">
        <v>340</v>
      </c>
      <c r="I10" t="s">
        <v>151</v>
      </c>
      <c r="J10" s="1">
        <v>43589</v>
      </c>
      <c r="K10" t="s">
        <v>361</v>
      </c>
      <c r="L10" t="s">
        <v>154</v>
      </c>
      <c r="M10">
        <v>25</v>
      </c>
      <c r="O10">
        <v>3</v>
      </c>
      <c r="P10">
        <v>6</v>
      </c>
      <c r="Q10">
        <v>5</v>
      </c>
      <c r="R10">
        <v>9</v>
      </c>
      <c r="S10">
        <v>2</v>
      </c>
      <c r="Y10" t="s">
        <v>195</v>
      </c>
      <c r="Z10" t="s">
        <v>302</v>
      </c>
      <c r="AA10" t="s">
        <v>166</v>
      </c>
      <c r="AB10" t="s">
        <v>260</v>
      </c>
      <c r="AC10" t="s">
        <v>174</v>
      </c>
      <c r="AD10" t="s">
        <v>162</v>
      </c>
      <c r="AE10" t="s">
        <v>161</v>
      </c>
      <c r="AF10" t="s">
        <v>342</v>
      </c>
      <c r="AG10" t="s">
        <v>164</v>
      </c>
      <c r="AJ10" t="s">
        <v>202</v>
      </c>
      <c r="AK10" t="s">
        <v>159</v>
      </c>
      <c r="AL10" t="s">
        <v>157</v>
      </c>
      <c r="AN10" t="s">
        <v>170</v>
      </c>
      <c r="AQ10" t="s">
        <v>164</v>
      </c>
      <c r="AR10" t="s">
        <v>362</v>
      </c>
      <c r="AW10" t="s">
        <v>167</v>
      </c>
      <c r="BI10" t="s">
        <v>263</v>
      </c>
      <c r="BJ10" t="s">
        <v>304</v>
      </c>
      <c r="BO10">
        <v>4</v>
      </c>
      <c r="BV10">
        <v>5</v>
      </c>
      <c r="BY10">
        <v>2</v>
      </c>
      <c r="CG10">
        <v>4</v>
      </c>
      <c r="CL10">
        <v>3</v>
      </c>
      <c r="CP10">
        <v>1</v>
      </c>
      <c r="CZ10">
        <v>5</v>
      </c>
      <c r="DB10" t="s">
        <v>363</v>
      </c>
      <c r="DC10" t="s">
        <v>364</v>
      </c>
      <c r="DD10" t="s">
        <v>365</v>
      </c>
      <c r="DE10" t="s">
        <v>366</v>
      </c>
      <c r="DF10" t="s">
        <v>367</v>
      </c>
      <c r="DG10" t="s">
        <v>368</v>
      </c>
      <c r="DH10">
        <v>1</v>
      </c>
      <c r="DR10">
        <v>5</v>
      </c>
      <c r="DT10">
        <v>1</v>
      </c>
      <c r="ED10">
        <v>5</v>
      </c>
      <c r="EF10">
        <v>1</v>
      </c>
      <c r="EL10" t="s">
        <v>369</v>
      </c>
      <c r="EN10" t="s">
        <v>186</v>
      </c>
    </row>
    <row r="11" spans="1:144" hidden="1" x14ac:dyDescent="0.25">
      <c r="A11">
        <v>2561</v>
      </c>
      <c r="B11" t="s">
        <v>370</v>
      </c>
      <c r="C11" t="s">
        <v>145</v>
      </c>
      <c r="D11" t="s">
        <v>371</v>
      </c>
      <c r="E11" t="s">
        <v>339</v>
      </c>
      <c r="F11" t="s">
        <v>148</v>
      </c>
      <c r="G11" t="s">
        <v>149</v>
      </c>
      <c r="H11" t="s">
        <v>340</v>
      </c>
      <c r="I11" t="s">
        <v>151</v>
      </c>
      <c r="J11" s="1">
        <v>43592</v>
      </c>
      <c r="K11" t="s">
        <v>372</v>
      </c>
      <c r="L11" t="s">
        <v>273</v>
      </c>
      <c r="M11">
        <v>23</v>
      </c>
      <c r="O11">
        <v>23</v>
      </c>
      <c r="Y11" t="s">
        <v>195</v>
      </c>
      <c r="Z11" t="s">
        <v>274</v>
      </c>
      <c r="AA11" t="s">
        <v>166</v>
      </c>
      <c r="AB11" t="s">
        <v>352</v>
      </c>
      <c r="AD11" t="s">
        <v>170</v>
      </c>
      <c r="AE11" t="s">
        <v>161</v>
      </c>
      <c r="AG11" t="s">
        <v>216</v>
      </c>
      <c r="AH11" t="s">
        <v>241</v>
      </c>
      <c r="AI11" t="s">
        <v>305</v>
      </c>
      <c r="AJ11" t="s">
        <v>196</v>
      </c>
      <c r="AK11" t="s">
        <v>167</v>
      </c>
      <c r="AL11" t="s">
        <v>174</v>
      </c>
      <c r="AN11" t="s">
        <v>170</v>
      </c>
      <c r="AO11" t="s">
        <v>299</v>
      </c>
      <c r="AP11" t="s">
        <v>212</v>
      </c>
      <c r="AQ11" t="s">
        <v>237</v>
      </c>
      <c r="AR11" t="s">
        <v>210</v>
      </c>
      <c r="AT11" t="s">
        <v>302</v>
      </c>
      <c r="AU11" t="s">
        <v>167</v>
      </c>
      <c r="AV11" t="s">
        <v>352</v>
      </c>
      <c r="AW11" t="s">
        <v>234</v>
      </c>
      <c r="AX11" t="s">
        <v>162</v>
      </c>
      <c r="AY11" t="s">
        <v>342</v>
      </c>
      <c r="AZ11" t="s">
        <v>170</v>
      </c>
      <c r="BA11" t="s">
        <v>163</v>
      </c>
      <c r="BB11" t="s">
        <v>164</v>
      </c>
      <c r="BC11" t="s">
        <v>288</v>
      </c>
      <c r="BH11">
        <v>5</v>
      </c>
      <c r="BI11" t="s">
        <v>302</v>
      </c>
      <c r="BJ11" t="s">
        <v>202</v>
      </c>
      <c r="BK11" t="s">
        <v>263</v>
      </c>
      <c r="BN11">
        <v>3</v>
      </c>
      <c r="BU11">
        <v>4</v>
      </c>
      <c r="BY11">
        <v>2</v>
      </c>
      <c r="CG11">
        <v>4</v>
      </c>
      <c r="CM11">
        <v>4</v>
      </c>
      <c r="CP11">
        <v>1</v>
      </c>
      <c r="CV11">
        <v>1</v>
      </c>
      <c r="DB11" t="s">
        <v>373</v>
      </c>
      <c r="DC11" t="s">
        <v>374</v>
      </c>
      <c r="DD11" t="s">
        <v>375</v>
      </c>
      <c r="DE11" t="s">
        <v>376</v>
      </c>
      <c r="DF11" t="s">
        <v>377</v>
      </c>
      <c r="DG11" t="s">
        <v>378</v>
      </c>
      <c r="DJ11">
        <v>3</v>
      </c>
      <c r="DN11">
        <v>1</v>
      </c>
      <c r="DU11">
        <v>2</v>
      </c>
      <c r="ED11">
        <v>5</v>
      </c>
      <c r="EI11">
        <v>4</v>
      </c>
      <c r="EL11" t="s">
        <v>379</v>
      </c>
      <c r="EN11" t="s">
        <v>186</v>
      </c>
    </row>
    <row r="12" spans="1:144" hidden="1" x14ac:dyDescent="0.25">
      <c r="A12">
        <v>2562</v>
      </c>
      <c r="B12" t="s">
        <v>380</v>
      </c>
      <c r="C12" t="s">
        <v>145</v>
      </c>
      <c r="D12" t="s">
        <v>338</v>
      </c>
      <c r="E12" t="s">
        <v>339</v>
      </c>
      <c r="F12" t="s">
        <v>148</v>
      </c>
      <c r="G12" t="s">
        <v>149</v>
      </c>
      <c r="H12" t="s">
        <v>340</v>
      </c>
      <c r="I12" t="s">
        <v>151</v>
      </c>
      <c r="J12" t="s">
        <v>381</v>
      </c>
      <c r="K12" t="s">
        <v>382</v>
      </c>
      <c r="L12" t="s">
        <v>251</v>
      </c>
      <c r="M12">
        <v>16</v>
      </c>
      <c r="O12">
        <v>3</v>
      </c>
      <c r="P12">
        <v>3</v>
      </c>
      <c r="Q12">
        <v>2</v>
      </c>
      <c r="R12">
        <v>6</v>
      </c>
      <c r="S12">
        <v>2</v>
      </c>
      <c r="Y12" t="s">
        <v>155</v>
      </c>
      <c r="Z12" t="s">
        <v>302</v>
      </c>
      <c r="AA12" t="s">
        <v>287</v>
      </c>
      <c r="AB12" t="s">
        <v>303</v>
      </c>
      <c r="AD12" t="s">
        <v>162</v>
      </c>
      <c r="AE12" t="s">
        <v>212</v>
      </c>
      <c r="AF12" t="s">
        <v>342</v>
      </c>
      <c r="AG12" t="s">
        <v>163</v>
      </c>
      <c r="AH12" t="s">
        <v>324</v>
      </c>
      <c r="AI12" t="s">
        <v>300</v>
      </c>
      <c r="AJ12" t="s">
        <v>202</v>
      </c>
      <c r="AK12" t="s">
        <v>157</v>
      </c>
      <c r="AL12" t="s">
        <v>229</v>
      </c>
      <c r="AM12" t="s">
        <v>167</v>
      </c>
      <c r="AN12" t="s">
        <v>291</v>
      </c>
      <c r="AO12" t="s">
        <v>342</v>
      </c>
      <c r="AQ12" t="s">
        <v>171</v>
      </c>
      <c r="AR12" t="s">
        <v>233</v>
      </c>
      <c r="AT12" t="s">
        <v>274</v>
      </c>
      <c r="AU12" t="s">
        <v>166</v>
      </c>
      <c r="AV12" t="s">
        <v>157</v>
      </c>
      <c r="AW12" t="s">
        <v>174</v>
      </c>
      <c r="AX12" t="s">
        <v>161</v>
      </c>
      <c r="AY12" t="s">
        <v>169</v>
      </c>
      <c r="AZ12" t="s">
        <v>299</v>
      </c>
      <c r="BA12" t="s">
        <v>171</v>
      </c>
      <c r="BB12" t="s">
        <v>164</v>
      </c>
      <c r="BH12">
        <v>5</v>
      </c>
      <c r="BI12" t="s">
        <v>263</v>
      </c>
      <c r="BJ12" t="s">
        <v>156</v>
      </c>
      <c r="BK12" t="s">
        <v>216</v>
      </c>
      <c r="BM12">
        <v>2</v>
      </c>
      <c r="BU12">
        <v>4</v>
      </c>
      <c r="BY12">
        <v>2</v>
      </c>
      <c r="CD12">
        <v>1</v>
      </c>
      <c r="CJ12">
        <v>1</v>
      </c>
      <c r="CR12">
        <v>3</v>
      </c>
      <c r="CV12">
        <v>1</v>
      </c>
      <c r="DB12" t="s">
        <v>383</v>
      </c>
      <c r="DC12" t="s">
        <v>384</v>
      </c>
      <c r="DD12" t="s">
        <v>385</v>
      </c>
      <c r="DE12" t="s">
        <v>386</v>
      </c>
      <c r="DF12" t="s">
        <v>387</v>
      </c>
      <c r="DG12" t="s">
        <v>388</v>
      </c>
      <c r="DH12">
        <v>1</v>
      </c>
      <c r="DO12">
        <v>2</v>
      </c>
      <c r="DV12">
        <v>3</v>
      </c>
      <c r="EA12">
        <v>2</v>
      </c>
      <c r="EF12">
        <v>1</v>
      </c>
      <c r="EL12" t="s">
        <v>389</v>
      </c>
      <c r="EN12" t="s">
        <v>186</v>
      </c>
    </row>
    <row r="13" spans="1:144" hidden="1" x14ac:dyDescent="0.25">
      <c r="A13">
        <v>2563</v>
      </c>
      <c r="B13" t="s">
        <v>390</v>
      </c>
      <c r="C13" t="s">
        <v>145</v>
      </c>
      <c r="D13" t="s">
        <v>338</v>
      </c>
      <c r="E13" t="s">
        <v>339</v>
      </c>
      <c r="F13" t="s">
        <v>148</v>
      </c>
      <c r="G13" t="s">
        <v>149</v>
      </c>
      <c r="H13" t="s">
        <v>391</v>
      </c>
      <c r="I13" t="s">
        <v>297</v>
      </c>
      <c r="J13" s="1">
        <v>43590</v>
      </c>
      <c r="K13" t="s">
        <v>392</v>
      </c>
      <c r="L13" t="s">
        <v>193</v>
      </c>
      <c r="M13">
        <v>29</v>
      </c>
      <c r="R13">
        <v>11</v>
      </c>
      <c r="S13">
        <v>18</v>
      </c>
      <c r="T13" t="s">
        <v>195</v>
      </c>
      <c r="Y13" t="s">
        <v>195</v>
      </c>
      <c r="Z13" t="s">
        <v>302</v>
      </c>
      <c r="AA13" t="s">
        <v>352</v>
      </c>
      <c r="AB13" t="s">
        <v>287</v>
      </c>
      <c r="AC13" t="s">
        <v>174</v>
      </c>
      <c r="AD13" t="s">
        <v>161</v>
      </c>
      <c r="AE13" t="s">
        <v>207</v>
      </c>
      <c r="AF13" t="s">
        <v>342</v>
      </c>
      <c r="AG13" t="s">
        <v>163</v>
      </c>
      <c r="AH13" t="s">
        <v>328</v>
      </c>
      <c r="AI13" t="s">
        <v>393</v>
      </c>
      <c r="AJ13" t="s">
        <v>313</v>
      </c>
      <c r="AK13" t="s">
        <v>166</v>
      </c>
      <c r="AL13" t="s">
        <v>167</v>
      </c>
      <c r="AM13" t="s">
        <v>287</v>
      </c>
      <c r="AN13" t="s">
        <v>169</v>
      </c>
      <c r="AO13" t="s">
        <v>342</v>
      </c>
      <c r="AP13" t="s">
        <v>235</v>
      </c>
      <c r="AQ13" t="s">
        <v>171</v>
      </c>
      <c r="AR13" t="s">
        <v>163</v>
      </c>
      <c r="AS13" t="s">
        <v>216</v>
      </c>
      <c r="AT13" t="s">
        <v>156</v>
      </c>
      <c r="AU13" t="s">
        <v>253</v>
      </c>
      <c r="AV13" t="s">
        <v>229</v>
      </c>
      <c r="AW13" t="s">
        <v>157</v>
      </c>
      <c r="AX13" t="s">
        <v>162</v>
      </c>
      <c r="AY13" t="s">
        <v>394</v>
      </c>
      <c r="AZ13" t="s">
        <v>325</v>
      </c>
      <c r="BA13" t="s">
        <v>163</v>
      </c>
      <c r="BB13" t="s">
        <v>395</v>
      </c>
      <c r="BC13" t="s">
        <v>171</v>
      </c>
      <c r="BH13">
        <v>5</v>
      </c>
      <c r="BI13" t="s">
        <v>158</v>
      </c>
      <c r="BJ13" t="s">
        <v>178</v>
      </c>
      <c r="BK13" t="s">
        <v>156</v>
      </c>
      <c r="BL13">
        <v>1</v>
      </c>
      <c r="BR13">
        <v>1</v>
      </c>
      <c r="BZ13">
        <v>3</v>
      </c>
      <c r="CE13">
        <v>2</v>
      </c>
      <c r="CP13">
        <v>1</v>
      </c>
      <c r="CV13">
        <v>1</v>
      </c>
      <c r="DB13" t="s">
        <v>219</v>
      </c>
      <c r="DC13" t="s">
        <v>396</v>
      </c>
      <c r="DD13" t="s">
        <v>397</v>
      </c>
      <c r="DE13" t="s">
        <v>398</v>
      </c>
      <c r="DF13" t="s">
        <v>268</v>
      </c>
      <c r="DG13" t="s">
        <v>399</v>
      </c>
      <c r="DI13">
        <v>2</v>
      </c>
      <c r="DP13">
        <v>3</v>
      </c>
      <c r="DT13">
        <v>1</v>
      </c>
      <c r="ED13">
        <v>5</v>
      </c>
      <c r="EG13">
        <v>2</v>
      </c>
      <c r="EL13" t="s">
        <v>400</v>
      </c>
      <c r="EN13" t="s">
        <v>186</v>
      </c>
    </row>
    <row r="14" spans="1:144" hidden="1" x14ac:dyDescent="0.25">
      <c r="A14">
        <v>2564</v>
      </c>
      <c r="B14" t="s">
        <v>401</v>
      </c>
      <c r="C14" t="s">
        <v>145</v>
      </c>
      <c r="D14" t="s">
        <v>338</v>
      </c>
      <c r="E14" t="s">
        <v>339</v>
      </c>
      <c r="F14" t="s">
        <v>148</v>
      </c>
      <c r="G14" t="s">
        <v>149</v>
      </c>
      <c r="H14" t="s">
        <v>391</v>
      </c>
      <c r="I14" t="s">
        <v>297</v>
      </c>
      <c r="J14" s="1">
        <v>43590</v>
      </c>
      <c r="K14" t="s">
        <v>402</v>
      </c>
      <c r="L14" t="s">
        <v>330</v>
      </c>
      <c r="M14">
        <v>14</v>
      </c>
      <c r="O14">
        <v>1</v>
      </c>
      <c r="P14">
        <v>4</v>
      </c>
      <c r="Q14">
        <v>3</v>
      </c>
      <c r="R14">
        <v>5</v>
      </c>
      <c r="S14">
        <v>1</v>
      </c>
      <c r="T14" t="s">
        <v>195</v>
      </c>
      <c r="Y14" t="s">
        <v>195</v>
      </c>
      <c r="Z14" t="s">
        <v>156</v>
      </c>
      <c r="AA14" t="s">
        <v>229</v>
      </c>
      <c r="AB14" t="s">
        <v>167</v>
      </c>
      <c r="AC14" t="s">
        <v>229</v>
      </c>
      <c r="AD14" t="s">
        <v>394</v>
      </c>
      <c r="AE14" t="s">
        <v>325</v>
      </c>
      <c r="AF14" t="s">
        <v>162</v>
      </c>
      <c r="AG14" t="s">
        <v>328</v>
      </c>
      <c r="AH14" t="s">
        <v>288</v>
      </c>
      <c r="AI14" t="s">
        <v>163</v>
      </c>
      <c r="AJ14" t="s">
        <v>302</v>
      </c>
      <c r="AK14" t="s">
        <v>352</v>
      </c>
      <c r="AL14" t="s">
        <v>287</v>
      </c>
      <c r="AM14" t="s">
        <v>157</v>
      </c>
      <c r="AN14" t="s">
        <v>162</v>
      </c>
      <c r="AO14" t="s">
        <v>342</v>
      </c>
      <c r="AP14" t="s">
        <v>212</v>
      </c>
      <c r="AQ14" t="s">
        <v>163</v>
      </c>
      <c r="AR14" t="s">
        <v>164</v>
      </c>
      <c r="AS14" t="s">
        <v>262</v>
      </c>
      <c r="AT14" t="s">
        <v>403</v>
      </c>
      <c r="AU14" t="s">
        <v>287</v>
      </c>
      <c r="AV14" t="s">
        <v>318</v>
      </c>
      <c r="AW14" t="s">
        <v>287</v>
      </c>
      <c r="AX14" t="s">
        <v>162</v>
      </c>
      <c r="AY14" t="s">
        <v>342</v>
      </c>
      <c r="AZ14" t="s">
        <v>206</v>
      </c>
      <c r="BA14" t="s">
        <v>332</v>
      </c>
      <c r="BB14" t="s">
        <v>362</v>
      </c>
      <c r="BC14" t="s">
        <v>404</v>
      </c>
      <c r="BG14">
        <v>4</v>
      </c>
      <c r="BI14" t="s">
        <v>403</v>
      </c>
      <c r="BJ14" t="s">
        <v>302</v>
      </c>
      <c r="BK14" t="s">
        <v>274</v>
      </c>
      <c r="BL14">
        <v>1</v>
      </c>
      <c r="BQ14" t="s">
        <v>405</v>
      </c>
      <c r="BR14">
        <v>1</v>
      </c>
      <c r="BW14" t="s">
        <v>406</v>
      </c>
      <c r="BY14">
        <v>2</v>
      </c>
      <c r="CD14">
        <v>1</v>
      </c>
      <c r="CI14" t="s">
        <v>407</v>
      </c>
      <c r="CL14">
        <v>3</v>
      </c>
      <c r="CO14" t="s">
        <v>408</v>
      </c>
      <c r="CP14">
        <v>1</v>
      </c>
      <c r="CU14" t="s">
        <v>409</v>
      </c>
      <c r="CX14">
        <v>3</v>
      </c>
      <c r="DA14" t="s">
        <v>410</v>
      </c>
      <c r="DB14" t="s">
        <v>219</v>
      </c>
      <c r="DC14" t="s">
        <v>409</v>
      </c>
      <c r="DD14" t="s">
        <v>411</v>
      </c>
      <c r="DE14" t="s">
        <v>412</v>
      </c>
      <c r="DF14" t="s">
        <v>268</v>
      </c>
      <c r="DG14" t="s">
        <v>399</v>
      </c>
      <c r="DK14">
        <v>4</v>
      </c>
      <c r="DN14">
        <v>1</v>
      </c>
      <c r="DV14">
        <v>3</v>
      </c>
      <c r="EB14">
        <v>3</v>
      </c>
      <c r="EF14">
        <v>1</v>
      </c>
      <c r="EL14" t="s">
        <v>413</v>
      </c>
      <c r="EN14" t="s">
        <v>186</v>
      </c>
    </row>
    <row r="15" spans="1:144" hidden="1" x14ac:dyDescent="0.25">
      <c r="A15">
        <v>2565</v>
      </c>
      <c r="B15" t="s">
        <v>414</v>
      </c>
      <c r="C15" t="s">
        <v>145</v>
      </c>
      <c r="D15" t="s">
        <v>338</v>
      </c>
      <c r="E15" t="s">
        <v>339</v>
      </c>
      <c r="F15" t="s">
        <v>148</v>
      </c>
      <c r="G15" t="s">
        <v>149</v>
      </c>
      <c r="H15" t="s">
        <v>391</v>
      </c>
      <c r="I15" t="s">
        <v>297</v>
      </c>
      <c r="J15" s="1">
        <v>43583</v>
      </c>
      <c r="K15" t="s">
        <v>415</v>
      </c>
      <c r="L15" t="s">
        <v>273</v>
      </c>
      <c r="M15">
        <v>16</v>
      </c>
      <c r="O15">
        <v>2</v>
      </c>
      <c r="P15">
        <v>6</v>
      </c>
      <c r="Q15">
        <v>11</v>
      </c>
      <c r="T15" t="s">
        <v>195</v>
      </c>
      <c r="Y15" t="s">
        <v>155</v>
      </c>
      <c r="Z15" t="s">
        <v>302</v>
      </c>
      <c r="AA15" t="s">
        <v>167</v>
      </c>
      <c r="AB15" t="s">
        <v>166</v>
      </c>
      <c r="AC15" t="s">
        <v>287</v>
      </c>
      <c r="AD15" t="s">
        <v>162</v>
      </c>
      <c r="AE15" t="s">
        <v>416</v>
      </c>
      <c r="AF15" t="s">
        <v>212</v>
      </c>
      <c r="AG15" t="s">
        <v>163</v>
      </c>
      <c r="AH15" t="s">
        <v>237</v>
      </c>
      <c r="AI15" t="s">
        <v>328</v>
      </c>
      <c r="AJ15" t="s">
        <v>313</v>
      </c>
      <c r="AK15" t="s">
        <v>166</v>
      </c>
      <c r="AL15" t="s">
        <v>197</v>
      </c>
      <c r="AM15" t="s">
        <v>165</v>
      </c>
      <c r="AN15" t="s">
        <v>161</v>
      </c>
      <c r="AO15" t="s">
        <v>417</v>
      </c>
      <c r="AP15" t="s">
        <v>212</v>
      </c>
      <c r="AQ15" t="s">
        <v>163</v>
      </c>
      <c r="AR15" t="s">
        <v>237</v>
      </c>
      <c r="AS15" t="s">
        <v>328</v>
      </c>
      <c r="AT15" t="s">
        <v>274</v>
      </c>
      <c r="AU15" t="s">
        <v>166</v>
      </c>
      <c r="AV15" t="s">
        <v>198</v>
      </c>
      <c r="AW15" t="s">
        <v>287</v>
      </c>
      <c r="AX15" t="s">
        <v>169</v>
      </c>
      <c r="AY15" t="s">
        <v>279</v>
      </c>
      <c r="AZ15" t="s">
        <v>417</v>
      </c>
      <c r="BA15" t="s">
        <v>163</v>
      </c>
      <c r="BB15" t="s">
        <v>164</v>
      </c>
      <c r="BC15" t="s">
        <v>332</v>
      </c>
      <c r="BI15" t="s">
        <v>196</v>
      </c>
      <c r="BJ15" t="s">
        <v>156</v>
      </c>
      <c r="BK15" t="s">
        <v>202</v>
      </c>
      <c r="BL15">
        <v>1</v>
      </c>
      <c r="BR15">
        <v>1</v>
      </c>
      <c r="BX15">
        <v>1</v>
      </c>
      <c r="CD15">
        <v>1</v>
      </c>
      <c r="CJ15">
        <v>1</v>
      </c>
      <c r="CP15">
        <v>1</v>
      </c>
      <c r="CV15">
        <v>1</v>
      </c>
      <c r="DB15" t="s">
        <v>219</v>
      </c>
      <c r="DC15" t="s">
        <v>418</v>
      </c>
      <c r="DD15" t="s">
        <v>397</v>
      </c>
      <c r="DE15" t="s">
        <v>419</v>
      </c>
      <c r="DF15" t="s">
        <v>268</v>
      </c>
      <c r="DG15" t="s">
        <v>399</v>
      </c>
      <c r="DH15">
        <v>1</v>
      </c>
      <c r="DN15">
        <v>1</v>
      </c>
      <c r="DT15">
        <v>1</v>
      </c>
      <c r="DZ15">
        <v>1</v>
      </c>
      <c r="EF15">
        <v>1</v>
      </c>
      <c r="EL15" t="s">
        <v>420</v>
      </c>
      <c r="EN15" t="s">
        <v>186</v>
      </c>
    </row>
    <row r="16" spans="1:144" hidden="1" x14ac:dyDescent="0.25">
      <c r="A16">
        <v>2566</v>
      </c>
      <c r="B16" t="s">
        <v>421</v>
      </c>
      <c r="C16" t="s">
        <v>145</v>
      </c>
      <c r="D16" t="s">
        <v>338</v>
      </c>
      <c r="E16" t="s">
        <v>339</v>
      </c>
      <c r="F16" t="s">
        <v>148</v>
      </c>
      <c r="G16" t="s">
        <v>149</v>
      </c>
      <c r="H16" t="s">
        <v>391</v>
      </c>
      <c r="I16" t="s">
        <v>297</v>
      </c>
      <c r="J16" s="1">
        <v>43590</v>
      </c>
      <c r="K16" t="s">
        <v>422</v>
      </c>
      <c r="L16" t="s">
        <v>251</v>
      </c>
      <c r="M16">
        <v>22</v>
      </c>
      <c r="T16" t="s">
        <v>195</v>
      </c>
      <c r="Y16" t="s">
        <v>195</v>
      </c>
      <c r="Z16" t="s">
        <v>302</v>
      </c>
      <c r="AA16" t="s">
        <v>287</v>
      </c>
      <c r="AB16" t="s">
        <v>167</v>
      </c>
      <c r="AC16" t="s">
        <v>168</v>
      </c>
      <c r="AD16" t="s">
        <v>162</v>
      </c>
      <c r="AE16" t="s">
        <v>342</v>
      </c>
      <c r="AF16" t="s">
        <v>423</v>
      </c>
      <c r="AG16" t="s">
        <v>309</v>
      </c>
      <c r="AH16" t="s">
        <v>163</v>
      </c>
      <c r="AI16" t="s">
        <v>164</v>
      </c>
      <c r="AJ16" t="s">
        <v>196</v>
      </c>
      <c r="AK16" t="s">
        <v>158</v>
      </c>
      <c r="AL16" t="s">
        <v>174</v>
      </c>
      <c r="AM16" t="s">
        <v>202</v>
      </c>
      <c r="AN16" t="s">
        <v>170</v>
      </c>
      <c r="AO16" t="s">
        <v>308</v>
      </c>
      <c r="AP16" t="s">
        <v>423</v>
      </c>
      <c r="AQ16" t="s">
        <v>288</v>
      </c>
      <c r="AR16" t="s">
        <v>171</v>
      </c>
      <c r="AS16" t="s">
        <v>163</v>
      </c>
      <c r="AT16" t="s">
        <v>354</v>
      </c>
      <c r="AU16" t="s">
        <v>287</v>
      </c>
      <c r="AV16" t="s">
        <v>166</v>
      </c>
      <c r="AW16" t="s">
        <v>198</v>
      </c>
      <c r="AX16" t="s">
        <v>161</v>
      </c>
      <c r="AY16" t="s">
        <v>162</v>
      </c>
      <c r="AZ16" t="s">
        <v>342</v>
      </c>
      <c r="BA16" t="s">
        <v>164</v>
      </c>
      <c r="BB16" t="s">
        <v>214</v>
      </c>
      <c r="BC16" t="s">
        <v>163</v>
      </c>
      <c r="BG16">
        <v>4</v>
      </c>
      <c r="BI16" t="s">
        <v>274</v>
      </c>
      <c r="BJ16" t="s">
        <v>302</v>
      </c>
      <c r="BK16" t="s">
        <v>216</v>
      </c>
      <c r="BL16">
        <v>1</v>
      </c>
      <c r="BS16">
        <v>2</v>
      </c>
      <c r="CB16">
        <v>5</v>
      </c>
      <c r="CH16">
        <v>5</v>
      </c>
      <c r="CM16">
        <v>4</v>
      </c>
      <c r="CS16">
        <v>4</v>
      </c>
      <c r="CY16">
        <v>4</v>
      </c>
      <c r="DB16" t="s">
        <v>329</v>
      </c>
      <c r="DC16" t="s">
        <v>396</v>
      </c>
      <c r="DD16" t="s">
        <v>397</v>
      </c>
      <c r="DE16" t="s">
        <v>424</v>
      </c>
      <c r="DF16" t="s">
        <v>219</v>
      </c>
      <c r="DL16">
        <v>5</v>
      </c>
      <c r="DR16">
        <v>5</v>
      </c>
      <c r="DW16">
        <v>4</v>
      </c>
      <c r="ED16">
        <v>5</v>
      </c>
      <c r="EH16">
        <v>3</v>
      </c>
      <c r="EL16" t="s">
        <v>425</v>
      </c>
      <c r="EN16" t="s">
        <v>186</v>
      </c>
    </row>
    <row r="17" spans="1:144" hidden="1" x14ac:dyDescent="0.25">
      <c r="A17">
        <v>2567</v>
      </c>
      <c r="B17" t="s">
        <v>426</v>
      </c>
      <c r="C17" t="s">
        <v>145</v>
      </c>
      <c r="D17" t="s">
        <v>427</v>
      </c>
      <c r="E17" t="s">
        <v>339</v>
      </c>
      <c r="F17" t="s">
        <v>148</v>
      </c>
      <c r="G17" t="s">
        <v>149</v>
      </c>
      <c r="H17" t="s">
        <v>391</v>
      </c>
      <c r="I17" t="s">
        <v>297</v>
      </c>
      <c r="J17" s="1">
        <v>43580</v>
      </c>
      <c r="K17" t="s">
        <v>428</v>
      </c>
      <c r="L17" t="s">
        <v>154</v>
      </c>
      <c r="M17">
        <v>15</v>
      </c>
      <c r="N17">
        <v>1</v>
      </c>
      <c r="O17">
        <v>2</v>
      </c>
      <c r="P17">
        <v>6</v>
      </c>
      <c r="Q17">
        <v>7</v>
      </c>
      <c r="R17">
        <v>1</v>
      </c>
      <c r="S17">
        <v>1</v>
      </c>
      <c r="T17" t="s">
        <v>195</v>
      </c>
      <c r="Y17" t="s">
        <v>195</v>
      </c>
      <c r="Z17" t="s">
        <v>302</v>
      </c>
      <c r="AA17" t="s">
        <v>287</v>
      </c>
      <c r="AB17" t="s">
        <v>168</v>
      </c>
      <c r="AC17" t="s">
        <v>352</v>
      </c>
      <c r="AD17" t="s">
        <v>162</v>
      </c>
      <c r="AE17" t="s">
        <v>325</v>
      </c>
      <c r="AF17" t="s">
        <v>170</v>
      </c>
      <c r="AG17" t="s">
        <v>163</v>
      </c>
      <c r="AH17" t="s">
        <v>163</v>
      </c>
      <c r="AI17" t="s">
        <v>164</v>
      </c>
      <c r="AJ17" t="s">
        <v>429</v>
      </c>
      <c r="AK17" t="s">
        <v>168</v>
      </c>
      <c r="AL17" t="s">
        <v>287</v>
      </c>
      <c r="AM17" t="s">
        <v>166</v>
      </c>
      <c r="AN17" t="s">
        <v>342</v>
      </c>
      <c r="AO17" t="s">
        <v>162</v>
      </c>
      <c r="AP17" t="s">
        <v>170</v>
      </c>
      <c r="AQ17" t="s">
        <v>163</v>
      </c>
      <c r="AR17" t="s">
        <v>328</v>
      </c>
      <c r="AS17" t="s">
        <v>430</v>
      </c>
      <c r="AT17" t="s">
        <v>202</v>
      </c>
      <c r="AU17" t="s">
        <v>287</v>
      </c>
      <c r="AV17" t="s">
        <v>198</v>
      </c>
      <c r="AW17" t="s">
        <v>159</v>
      </c>
      <c r="AX17" t="s">
        <v>342</v>
      </c>
      <c r="AY17" t="s">
        <v>325</v>
      </c>
      <c r="BA17" t="s">
        <v>163</v>
      </c>
      <c r="BB17" t="s">
        <v>237</v>
      </c>
      <c r="BE17">
        <v>2</v>
      </c>
      <c r="BI17" t="s">
        <v>202</v>
      </c>
      <c r="BJ17" t="s">
        <v>156</v>
      </c>
      <c r="BK17" t="s">
        <v>287</v>
      </c>
      <c r="BL17">
        <v>1</v>
      </c>
      <c r="BR17">
        <v>1</v>
      </c>
      <c r="BX17">
        <v>1</v>
      </c>
      <c r="CD17">
        <v>1</v>
      </c>
      <c r="CJ17">
        <v>1</v>
      </c>
      <c r="CP17">
        <v>11</v>
      </c>
      <c r="CV17">
        <v>1</v>
      </c>
      <c r="DB17" t="s">
        <v>431</v>
      </c>
      <c r="DC17" t="s">
        <v>424</v>
      </c>
      <c r="DD17" t="s">
        <v>219</v>
      </c>
      <c r="DE17" t="s">
        <v>409</v>
      </c>
      <c r="DF17" t="s">
        <v>329</v>
      </c>
      <c r="DG17" t="s">
        <v>432</v>
      </c>
      <c r="DH17">
        <v>1</v>
      </c>
      <c r="DN17">
        <v>1</v>
      </c>
      <c r="DT17">
        <v>1</v>
      </c>
      <c r="ED17">
        <v>5</v>
      </c>
      <c r="EI17">
        <v>4</v>
      </c>
      <c r="EL17" t="s">
        <v>433</v>
      </c>
      <c r="EN17" t="s">
        <v>186</v>
      </c>
    </row>
    <row r="18" spans="1:144" hidden="1" x14ac:dyDescent="0.25">
      <c r="A18">
        <v>2568</v>
      </c>
      <c r="B18" t="s">
        <v>434</v>
      </c>
      <c r="C18" t="s">
        <v>145</v>
      </c>
      <c r="D18" t="s">
        <v>435</v>
      </c>
      <c r="E18" t="s">
        <v>295</v>
      </c>
      <c r="F18" t="s">
        <v>148</v>
      </c>
      <c r="G18" t="s">
        <v>149</v>
      </c>
      <c r="H18" t="s">
        <v>436</v>
      </c>
      <c r="I18" t="s">
        <v>297</v>
      </c>
      <c r="J18" s="1">
        <v>43574</v>
      </c>
      <c r="K18" t="s">
        <v>437</v>
      </c>
      <c r="L18" t="s">
        <v>154</v>
      </c>
      <c r="M18">
        <v>21</v>
      </c>
      <c r="N18">
        <v>1</v>
      </c>
      <c r="O18">
        <v>4</v>
      </c>
      <c r="P18">
        <v>5</v>
      </c>
      <c r="Q18">
        <v>6</v>
      </c>
      <c r="R18">
        <v>3</v>
      </c>
      <c r="Y18" t="s">
        <v>155</v>
      </c>
      <c r="Z18" t="s">
        <v>156</v>
      </c>
      <c r="AA18" t="s">
        <v>229</v>
      </c>
      <c r="AB18" t="s">
        <v>167</v>
      </c>
      <c r="AD18" t="s">
        <v>170</v>
      </c>
      <c r="AE18" t="s">
        <v>394</v>
      </c>
      <c r="AF18" t="s">
        <v>342</v>
      </c>
      <c r="AG18" t="s">
        <v>164</v>
      </c>
      <c r="AH18" t="s">
        <v>163</v>
      </c>
      <c r="AI18" t="s">
        <v>430</v>
      </c>
      <c r="AJ18" t="s">
        <v>263</v>
      </c>
      <c r="AK18" t="s">
        <v>229</v>
      </c>
      <c r="AL18" t="s">
        <v>174</v>
      </c>
      <c r="AM18" t="s">
        <v>287</v>
      </c>
      <c r="AN18" t="s">
        <v>170</v>
      </c>
      <c r="AO18" t="s">
        <v>325</v>
      </c>
      <c r="AP18" t="s">
        <v>438</v>
      </c>
      <c r="AQ18" t="s">
        <v>164</v>
      </c>
      <c r="AR18" t="s">
        <v>163</v>
      </c>
      <c r="AS18" t="s">
        <v>322</v>
      </c>
      <c r="AT18" t="s">
        <v>196</v>
      </c>
      <c r="AU18" t="s">
        <v>198</v>
      </c>
      <c r="AV18" t="s">
        <v>167</v>
      </c>
      <c r="AW18" t="s">
        <v>287</v>
      </c>
      <c r="AX18" t="s">
        <v>199</v>
      </c>
      <c r="AY18" t="s">
        <v>342</v>
      </c>
      <c r="AZ18" t="s">
        <v>170</v>
      </c>
      <c r="BA18" t="s">
        <v>164</v>
      </c>
      <c r="BB18" t="s">
        <v>265</v>
      </c>
      <c r="BC18" t="s">
        <v>439</v>
      </c>
      <c r="BI18" t="s">
        <v>156</v>
      </c>
      <c r="BJ18" t="s">
        <v>304</v>
      </c>
      <c r="BK18" t="s">
        <v>440</v>
      </c>
      <c r="BL18">
        <v>1</v>
      </c>
      <c r="BR18">
        <v>1</v>
      </c>
      <c r="BY18">
        <v>2</v>
      </c>
      <c r="CD18">
        <v>1</v>
      </c>
      <c r="CJ18">
        <v>1</v>
      </c>
      <c r="CP18">
        <v>1</v>
      </c>
      <c r="CV18">
        <v>1</v>
      </c>
      <c r="DB18" t="s">
        <v>441</v>
      </c>
      <c r="DC18" t="s">
        <v>405</v>
      </c>
      <c r="DD18" t="s">
        <v>442</v>
      </c>
      <c r="DE18" t="s">
        <v>443</v>
      </c>
      <c r="DF18" t="s">
        <v>444</v>
      </c>
      <c r="DG18" t="s">
        <v>407</v>
      </c>
      <c r="DI18">
        <v>2</v>
      </c>
      <c r="DN18">
        <v>1</v>
      </c>
      <c r="DT18">
        <v>1</v>
      </c>
      <c r="EA18">
        <v>2</v>
      </c>
      <c r="EF18">
        <v>1</v>
      </c>
      <c r="EL18" t="s">
        <v>445</v>
      </c>
      <c r="EN18" t="s">
        <v>186</v>
      </c>
    </row>
    <row r="19" spans="1:144" hidden="1" x14ac:dyDescent="0.25">
      <c r="A19">
        <v>2569</v>
      </c>
      <c r="B19" t="s">
        <v>446</v>
      </c>
      <c r="C19" t="s">
        <v>145</v>
      </c>
      <c r="D19" t="s">
        <v>435</v>
      </c>
      <c r="E19" t="s">
        <v>295</v>
      </c>
      <c r="F19" t="s">
        <v>148</v>
      </c>
      <c r="G19" t="s">
        <v>149</v>
      </c>
      <c r="H19" t="s">
        <v>436</v>
      </c>
      <c r="I19" t="s">
        <v>297</v>
      </c>
      <c r="J19" s="1">
        <v>43580</v>
      </c>
      <c r="K19" t="s">
        <v>447</v>
      </c>
      <c r="L19" t="s">
        <v>154</v>
      </c>
      <c r="M19">
        <v>24</v>
      </c>
      <c r="N19">
        <v>4</v>
      </c>
      <c r="O19">
        <v>4</v>
      </c>
      <c r="P19">
        <v>3</v>
      </c>
      <c r="Q19">
        <v>5</v>
      </c>
      <c r="R19">
        <v>5</v>
      </c>
      <c r="T19" t="s">
        <v>448</v>
      </c>
      <c r="Y19" t="s">
        <v>195</v>
      </c>
      <c r="Z19" t="s">
        <v>313</v>
      </c>
      <c r="AB19" t="s">
        <v>166</v>
      </c>
      <c r="AC19" t="s">
        <v>287</v>
      </c>
      <c r="AD19" t="s">
        <v>169</v>
      </c>
      <c r="AE19" t="s">
        <v>207</v>
      </c>
      <c r="AF19" t="s">
        <v>449</v>
      </c>
      <c r="AG19" t="s">
        <v>328</v>
      </c>
      <c r="AH19" t="s">
        <v>163</v>
      </c>
      <c r="AI19" t="s">
        <v>430</v>
      </c>
      <c r="AJ19" t="s">
        <v>253</v>
      </c>
      <c r="AK19" t="s">
        <v>229</v>
      </c>
      <c r="AL19" t="s">
        <v>211</v>
      </c>
      <c r="AM19" t="s">
        <v>287</v>
      </c>
      <c r="AN19" t="s">
        <v>450</v>
      </c>
      <c r="AO19" t="s">
        <v>170</v>
      </c>
      <c r="AP19" t="s">
        <v>325</v>
      </c>
      <c r="AQ19" t="s">
        <v>328</v>
      </c>
      <c r="AR19" t="s">
        <v>288</v>
      </c>
      <c r="AS19" t="s">
        <v>164</v>
      </c>
      <c r="AT19" t="s">
        <v>313</v>
      </c>
      <c r="AU19" t="s">
        <v>174</v>
      </c>
      <c r="AV19" t="s">
        <v>451</v>
      </c>
      <c r="AW19" t="s">
        <v>198</v>
      </c>
      <c r="AX19" t="s">
        <v>170</v>
      </c>
      <c r="AY19" t="s">
        <v>417</v>
      </c>
      <c r="AZ19" t="s">
        <v>261</v>
      </c>
      <c r="BA19" t="s">
        <v>163</v>
      </c>
      <c r="BB19" t="s">
        <v>164</v>
      </c>
      <c r="BC19" t="s">
        <v>452</v>
      </c>
      <c r="BI19" t="s">
        <v>253</v>
      </c>
      <c r="BJ19" t="s">
        <v>156</v>
      </c>
      <c r="BK19" t="s">
        <v>304</v>
      </c>
      <c r="BL19">
        <v>1</v>
      </c>
      <c r="BS19">
        <v>2</v>
      </c>
      <c r="BY19">
        <v>2</v>
      </c>
      <c r="CE19">
        <v>2</v>
      </c>
      <c r="CN19">
        <v>5</v>
      </c>
      <c r="CR19">
        <v>3</v>
      </c>
      <c r="CY19">
        <v>4</v>
      </c>
      <c r="DB19" t="s">
        <v>444</v>
      </c>
      <c r="DC19" t="s">
        <v>453</v>
      </c>
      <c r="DD19" t="s">
        <v>454</v>
      </c>
      <c r="DE19" t="s">
        <v>410</v>
      </c>
      <c r="DF19" t="s">
        <v>268</v>
      </c>
      <c r="DG19" t="s">
        <v>399</v>
      </c>
      <c r="DI19">
        <v>2</v>
      </c>
      <c r="DN19">
        <v>1</v>
      </c>
      <c r="DT19">
        <v>1</v>
      </c>
      <c r="DZ19">
        <v>1</v>
      </c>
      <c r="EF19">
        <v>1</v>
      </c>
      <c r="EL19" t="s">
        <v>455</v>
      </c>
      <c r="EN19" t="s">
        <v>186</v>
      </c>
    </row>
    <row r="20" spans="1:144" hidden="1" x14ac:dyDescent="0.25">
      <c r="A20">
        <v>2570</v>
      </c>
      <c r="B20" t="s">
        <v>456</v>
      </c>
      <c r="C20" t="s">
        <v>145</v>
      </c>
      <c r="D20" t="s">
        <v>435</v>
      </c>
      <c r="E20" t="s">
        <v>295</v>
      </c>
      <c r="F20" t="s">
        <v>148</v>
      </c>
      <c r="G20" t="s">
        <v>149</v>
      </c>
      <c r="H20" t="s">
        <v>436</v>
      </c>
      <c r="I20" t="s">
        <v>297</v>
      </c>
      <c r="J20" s="1">
        <v>43582</v>
      </c>
      <c r="K20" t="s">
        <v>457</v>
      </c>
      <c r="L20" t="s">
        <v>154</v>
      </c>
      <c r="M20">
        <v>9</v>
      </c>
      <c r="N20">
        <v>1</v>
      </c>
      <c r="O20">
        <v>2</v>
      </c>
      <c r="P20">
        <v>2</v>
      </c>
      <c r="Q20">
        <v>4</v>
      </c>
      <c r="T20" t="s">
        <v>448</v>
      </c>
      <c r="Y20" t="s">
        <v>155</v>
      </c>
      <c r="Z20" t="s">
        <v>458</v>
      </c>
      <c r="AA20" t="s">
        <v>287</v>
      </c>
      <c r="AB20" t="s">
        <v>352</v>
      </c>
      <c r="AC20" t="s">
        <v>166</v>
      </c>
      <c r="AD20" t="s">
        <v>206</v>
      </c>
      <c r="AE20" t="s">
        <v>459</v>
      </c>
      <c r="AF20" t="s">
        <v>342</v>
      </c>
      <c r="AG20" t="s">
        <v>163</v>
      </c>
      <c r="AH20" t="s">
        <v>164</v>
      </c>
      <c r="AI20" t="s">
        <v>237</v>
      </c>
      <c r="AJ20" t="s">
        <v>313</v>
      </c>
      <c r="AK20" t="s">
        <v>197</v>
      </c>
      <c r="AL20" t="s">
        <v>174</v>
      </c>
      <c r="AM20" t="s">
        <v>234</v>
      </c>
      <c r="AN20" t="s">
        <v>310</v>
      </c>
      <c r="AO20" t="s">
        <v>459</v>
      </c>
      <c r="AP20" t="s">
        <v>199</v>
      </c>
      <c r="AQ20" t="s">
        <v>163</v>
      </c>
      <c r="AR20" t="s">
        <v>164</v>
      </c>
      <c r="AS20" t="s">
        <v>288</v>
      </c>
      <c r="AT20" t="s">
        <v>460</v>
      </c>
      <c r="AU20" t="s">
        <v>166</v>
      </c>
      <c r="AV20" t="s">
        <v>287</v>
      </c>
      <c r="AW20" t="s">
        <v>352</v>
      </c>
      <c r="AX20" t="s">
        <v>169</v>
      </c>
      <c r="AY20" t="s">
        <v>176</v>
      </c>
      <c r="AZ20" t="s">
        <v>170</v>
      </c>
      <c r="BA20" t="s">
        <v>328</v>
      </c>
      <c r="BB20" t="s">
        <v>163</v>
      </c>
      <c r="BC20" t="s">
        <v>326</v>
      </c>
      <c r="BI20" t="s">
        <v>458</v>
      </c>
      <c r="BJ20" t="s">
        <v>429</v>
      </c>
      <c r="BK20" t="s">
        <v>196</v>
      </c>
      <c r="BL20">
        <v>1</v>
      </c>
      <c r="BR20">
        <v>1</v>
      </c>
      <c r="BY20">
        <v>2</v>
      </c>
      <c r="CG20">
        <v>4</v>
      </c>
      <c r="CN20">
        <v>5</v>
      </c>
      <c r="CS20">
        <v>4</v>
      </c>
      <c r="CX20">
        <v>3</v>
      </c>
      <c r="DB20" t="s">
        <v>444</v>
      </c>
      <c r="DC20" t="s">
        <v>453</v>
      </c>
      <c r="DD20" t="s">
        <v>268</v>
      </c>
      <c r="DE20" t="s">
        <v>399</v>
      </c>
      <c r="DF20" t="s">
        <v>461</v>
      </c>
      <c r="DG20" t="s">
        <v>462</v>
      </c>
      <c r="DH20">
        <v>1</v>
      </c>
      <c r="DO20">
        <v>2</v>
      </c>
      <c r="DT20">
        <v>1</v>
      </c>
      <c r="DZ20">
        <v>1</v>
      </c>
      <c r="EF20">
        <v>1</v>
      </c>
      <c r="EL20" t="s">
        <v>463</v>
      </c>
      <c r="EN20" t="s">
        <v>186</v>
      </c>
    </row>
    <row r="21" spans="1:144" hidden="1" x14ac:dyDescent="0.25">
      <c r="A21">
        <v>2571</v>
      </c>
      <c r="B21" t="s">
        <v>464</v>
      </c>
      <c r="C21" t="s">
        <v>145</v>
      </c>
      <c r="D21" t="s">
        <v>435</v>
      </c>
      <c r="E21" t="s">
        <v>295</v>
      </c>
      <c r="F21" t="s">
        <v>148</v>
      </c>
      <c r="G21" t="s">
        <v>149</v>
      </c>
      <c r="H21" t="s">
        <v>436</v>
      </c>
      <c r="I21" t="s">
        <v>297</v>
      </c>
      <c r="J21" s="1">
        <v>43581</v>
      </c>
      <c r="K21" t="s">
        <v>465</v>
      </c>
      <c r="L21" t="s">
        <v>154</v>
      </c>
      <c r="M21">
        <v>16</v>
      </c>
      <c r="O21">
        <v>5</v>
      </c>
      <c r="P21">
        <v>3</v>
      </c>
      <c r="Q21">
        <v>5</v>
      </c>
      <c r="R21">
        <v>3</v>
      </c>
      <c r="T21" t="s">
        <v>195</v>
      </c>
      <c r="Y21" t="s">
        <v>195</v>
      </c>
      <c r="Z21" t="s">
        <v>156</v>
      </c>
      <c r="AA21" t="s">
        <v>352</v>
      </c>
      <c r="AB21" t="s">
        <v>229</v>
      </c>
      <c r="AC21" t="s">
        <v>197</v>
      </c>
      <c r="AD21" t="s">
        <v>325</v>
      </c>
      <c r="AE21" t="s">
        <v>342</v>
      </c>
      <c r="AF21" t="s">
        <v>394</v>
      </c>
      <c r="AG21" t="s">
        <v>164</v>
      </c>
      <c r="AH21" t="s">
        <v>324</v>
      </c>
      <c r="AI21" t="s">
        <v>163</v>
      </c>
      <c r="AJ21" t="s">
        <v>263</v>
      </c>
      <c r="AK21" t="s">
        <v>229</v>
      </c>
      <c r="AL21" t="s">
        <v>174</v>
      </c>
      <c r="AM21" t="s">
        <v>197</v>
      </c>
      <c r="AN21" t="s">
        <v>170</v>
      </c>
      <c r="AO21" t="s">
        <v>323</v>
      </c>
      <c r="AP21" t="s">
        <v>325</v>
      </c>
      <c r="AQ21" t="s">
        <v>164</v>
      </c>
      <c r="AR21" t="s">
        <v>466</v>
      </c>
      <c r="AS21" t="s">
        <v>288</v>
      </c>
      <c r="AT21" t="s">
        <v>196</v>
      </c>
      <c r="AU21" t="s">
        <v>174</v>
      </c>
      <c r="AV21" t="s">
        <v>287</v>
      </c>
      <c r="AW21" t="s">
        <v>451</v>
      </c>
      <c r="AX21" t="s">
        <v>317</v>
      </c>
      <c r="AY21" t="s">
        <v>321</v>
      </c>
      <c r="AZ21" t="s">
        <v>342</v>
      </c>
      <c r="BA21" t="s">
        <v>430</v>
      </c>
      <c r="BB21" t="s">
        <v>163</v>
      </c>
      <c r="BC21" t="s">
        <v>214</v>
      </c>
      <c r="BJ21" t="s">
        <v>233</v>
      </c>
      <c r="BK21" t="s">
        <v>253</v>
      </c>
      <c r="BL21">
        <v>1</v>
      </c>
      <c r="BR21">
        <v>1</v>
      </c>
      <c r="BZ21">
        <v>3</v>
      </c>
      <c r="CE21">
        <v>2</v>
      </c>
      <c r="CN21">
        <v>5</v>
      </c>
      <c r="CR21">
        <v>3</v>
      </c>
      <c r="CY21">
        <v>4</v>
      </c>
      <c r="DB21" t="s">
        <v>467</v>
      </c>
      <c r="DC21" t="s">
        <v>468</v>
      </c>
      <c r="DD21" t="s">
        <v>397</v>
      </c>
      <c r="DE21" t="s">
        <v>469</v>
      </c>
      <c r="DF21" t="s">
        <v>444</v>
      </c>
      <c r="DG21" t="s">
        <v>410</v>
      </c>
      <c r="DH21">
        <v>1</v>
      </c>
      <c r="DN21">
        <v>1</v>
      </c>
      <c r="DT21">
        <v>1</v>
      </c>
      <c r="DZ21">
        <v>1</v>
      </c>
      <c r="EF21">
        <v>1</v>
      </c>
      <c r="EG21">
        <v>2</v>
      </c>
      <c r="EL21" t="s">
        <v>470</v>
      </c>
      <c r="EN21" t="s">
        <v>186</v>
      </c>
    </row>
    <row r="22" spans="1:144" hidden="1" x14ac:dyDescent="0.25">
      <c r="A22">
        <v>2572</v>
      </c>
      <c r="B22" t="s">
        <v>471</v>
      </c>
      <c r="C22" t="s">
        <v>145</v>
      </c>
      <c r="D22" t="s">
        <v>435</v>
      </c>
      <c r="E22" t="s">
        <v>295</v>
      </c>
      <c r="F22" t="s">
        <v>148</v>
      </c>
      <c r="G22" t="s">
        <v>149</v>
      </c>
      <c r="H22" t="s">
        <v>436</v>
      </c>
      <c r="I22" t="s">
        <v>297</v>
      </c>
      <c r="J22" s="1">
        <v>43577</v>
      </c>
      <c r="K22" t="s">
        <v>472</v>
      </c>
      <c r="L22" t="s">
        <v>154</v>
      </c>
      <c r="M22">
        <v>13</v>
      </c>
      <c r="N22">
        <v>1</v>
      </c>
      <c r="O22">
        <v>3</v>
      </c>
      <c r="P22">
        <v>2</v>
      </c>
      <c r="Q22">
        <v>3</v>
      </c>
      <c r="R22">
        <v>4</v>
      </c>
      <c r="T22" t="s">
        <v>195</v>
      </c>
      <c r="Y22" t="s">
        <v>155</v>
      </c>
      <c r="Z22" t="s">
        <v>302</v>
      </c>
      <c r="AA22" t="s">
        <v>352</v>
      </c>
      <c r="AB22" t="s">
        <v>287</v>
      </c>
      <c r="AC22" t="s">
        <v>168</v>
      </c>
      <c r="AD22" t="s">
        <v>162</v>
      </c>
      <c r="AE22" t="s">
        <v>206</v>
      </c>
      <c r="AF22" t="s">
        <v>342</v>
      </c>
      <c r="AG22" t="s">
        <v>322</v>
      </c>
      <c r="AH22" t="s">
        <v>163</v>
      </c>
      <c r="AI22" t="s">
        <v>200</v>
      </c>
      <c r="AJ22" t="s">
        <v>156</v>
      </c>
      <c r="AK22" t="s">
        <v>157</v>
      </c>
      <c r="AL22" t="s">
        <v>174</v>
      </c>
      <c r="AM22" t="s">
        <v>229</v>
      </c>
      <c r="AN22" t="s">
        <v>162</v>
      </c>
      <c r="AO22" t="s">
        <v>325</v>
      </c>
      <c r="AP22" t="s">
        <v>394</v>
      </c>
      <c r="AQ22" t="s">
        <v>163</v>
      </c>
      <c r="AR22" t="s">
        <v>328</v>
      </c>
      <c r="AS22" t="s">
        <v>305</v>
      </c>
      <c r="AT22" t="s">
        <v>458</v>
      </c>
      <c r="AU22" t="s">
        <v>352</v>
      </c>
      <c r="AV22" t="s">
        <v>168</v>
      </c>
      <c r="AW22" t="s">
        <v>287</v>
      </c>
      <c r="AX22" t="s">
        <v>170</v>
      </c>
      <c r="AY22" t="s">
        <v>473</v>
      </c>
      <c r="BA22" t="s">
        <v>328</v>
      </c>
      <c r="BC22" t="s">
        <v>430</v>
      </c>
      <c r="BI22" t="s">
        <v>302</v>
      </c>
      <c r="BJ22" t="s">
        <v>216</v>
      </c>
      <c r="BK22" t="s">
        <v>474</v>
      </c>
      <c r="BL22">
        <v>1</v>
      </c>
      <c r="BR22">
        <v>1</v>
      </c>
      <c r="BY22">
        <v>2</v>
      </c>
      <c r="CE22">
        <v>2</v>
      </c>
      <c r="CM22">
        <v>4</v>
      </c>
      <c r="CR22">
        <v>3</v>
      </c>
      <c r="CX22">
        <v>3</v>
      </c>
      <c r="DB22" t="s">
        <v>219</v>
      </c>
      <c r="DC22" t="s">
        <v>475</v>
      </c>
      <c r="DD22" t="s">
        <v>268</v>
      </c>
      <c r="DE22" t="s">
        <v>399</v>
      </c>
      <c r="DF22" t="s">
        <v>252</v>
      </c>
      <c r="DG22" t="s">
        <v>410</v>
      </c>
      <c r="DH22">
        <v>1</v>
      </c>
      <c r="DN22">
        <v>1</v>
      </c>
      <c r="DT22">
        <v>1</v>
      </c>
      <c r="DZ22">
        <v>1</v>
      </c>
      <c r="EG22">
        <v>2</v>
      </c>
      <c r="EL22" t="s">
        <v>476</v>
      </c>
      <c r="EN22" t="s">
        <v>186</v>
      </c>
    </row>
    <row r="23" spans="1:144" hidden="1" x14ac:dyDescent="0.25">
      <c r="A23">
        <v>2580</v>
      </c>
      <c r="B23" t="s">
        <v>477</v>
      </c>
      <c r="C23" t="s">
        <v>145</v>
      </c>
      <c r="D23" t="s">
        <v>146</v>
      </c>
      <c r="E23" t="s">
        <v>147</v>
      </c>
      <c r="F23" t="s">
        <v>148</v>
      </c>
      <c r="G23" t="s">
        <v>149</v>
      </c>
      <c r="H23" t="s">
        <v>150</v>
      </c>
      <c r="I23" t="s">
        <v>297</v>
      </c>
      <c r="J23" s="1">
        <v>43571</v>
      </c>
      <c r="K23" t="s">
        <v>478</v>
      </c>
      <c r="L23" t="s">
        <v>154</v>
      </c>
      <c r="M23">
        <v>21</v>
      </c>
      <c r="P23">
        <v>1</v>
      </c>
      <c r="Q23">
        <v>4</v>
      </c>
      <c r="R23">
        <v>9</v>
      </c>
      <c r="S23">
        <v>7</v>
      </c>
      <c r="T23" t="s">
        <v>194</v>
      </c>
      <c r="Y23" t="s">
        <v>155</v>
      </c>
      <c r="Z23" t="s">
        <v>156</v>
      </c>
      <c r="AA23" t="s">
        <v>157</v>
      </c>
      <c r="AB23" t="s">
        <v>215</v>
      </c>
      <c r="AC23" t="s">
        <v>202</v>
      </c>
      <c r="AD23" t="s">
        <v>394</v>
      </c>
      <c r="AE23" t="s">
        <v>325</v>
      </c>
      <c r="AF23" t="s">
        <v>290</v>
      </c>
      <c r="AG23" t="s">
        <v>163</v>
      </c>
      <c r="AH23" t="s">
        <v>201</v>
      </c>
      <c r="AI23" t="s">
        <v>353</v>
      </c>
      <c r="AJ23" t="s">
        <v>178</v>
      </c>
      <c r="AK23" t="s">
        <v>278</v>
      </c>
      <c r="AL23" t="s">
        <v>174</v>
      </c>
      <c r="AM23" t="s">
        <v>198</v>
      </c>
      <c r="AN23" t="s">
        <v>170</v>
      </c>
      <c r="AO23" t="s">
        <v>279</v>
      </c>
      <c r="AP23" t="s">
        <v>479</v>
      </c>
      <c r="AQ23" t="s">
        <v>328</v>
      </c>
      <c r="AR23" t="s">
        <v>311</v>
      </c>
      <c r="AS23" t="s">
        <v>324</v>
      </c>
      <c r="AT23" t="s">
        <v>172</v>
      </c>
      <c r="AU23" t="s">
        <v>173</v>
      </c>
      <c r="AV23" t="s">
        <v>304</v>
      </c>
      <c r="AW23" t="s">
        <v>480</v>
      </c>
      <c r="AX23" t="s">
        <v>205</v>
      </c>
      <c r="AY23" t="s">
        <v>423</v>
      </c>
      <c r="AZ23" t="s">
        <v>308</v>
      </c>
      <c r="BA23" t="s">
        <v>164</v>
      </c>
      <c r="BB23" t="s">
        <v>430</v>
      </c>
      <c r="BC23" t="s">
        <v>309</v>
      </c>
      <c r="BD23">
        <v>1</v>
      </c>
      <c r="BI23" t="s">
        <v>172</v>
      </c>
      <c r="BJ23" t="s">
        <v>177</v>
      </c>
      <c r="BK23" t="s">
        <v>178</v>
      </c>
      <c r="BO23">
        <v>21</v>
      </c>
      <c r="BR23">
        <v>2</v>
      </c>
      <c r="BS23">
        <v>1</v>
      </c>
      <c r="BT23">
        <v>7</v>
      </c>
      <c r="BU23">
        <v>11</v>
      </c>
      <c r="BZ23">
        <v>11</v>
      </c>
      <c r="CA23">
        <v>10</v>
      </c>
      <c r="CD23">
        <v>21</v>
      </c>
      <c r="CJ23">
        <v>3</v>
      </c>
      <c r="CK23">
        <v>6</v>
      </c>
      <c r="CL23">
        <v>1</v>
      </c>
      <c r="CN23">
        <v>11</v>
      </c>
      <c r="CR23">
        <v>1</v>
      </c>
      <c r="CT23">
        <v>20</v>
      </c>
      <c r="CV23">
        <v>1</v>
      </c>
      <c r="CZ23">
        <v>20</v>
      </c>
      <c r="DB23" t="s">
        <v>481</v>
      </c>
      <c r="DC23" t="s">
        <v>219</v>
      </c>
      <c r="DD23" t="s">
        <v>482</v>
      </c>
      <c r="DE23" t="s">
        <v>483</v>
      </c>
      <c r="DF23" t="s">
        <v>219</v>
      </c>
      <c r="DG23" t="s">
        <v>484</v>
      </c>
      <c r="DI23">
        <v>21</v>
      </c>
      <c r="DO23">
        <v>15</v>
      </c>
      <c r="DP23">
        <v>5</v>
      </c>
      <c r="DQ23">
        <v>1</v>
      </c>
      <c r="DT23">
        <v>10</v>
      </c>
      <c r="DU23">
        <v>11</v>
      </c>
      <c r="EA23">
        <v>9</v>
      </c>
      <c r="EB23">
        <v>12</v>
      </c>
      <c r="EH23">
        <v>12</v>
      </c>
      <c r="EI23">
        <v>9</v>
      </c>
      <c r="EL23" t="s">
        <v>485</v>
      </c>
      <c r="EN23" t="s">
        <v>186</v>
      </c>
    </row>
    <row r="24" spans="1:144" hidden="1" x14ac:dyDescent="0.25">
      <c r="A24">
        <v>2581</v>
      </c>
      <c r="B24" t="s">
        <v>486</v>
      </c>
      <c r="C24" t="s">
        <v>145</v>
      </c>
      <c r="D24" t="s">
        <v>146</v>
      </c>
      <c r="E24" t="s">
        <v>147</v>
      </c>
      <c r="F24" t="s">
        <v>148</v>
      </c>
      <c r="G24" t="s">
        <v>149</v>
      </c>
      <c r="H24" t="s">
        <v>150</v>
      </c>
      <c r="I24" t="s">
        <v>297</v>
      </c>
      <c r="J24" s="1">
        <v>43491</v>
      </c>
      <c r="K24" t="s">
        <v>487</v>
      </c>
      <c r="L24" t="s">
        <v>251</v>
      </c>
      <c r="M24">
        <v>11</v>
      </c>
      <c r="N24">
        <v>5</v>
      </c>
      <c r="O24">
        <v>6</v>
      </c>
      <c r="T24" t="s">
        <v>194</v>
      </c>
      <c r="Y24" t="s">
        <v>195</v>
      </c>
      <c r="Z24" t="s">
        <v>488</v>
      </c>
      <c r="AA24" t="s">
        <v>304</v>
      </c>
      <c r="AB24" t="s">
        <v>172</v>
      </c>
      <c r="AC24" t="s">
        <v>174</v>
      </c>
      <c r="AD24" t="s">
        <v>170</v>
      </c>
      <c r="AE24" t="s">
        <v>239</v>
      </c>
      <c r="AF24" t="s">
        <v>479</v>
      </c>
      <c r="AG24" t="s">
        <v>163</v>
      </c>
      <c r="AH24" t="s">
        <v>237</v>
      </c>
      <c r="AI24" t="s">
        <v>201</v>
      </c>
      <c r="AJ24" t="s">
        <v>156</v>
      </c>
      <c r="AK24" t="s">
        <v>353</v>
      </c>
      <c r="AL24" t="s">
        <v>167</v>
      </c>
      <c r="AM24" t="s">
        <v>202</v>
      </c>
      <c r="AN24" t="s">
        <v>314</v>
      </c>
      <c r="AO24" t="s">
        <v>162</v>
      </c>
      <c r="AP24" t="s">
        <v>394</v>
      </c>
      <c r="AQ24" t="s">
        <v>233</v>
      </c>
      <c r="AR24" t="s">
        <v>164</v>
      </c>
      <c r="AS24" t="s">
        <v>334</v>
      </c>
      <c r="AT24" t="s">
        <v>172</v>
      </c>
      <c r="AU24" t="s">
        <v>172</v>
      </c>
      <c r="AV24" t="s">
        <v>304</v>
      </c>
      <c r="AW24" t="s">
        <v>174</v>
      </c>
      <c r="AX24" t="s">
        <v>261</v>
      </c>
      <c r="AY24" t="s">
        <v>213</v>
      </c>
      <c r="AZ24" t="s">
        <v>170</v>
      </c>
      <c r="BA24" t="s">
        <v>301</v>
      </c>
      <c r="BB24" t="s">
        <v>173</v>
      </c>
      <c r="BC24" t="s">
        <v>324</v>
      </c>
      <c r="BE24">
        <v>2</v>
      </c>
      <c r="BI24" t="s">
        <v>488</v>
      </c>
      <c r="BJ24" t="s">
        <v>172</v>
      </c>
      <c r="BK24" t="s">
        <v>178</v>
      </c>
      <c r="BM24">
        <v>6</v>
      </c>
      <c r="BN24">
        <v>5</v>
      </c>
      <c r="BR24">
        <v>5</v>
      </c>
      <c r="BS24">
        <v>3</v>
      </c>
      <c r="BT24">
        <v>3</v>
      </c>
      <c r="BX24">
        <v>6</v>
      </c>
      <c r="BY24">
        <v>5</v>
      </c>
      <c r="CD24">
        <v>9</v>
      </c>
      <c r="CE24">
        <v>2</v>
      </c>
      <c r="CJ24">
        <v>10</v>
      </c>
      <c r="CK24">
        <v>1</v>
      </c>
      <c r="CP24">
        <v>8</v>
      </c>
      <c r="CQ24">
        <v>2</v>
      </c>
      <c r="CR24">
        <v>1</v>
      </c>
      <c r="CV24">
        <v>4</v>
      </c>
      <c r="CW24">
        <v>4</v>
      </c>
      <c r="CX24">
        <v>3</v>
      </c>
      <c r="DB24" t="s">
        <v>180</v>
      </c>
      <c r="DC24" t="s">
        <v>219</v>
      </c>
      <c r="DD24" t="s">
        <v>482</v>
      </c>
      <c r="DE24" t="s">
        <v>483</v>
      </c>
      <c r="DF24" t="s">
        <v>489</v>
      </c>
      <c r="DG24" t="s">
        <v>490</v>
      </c>
      <c r="DH24">
        <v>1</v>
      </c>
      <c r="DI24">
        <v>3</v>
      </c>
      <c r="DJ24">
        <v>3</v>
      </c>
      <c r="DK24">
        <v>4</v>
      </c>
      <c r="DO24">
        <v>3</v>
      </c>
      <c r="DP24">
        <v>8</v>
      </c>
      <c r="DT24">
        <v>4</v>
      </c>
      <c r="DV24">
        <v>3</v>
      </c>
      <c r="DW24">
        <v>4</v>
      </c>
      <c r="EB24">
        <v>3</v>
      </c>
      <c r="EC24">
        <v>8</v>
      </c>
      <c r="EG24">
        <v>4</v>
      </c>
      <c r="EH24">
        <v>7</v>
      </c>
      <c r="EL24" t="s">
        <v>491</v>
      </c>
      <c r="EN24" t="s">
        <v>186</v>
      </c>
    </row>
    <row r="25" spans="1:144" hidden="1" x14ac:dyDescent="0.25">
      <c r="A25">
        <v>2582</v>
      </c>
      <c r="B25" t="s">
        <v>492</v>
      </c>
      <c r="C25" t="s">
        <v>145</v>
      </c>
      <c r="D25" t="s">
        <v>493</v>
      </c>
      <c r="E25" t="s">
        <v>147</v>
      </c>
      <c r="F25" t="s">
        <v>148</v>
      </c>
      <c r="G25" t="s">
        <v>149</v>
      </c>
      <c r="H25" t="s">
        <v>150</v>
      </c>
      <c r="I25" t="s">
        <v>297</v>
      </c>
      <c r="J25" s="1">
        <v>43583</v>
      </c>
      <c r="K25" t="s">
        <v>494</v>
      </c>
      <c r="L25" t="s">
        <v>193</v>
      </c>
      <c r="M25">
        <v>10</v>
      </c>
      <c r="S25">
        <v>10</v>
      </c>
      <c r="T25" t="s">
        <v>194</v>
      </c>
      <c r="Y25" t="s">
        <v>155</v>
      </c>
      <c r="Z25" t="s">
        <v>177</v>
      </c>
      <c r="AA25" t="s">
        <v>353</v>
      </c>
      <c r="AB25" t="s">
        <v>495</v>
      </c>
      <c r="AC25" t="s">
        <v>167</v>
      </c>
      <c r="AD25" t="s">
        <v>314</v>
      </c>
      <c r="AE25" t="s">
        <v>342</v>
      </c>
      <c r="AF25" t="s">
        <v>212</v>
      </c>
      <c r="AG25" t="s">
        <v>496</v>
      </c>
      <c r="AH25" t="s">
        <v>163</v>
      </c>
      <c r="AI25" t="s">
        <v>301</v>
      </c>
      <c r="AJ25" t="s">
        <v>179</v>
      </c>
      <c r="AK25" t="s">
        <v>168</v>
      </c>
      <c r="AL25" t="s">
        <v>174</v>
      </c>
      <c r="AM25" t="s">
        <v>172</v>
      </c>
      <c r="AN25" t="s">
        <v>205</v>
      </c>
      <c r="AO25" t="s">
        <v>213</v>
      </c>
      <c r="AP25" t="s">
        <v>479</v>
      </c>
      <c r="AQ25" t="s">
        <v>300</v>
      </c>
      <c r="AR25" t="s">
        <v>210</v>
      </c>
      <c r="AS25" t="s">
        <v>292</v>
      </c>
      <c r="AT25" t="s">
        <v>304</v>
      </c>
      <c r="AU25" t="s">
        <v>307</v>
      </c>
      <c r="AV25" t="s">
        <v>497</v>
      </c>
      <c r="AW25" t="s">
        <v>498</v>
      </c>
      <c r="AX25" t="s">
        <v>170</v>
      </c>
      <c r="AY25" t="s">
        <v>320</v>
      </c>
      <c r="AZ25" t="s">
        <v>175</v>
      </c>
      <c r="BA25" t="s">
        <v>499</v>
      </c>
      <c r="BB25" t="s">
        <v>209</v>
      </c>
      <c r="BC25" t="s">
        <v>430</v>
      </c>
      <c r="BF25">
        <v>3</v>
      </c>
      <c r="BI25" t="s">
        <v>488</v>
      </c>
      <c r="BJ25" t="s">
        <v>178</v>
      </c>
      <c r="BL25">
        <v>2</v>
      </c>
      <c r="BS25">
        <v>2</v>
      </c>
      <c r="BY25">
        <v>1</v>
      </c>
      <c r="CD25">
        <v>1</v>
      </c>
      <c r="CL25">
        <v>3</v>
      </c>
      <c r="CM25">
        <v>2</v>
      </c>
      <c r="CQ25">
        <v>2</v>
      </c>
      <c r="CR25">
        <v>5</v>
      </c>
      <c r="CX25">
        <v>3</v>
      </c>
      <c r="DB25" t="s">
        <v>383</v>
      </c>
      <c r="DC25" t="s">
        <v>500</v>
      </c>
      <c r="DD25" t="s">
        <v>501</v>
      </c>
      <c r="DE25" t="s">
        <v>502</v>
      </c>
      <c r="DF25" t="s">
        <v>503</v>
      </c>
      <c r="DG25" t="s">
        <v>502</v>
      </c>
      <c r="DI25">
        <v>2</v>
      </c>
      <c r="DJ25">
        <v>4</v>
      </c>
      <c r="DK25">
        <v>4</v>
      </c>
      <c r="DO25">
        <v>2</v>
      </c>
      <c r="DP25">
        <v>4</v>
      </c>
      <c r="DU25">
        <v>3</v>
      </c>
      <c r="DV25">
        <v>2</v>
      </c>
      <c r="EA25">
        <v>4</v>
      </c>
      <c r="EB25">
        <v>4</v>
      </c>
      <c r="EC25">
        <v>2</v>
      </c>
      <c r="EG25">
        <v>2</v>
      </c>
      <c r="EH25">
        <v>2</v>
      </c>
      <c r="EL25" t="s">
        <v>504</v>
      </c>
      <c r="EN25" t="s">
        <v>186</v>
      </c>
    </row>
    <row r="26" spans="1:144" hidden="1" x14ac:dyDescent="0.25">
      <c r="A26">
        <v>2583</v>
      </c>
      <c r="B26" t="s">
        <v>505</v>
      </c>
      <c r="C26" t="s">
        <v>145</v>
      </c>
      <c r="D26" t="s">
        <v>146</v>
      </c>
      <c r="E26" t="s">
        <v>147</v>
      </c>
      <c r="F26" t="s">
        <v>148</v>
      </c>
      <c r="G26" t="s">
        <v>149</v>
      </c>
      <c r="H26" t="s">
        <v>150</v>
      </c>
      <c r="I26" t="s">
        <v>297</v>
      </c>
      <c r="J26" s="1">
        <v>43574</v>
      </c>
      <c r="K26" t="s">
        <v>506</v>
      </c>
      <c r="L26" t="s">
        <v>273</v>
      </c>
      <c r="M26">
        <v>14</v>
      </c>
      <c r="P26">
        <v>4</v>
      </c>
      <c r="Q26">
        <v>5</v>
      </c>
      <c r="R26">
        <v>5</v>
      </c>
      <c r="T26" t="s">
        <v>194</v>
      </c>
      <c r="Y26" t="s">
        <v>195</v>
      </c>
      <c r="Z26" t="s">
        <v>177</v>
      </c>
      <c r="AA26" t="s">
        <v>287</v>
      </c>
      <c r="AB26" t="s">
        <v>316</v>
      </c>
      <c r="AC26" t="s">
        <v>168</v>
      </c>
      <c r="AD26" t="s">
        <v>308</v>
      </c>
      <c r="AE26" t="s">
        <v>323</v>
      </c>
      <c r="AF26" t="s">
        <v>170</v>
      </c>
      <c r="AG26" t="s">
        <v>233</v>
      </c>
      <c r="AH26" t="s">
        <v>265</v>
      </c>
      <c r="AI26" t="s">
        <v>300</v>
      </c>
      <c r="AJ26" t="s">
        <v>179</v>
      </c>
      <c r="AK26" t="s">
        <v>259</v>
      </c>
      <c r="AL26" t="s">
        <v>168</v>
      </c>
      <c r="AM26" t="s">
        <v>229</v>
      </c>
      <c r="AN26" t="s">
        <v>323</v>
      </c>
      <c r="AO26" t="s">
        <v>321</v>
      </c>
      <c r="AP26" t="s">
        <v>205</v>
      </c>
      <c r="AQ26" t="s">
        <v>262</v>
      </c>
      <c r="AR26" t="s">
        <v>179</v>
      </c>
      <c r="AS26" t="s">
        <v>252</v>
      </c>
      <c r="AT26" t="s">
        <v>178</v>
      </c>
      <c r="AU26" t="s">
        <v>198</v>
      </c>
      <c r="AV26" t="s">
        <v>168</v>
      </c>
      <c r="AW26" t="s">
        <v>259</v>
      </c>
      <c r="AX26" t="s">
        <v>323</v>
      </c>
      <c r="AY26" t="s">
        <v>170</v>
      </c>
      <c r="AZ26" t="s">
        <v>175</v>
      </c>
      <c r="BA26" t="s">
        <v>173</v>
      </c>
      <c r="BB26" t="s">
        <v>452</v>
      </c>
      <c r="BC26" t="s">
        <v>507</v>
      </c>
      <c r="BE26" t="s">
        <v>194</v>
      </c>
      <c r="BI26" t="s">
        <v>179</v>
      </c>
      <c r="BJ26" t="s">
        <v>287</v>
      </c>
      <c r="BK26" t="s">
        <v>336</v>
      </c>
      <c r="BN26">
        <v>9</v>
      </c>
      <c r="BO26">
        <v>5</v>
      </c>
      <c r="BS26">
        <v>5</v>
      </c>
      <c r="BT26">
        <v>3</v>
      </c>
      <c r="BU26">
        <v>6</v>
      </c>
      <c r="BX26">
        <v>11</v>
      </c>
      <c r="BY26">
        <v>3</v>
      </c>
      <c r="CD26">
        <v>3</v>
      </c>
      <c r="CE26">
        <v>7</v>
      </c>
      <c r="CF26">
        <v>4</v>
      </c>
      <c r="CJ26">
        <v>10</v>
      </c>
      <c r="CK26">
        <v>4</v>
      </c>
      <c r="CQ26">
        <v>6</v>
      </c>
      <c r="CR26">
        <v>5</v>
      </c>
      <c r="CS26">
        <v>3</v>
      </c>
      <c r="CW26">
        <v>4</v>
      </c>
      <c r="CX26">
        <v>10</v>
      </c>
      <c r="DB26" t="s">
        <v>508</v>
      </c>
      <c r="DC26" t="s">
        <v>509</v>
      </c>
      <c r="DD26" t="s">
        <v>510</v>
      </c>
      <c r="DE26" t="s">
        <v>511</v>
      </c>
      <c r="DF26" t="s">
        <v>482</v>
      </c>
      <c r="DG26" t="s">
        <v>511</v>
      </c>
      <c r="DH26">
        <v>9</v>
      </c>
      <c r="DI26">
        <v>5</v>
      </c>
      <c r="DO26">
        <v>2</v>
      </c>
      <c r="DP26">
        <v>4</v>
      </c>
      <c r="DQ26">
        <v>8</v>
      </c>
      <c r="DU26">
        <v>4</v>
      </c>
      <c r="DV26">
        <v>3</v>
      </c>
      <c r="DW26">
        <v>7</v>
      </c>
      <c r="EB26">
        <v>9</v>
      </c>
      <c r="EC26">
        <v>5</v>
      </c>
      <c r="EG26">
        <v>8</v>
      </c>
      <c r="EH26">
        <v>3</v>
      </c>
      <c r="EI26">
        <v>3</v>
      </c>
      <c r="EL26" t="s">
        <v>512</v>
      </c>
      <c r="EN26" t="s">
        <v>186</v>
      </c>
    </row>
    <row r="27" spans="1:144" hidden="1" x14ac:dyDescent="0.25">
      <c r="A27">
        <v>2584</v>
      </c>
      <c r="B27" t="s">
        <v>513</v>
      </c>
      <c r="C27" t="s">
        <v>145</v>
      </c>
      <c r="D27" t="s">
        <v>146</v>
      </c>
      <c r="E27" t="s">
        <v>147</v>
      </c>
      <c r="F27" t="s">
        <v>148</v>
      </c>
      <c r="G27" t="s">
        <v>149</v>
      </c>
      <c r="H27" t="s">
        <v>150</v>
      </c>
      <c r="I27" t="s">
        <v>297</v>
      </c>
      <c r="J27" s="1">
        <v>43574</v>
      </c>
      <c r="K27" t="s">
        <v>514</v>
      </c>
      <c r="L27" t="s">
        <v>330</v>
      </c>
      <c r="M27">
        <v>6</v>
      </c>
      <c r="P27">
        <v>3</v>
      </c>
      <c r="Q27">
        <v>1</v>
      </c>
      <c r="R27">
        <v>2</v>
      </c>
      <c r="T27" t="s">
        <v>194</v>
      </c>
      <c r="Y27" t="s">
        <v>195</v>
      </c>
      <c r="Z27" t="s">
        <v>172</v>
      </c>
      <c r="AA27" t="s">
        <v>304</v>
      </c>
      <c r="AB27" t="s">
        <v>278</v>
      </c>
      <c r="AC27" t="s">
        <v>173</v>
      </c>
      <c r="AD27" t="s">
        <v>170</v>
      </c>
      <c r="AE27" t="s">
        <v>236</v>
      </c>
      <c r="AF27" t="s">
        <v>213</v>
      </c>
      <c r="AG27" t="s">
        <v>326</v>
      </c>
      <c r="AH27" t="s">
        <v>324</v>
      </c>
      <c r="AI27" t="s">
        <v>164</v>
      </c>
      <c r="AJ27" t="s">
        <v>304</v>
      </c>
      <c r="AK27" t="s">
        <v>229</v>
      </c>
      <c r="AL27" t="s">
        <v>174</v>
      </c>
      <c r="AM27" t="s">
        <v>173</v>
      </c>
      <c r="AN27" t="s">
        <v>299</v>
      </c>
      <c r="AO27" t="s">
        <v>308</v>
      </c>
      <c r="AP27" t="s">
        <v>438</v>
      </c>
      <c r="AQ27" t="s">
        <v>262</v>
      </c>
      <c r="AR27" t="s">
        <v>439</v>
      </c>
      <c r="AS27" t="s">
        <v>163</v>
      </c>
      <c r="AT27" t="s">
        <v>178</v>
      </c>
      <c r="AU27" t="s">
        <v>168</v>
      </c>
      <c r="AV27" t="s">
        <v>229</v>
      </c>
      <c r="AW27" t="s">
        <v>278</v>
      </c>
      <c r="AX27" t="s">
        <v>323</v>
      </c>
      <c r="AY27" t="s">
        <v>170</v>
      </c>
      <c r="AZ27" t="s">
        <v>279</v>
      </c>
      <c r="BA27" t="s">
        <v>163</v>
      </c>
      <c r="BB27" t="s">
        <v>452</v>
      </c>
      <c r="BC27" t="s">
        <v>164</v>
      </c>
      <c r="BE27" t="s">
        <v>194</v>
      </c>
      <c r="BI27" t="s">
        <v>178</v>
      </c>
      <c r="BJ27" t="s">
        <v>177</v>
      </c>
      <c r="BK27" t="s">
        <v>156</v>
      </c>
      <c r="BM27">
        <v>3</v>
      </c>
      <c r="BN27">
        <v>3</v>
      </c>
      <c r="BS27">
        <v>2</v>
      </c>
      <c r="BU27">
        <v>2</v>
      </c>
      <c r="BV27">
        <v>2</v>
      </c>
      <c r="BX27">
        <v>3</v>
      </c>
      <c r="BY27">
        <v>1</v>
      </c>
      <c r="BZ27">
        <v>2</v>
      </c>
      <c r="CF27">
        <v>3</v>
      </c>
      <c r="CG27">
        <v>3</v>
      </c>
      <c r="CK27">
        <v>4</v>
      </c>
      <c r="CM27">
        <v>2</v>
      </c>
      <c r="CS27">
        <v>6</v>
      </c>
      <c r="CW27">
        <v>3</v>
      </c>
      <c r="CX27">
        <v>3</v>
      </c>
      <c r="DB27" t="s">
        <v>180</v>
      </c>
      <c r="DC27" t="s">
        <v>484</v>
      </c>
      <c r="DD27" t="s">
        <v>515</v>
      </c>
      <c r="DE27" t="s">
        <v>516</v>
      </c>
      <c r="DF27" t="s">
        <v>482</v>
      </c>
      <c r="DG27" t="s">
        <v>483</v>
      </c>
      <c r="DH27">
        <v>3</v>
      </c>
      <c r="DI27">
        <v>2</v>
      </c>
      <c r="DJ27">
        <v>1</v>
      </c>
      <c r="DO27">
        <v>2</v>
      </c>
      <c r="DQ27">
        <v>3</v>
      </c>
      <c r="DU27">
        <v>2</v>
      </c>
      <c r="DV27">
        <v>1</v>
      </c>
      <c r="DW27">
        <v>3</v>
      </c>
      <c r="EA27">
        <v>2</v>
      </c>
      <c r="EC27">
        <v>4</v>
      </c>
      <c r="EG27">
        <v>2</v>
      </c>
      <c r="EH27">
        <v>3</v>
      </c>
      <c r="EI27">
        <v>1</v>
      </c>
      <c r="EL27" t="s">
        <v>517</v>
      </c>
      <c r="EN27" t="s">
        <v>186</v>
      </c>
    </row>
    <row r="28" spans="1:144" hidden="1" x14ac:dyDescent="0.25">
      <c r="A28">
        <v>2588</v>
      </c>
      <c r="B28" t="s">
        <v>518</v>
      </c>
      <c r="C28" t="s">
        <v>145</v>
      </c>
      <c r="D28" t="s">
        <v>146</v>
      </c>
      <c r="E28" t="s">
        <v>147</v>
      </c>
      <c r="F28" t="s">
        <v>148</v>
      </c>
      <c r="G28" t="s">
        <v>149</v>
      </c>
      <c r="H28" t="s">
        <v>519</v>
      </c>
      <c r="I28" t="s">
        <v>297</v>
      </c>
      <c r="J28" s="1">
        <v>43613</v>
      </c>
      <c r="K28" t="s">
        <v>520</v>
      </c>
      <c r="L28" t="s">
        <v>273</v>
      </c>
      <c r="M28">
        <v>35</v>
      </c>
      <c r="O28">
        <v>4</v>
      </c>
      <c r="P28">
        <v>20</v>
      </c>
      <c r="Q28">
        <v>2</v>
      </c>
      <c r="R28">
        <v>4</v>
      </c>
      <c r="S28">
        <v>5</v>
      </c>
      <c r="T28" t="s">
        <v>195</v>
      </c>
      <c r="Y28" t="s">
        <v>155</v>
      </c>
      <c r="Z28" t="s">
        <v>156</v>
      </c>
      <c r="AA28" t="s">
        <v>174</v>
      </c>
      <c r="AB28" t="s">
        <v>165</v>
      </c>
      <c r="AC28" t="s">
        <v>287</v>
      </c>
      <c r="AD28" t="s">
        <v>162</v>
      </c>
      <c r="AE28" t="s">
        <v>394</v>
      </c>
      <c r="AF28" t="s">
        <v>170</v>
      </c>
      <c r="AG28" t="s">
        <v>326</v>
      </c>
      <c r="AH28" t="s">
        <v>171</v>
      </c>
      <c r="AI28" t="s">
        <v>326</v>
      </c>
      <c r="AJ28" t="s">
        <v>304</v>
      </c>
      <c r="AK28" t="s">
        <v>174</v>
      </c>
      <c r="AL28" t="s">
        <v>253</v>
      </c>
      <c r="AM28" t="s">
        <v>165</v>
      </c>
      <c r="AN28" t="s">
        <v>170</v>
      </c>
      <c r="AO28" t="s">
        <v>521</v>
      </c>
      <c r="AP28" t="s">
        <v>235</v>
      </c>
      <c r="AQ28" t="s">
        <v>326</v>
      </c>
      <c r="AR28" t="s">
        <v>326</v>
      </c>
      <c r="AS28" t="s">
        <v>164</v>
      </c>
      <c r="AT28" t="s">
        <v>156</v>
      </c>
      <c r="AU28" t="s">
        <v>158</v>
      </c>
      <c r="AV28" t="s">
        <v>157</v>
      </c>
      <c r="AW28" t="s">
        <v>352</v>
      </c>
      <c r="AX28" t="s">
        <v>160</v>
      </c>
      <c r="AY28" t="s">
        <v>394</v>
      </c>
      <c r="AZ28" t="s">
        <v>162</v>
      </c>
      <c r="BA28" t="s">
        <v>164</v>
      </c>
      <c r="BB28" t="s">
        <v>326</v>
      </c>
      <c r="BC28" t="s">
        <v>171</v>
      </c>
      <c r="BE28">
        <v>2</v>
      </c>
      <c r="BI28" t="s">
        <v>304</v>
      </c>
      <c r="BJ28" t="s">
        <v>178</v>
      </c>
      <c r="BK28" t="s">
        <v>156</v>
      </c>
      <c r="BL28">
        <v>15</v>
      </c>
      <c r="BM28">
        <v>14</v>
      </c>
      <c r="BN28">
        <v>6</v>
      </c>
      <c r="BR28">
        <v>20</v>
      </c>
      <c r="BS28">
        <v>8</v>
      </c>
      <c r="BT28">
        <v>7</v>
      </c>
      <c r="BX28">
        <v>25</v>
      </c>
      <c r="BY28">
        <v>10</v>
      </c>
      <c r="CD28">
        <v>28</v>
      </c>
      <c r="CE28">
        <v>2</v>
      </c>
      <c r="CF28">
        <v>5</v>
      </c>
      <c r="CJ28">
        <v>29</v>
      </c>
      <c r="CK28">
        <v>2</v>
      </c>
      <c r="CL28">
        <v>4</v>
      </c>
      <c r="CP28">
        <v>19</v>
      </c>
      <c r="CQ28">
        <v>2</v>
      </c>
      <c r="CR28">
        <v>10</v>
      </c>
      <c r="CV28">
        <v>5</v>
      </c>
      <c r="CW28">
        <v>20</v>
      </c>
      <c r="CX28">
        <v>10</v>
      </c>
      <c r="DB28" t="s">
        <v>180</v>
      </c>
      <c r="DC28" t="s">
        <v>409</v>
      </c>
      <c r="DD28" t="s">
        <v>397</v>
      </c>
      <c r="DE28" t="s">
        <v>419</v>
      </c>
      <c r="DF28" t="s">
        <v>522</v>
      </c>
      <c r="DG28" t="s">
        <v>523</v>
      </c>
      <c r="DI28">
        <v>5</v>
      </c>
      <c r="DJ28">
        <v>10</v>
      </c>
      <c r="DK28">
        <v>20</v>
      </c>
      <c r="DO28">
        <v>14</v>
      </c>
      <c r="DP28">
        <v>16</v>
      </c>
      <c r="DQ28">
        <v>5</v>
      </c>
      <c r="DT28">
        <v>28</v>
      </c>
      <c r="DU28">
        <v>2</v>
      </c>
      <c r="DV28">
        <v>5</v>
      </c>
      <c r="EA28">
        <v>1</v>
      </c>
      <c r="EB28">
        <v>5</v>
      </c>
      <c r="ED28">
        <v>29</v>
      </c>
      <c r="EF28">
        <v>3</v>
      </c>
      <c r="EG28">
        <v>2</v>
      </c>
      <c r="EH28">
        <v>16</v>
      </c>
      <c r="EI28">
        <v>14</v>
      </c>
      <c r="EL28" t="s">
        <v>524</v>
      </c>
      <c r="EN28" t="s">
        <v>186</v>
      </c>
    </row>
    <row r="29" spans="1:144" hidden="1" x14ac:dyDescent="0.25">
      <c r="A29">
        <v>2589</v>
      </c>
      <c r="B29" t="s">
        <v>525</v>
      </c>
      <c r="C29" t="s">
        <v>145</v>
      </c>
      <c r="D29" t="s">
        <v>146</v>
      </c>
      <c r="E29" t="s">
        <v>147</v>
      </c>
      <c r="F29" t="s">
        <v>148</v>
      </c>
      <c r="G29" t="s">
        <v>149</v>
      </c>
      <c r="H29" t="s">
        <v>519</v>
      </c>
      <c r="I29" t="s">
        <v>297</v>
      </c>
      <c r="J29" s="1">
        <v>43601</v>
      </c>
      <c r="K29" t="s">
        <v>526</v>
      </c>
      <c r="L29" t="s">
        <v>251</v>
      </c>
      <c r="M29">
        <v>16</v>
      </c>
      <c r="N29">
        <v>2</v>
      </c>
      <c r="O29">
        <v>4</v>
      </c>
      <c r="P29">
        <v>10</v>
      </c>
      <c r="T29" t="s">
        <v>195</v>
      </c>
      <c r="Y29" t="s">
        <v>155</v>
      </c>
      <c r="Z29" t="s">
        <v>304</v>
      </c>
      <c r="AA29" t="s">
        <v>174</v>
      </c>
      <c r="AB29" t="s">
        <v>229</v>
      </c>
      <c r="AC29" t="s">
        <v>165</v>
      </c>
      <c r="AD29" t="s">
        <v>170</v>
      </c>
      <c r="AE29" t="s">
        <v>206</v>
      </c>
      <c r="AF29" t="s">
        <v>417</v>
      </c>
      <c r="AG29" t="s">
        <v>326</v>
      </c>
      <c r="AH29" t="s">
        <v>208</v>
      </c>
      <c r="AI29" t="s">
        <v>164</v>
      </c>
      <c r="AJ29" t="s">
        <v>156</v>
      </c>
      <c r="AK29" t="s">
        <v>157</v>
      </c>
      <c r="AL29" t="s">
        <v>174</v>
      </c>
      <c r="AM29" t="s">
        <v>173</v>
      </c>
      <c r="AN29" t="s">
        <v>162</v>
      </c>
      <c r="AO29" t="s">
        <v>394</v>
      </c>
      <c r="AP29" t="s">
        <v>423</v>
      </c>
      <c r="AQ29" t="s">
        <v>328</v>
      </c>
      <c r="AR29" t="s">
        <v>164</v>
      </c>
      <c r="AS29" t="s">
        <v>288</v>
      </c>
      <c r="AT29" t="s">
        <v>178</v>
      </c>
      <c r="AU29" t="s">
        <v>158</v>
      </c>
      <c r="AV29" t="s">
        <v>287</v>
      </c>
      <c r="AW29" t="s">
        <v>173</v>
      </c>
      <c r="AX29" t="s">
        <v>161</v>
      </c>
      <c r="AY29" t="s">
        <v>212</v>
      </c>
      <c r="AZ29" t="s">
        <v>162</v>
      </c>
      <c r="BA29" t="s">
        <v>326</v>
      </c>
      <c r="BB29" t="s">
        <v>164</v>
      </c>
      <c r="BC29" t="s">
        <v>326</v>
      </c>
      <c r="BE29">
        <v>2</v>
      </c>
      <c r="BI29" t="s">
        <v>179</v>
      </c>
      <c r="BJ29" t="s">
        <v>304</v>
      </c>
      <c r="BK29" t="s">
        <v>488</v>
      </c>
      <c r="BL29">
        <v>3</v>
      </c>
      <c r="BM29">
        <v>4</v>
      </c>
      <c r="BN29">
        <v>3</v>
      </c>
      <c r="BO29">
        <v>5</v>
      </c>
      <c r="BP29">
        <v>1</v>
      </c>
      <c r="BR29">
        <v>3</v>
      </c>
      <c r="BS29">
        <v>1</v>
      </c>
      <c r="BT29">
        <v>9</v>
      </c>
      <c r="BU29">
        <v>3</v>
      </c>
      <c r="BX29">
        <v>11</v>
      </c>
      <c r="BY29">
        <v>3</v>
      </c>
      <c r="BZ29">
        <v>2</v>
      </c>
      <c r="CD29">
        <v>11</v>
      </c>
      <c r="CE29">
        <v>2</v>
      </c>
      <c r="CF29">
        <v>3</v>
      </c>
      <c r="CJ29">
        <v>9</v>
      </c>
      <c r="CK29">
        <v>2</v>
      </c>
      <c r="CL29">
        <v>3</v>
      </c>
      <c r="CM29">
        <v>2</v>
      </c>
      <c r="CP29">
        <v>4</v>
      </c>
      <c r="CQ29">
        <v>4</v>
      </c>
      <c r="CR29">
        <v>2</v>
      </c>
      <c r="CS29">
        <v>3</v>
      </c>
      <c r="CT29">
        <v>3</v>
      </c>
      <c r="CW29">
        <v>2</v>
      </c>
      <c r="CX29">
        <v>9</v>
      </c>
      <c r="CY29">
        <v>5</v>
      </c>
      <c r="DB29" t="s">
        <v>431</v>
      </c>
      <c r="DC29" t="s">
        <v>527</v>
      </c>
      <c r="DD29" t="s">
        <v>179</v>
      </c>
      <c r="DE29" t="s">
        <v>528</v>
      </c>
      <c r="DF29" t="s">
        <v>180</v>
      </c>
      <c r="DG29" t="s">
        <v>409</v>
      </c>
      <c r="DH29">
        <v>2</v>
      </c>
      <c r="DI29">
        <v>5</v>
      </c>
      <c r="DJ29">
        <v>7</v>
      </c>
      <c r="DK29">
        <v>2</v>
      </c>
      <c r="DN29">
        <v>4</v>
      </c>
      <c r="DO29">
        <v>3</v>
      </c>
      <c r="DP29">
        <v>9</v>
      </c>
      <c r="DT29">
        <v>8</v>
      </c>
      <c r="DU29">
        <v>5</v>
      </c>
      <c r="DV29">
        <v>3</v>
      </c>
      <c r="EA29">
        <v>5</v>
      </c>
      <c r="EB29">
        <v>9</v>
      </c>
      <c r="EC29">
        <v>2</v>
      </c>
      <c r="EF29">
        <v>6</v>
      </c>
      <c r="EG29">
        <v>5</v>
      </c>
      <c r="EH29">
        <v>5</v>
      </c>
      <c r="EL29" t="s">
        <v>529</v>
      </c>
      <c r="EN29" t="s">
        <v>186</v>
      </c>
    </row>
    <row r="30" spans="1:144" hidden="1" x14ac:dyDescent="0.25">
      <c r="A30">
        <v>2590</v>
      </c>
      <c r="B30" t="s">
        <v>530</v>
      </c>
      <c r="C30" t="s">
        <v>145</v>
      </c>
      <c r="D30" t="s">
        <v>146</v>
      </c>
      <c r="E30" t="s">
        <v>147</v>
      </c>
      <c r="F30" t="s">
        <v>148</v>
      </c>
      <c r="G30" t="s">
        <v>149</v>
      </c>
      <c r="H30" t="s">
        <v>519</v>
      </c>
      <c r="I30" t="s">
        <v>297</v>
      </c>
      <c r="J30" s="1">
        <v>43601</v>
      </c>
      <c r="K30" t="s">
        <v>531</v>
      </c>
      <c r="L30" t="s">
        <v>193</v>
      </c>
      <c r="M30">
        <v>15</v>
      </c>
      <c r="R30">
        <v>9</v>
      </c>
      <c r="S30">
        <v>6</v>
      </c>
      <c r="T30" t="s">
        <v>195</v>
      </c>
      <c r="Y30" t="s">
        <v>155</v>
      </c>
      <c r="Z30" t="s">
        <v>274</v>
      </c>
      <c r="AA30" t="s">
        <v>166</v>
      </c>
      <c r="AB30" t="s">
        <v>198</v>
      </c>
      <c r="AC30" t="s">
        <v>174</v>
      </c>
      <c r="AD30" t="s">
        <v>169</v>
      </c>
      <c r="AE30" t="s">
        <v>170</v>
      </c>
      <c r="AF30" t="s">
        <v>170</v>
      </c>
      <c r="AG30" t="s">
        <v>326</v>
      </c>
      <c r="AH30" t="s">
        <v>164</v>
      </c>
      <c r="AI30" t="s">
        <v>326</v>
      </c>
      <c r="AJ30" t="s">
        <v>156</v>
      </c>
      <c r="AK30" t="s">
        <v>168</v>
      </c>
      <c r="AL30" t="s">
        <v>173</v>
      </c>
      <c r="AM30" t="s">
        <v>157</v>
      </c>
      <c r="AN30" t="s">
        <v>325</v>
      </c>
      <c r="AO30" t="s">
        <v>162</v>
      </c>
      <c r="AP30" t="s">
        <v>394</v>
      </c>
      <c r="AQ30" t="s">
        <v>326</v>
      </c>
      <c r="AR30" t="s">
        <v>171</v>
      </c>
      <c r="AS30" t="s">
        <v>326</v>
      </c>
      <c r="AT30" t="s">
        <v>458</v>
      </c>
      <c r="AU30" t="s">
        <v>166</v>
      </c>
      <c r="AV30" t="s">
        <v>174</v>
      </c>
      <c r="AW30" t="s">
        <v>287</v>
      </c>
      <c r="AX30" t="s">
        <v>199</v>
      </c>
      <c r="AY30" t="s">
        <v>521</v>
      </c>
      <c r="AZ30" t="s">
        <v>162</v>
      </c>
      <c r="BA30" t="s">
        <v>164</v>
      </c>
      <c r="BB30" t="s">
        <v>164</v>
      </c>
      <c r="BC30" t="s">
        <v>326</v>
      </c>
      <c r="BE30">
        <v>2</v>
      </c>
      <c r="BI30" t="s">
        <v>156</v>
      </c>
      <c r="BJ30" t="s">
        <v>274</v>
      </c>
      <c r="BK30" t="s">
        <v>304</v>
      </c>
      <c r="BM30">
        <v>9</v>
      </c>
      <c r="BN30">
        <v>6</v>
      </c>
      <c r="BR30">
        <v>2</v>
      </c>
      <c r="BS30">
        <v>5</v>
      </c>
      <c r="BT30">
        <v>5</v>
      </c>
      <c r="BU30">
        <v>3</v>
      </c>
      <c r="BX30">
        <v>11</v>
      </c>
      <c r="BY30">
        <v>4</v>
      </c>
      <c r="CD30">
        <v>3</v>
      </c>
      <c r="CE30">
        <v>9</v>
      </c>
      <c r="CF30">
        <v>3</v>
      </c>
      <c r="CJ30">
        <v>2</v>
      </c>
      <c r="CK30">
        <v>5</v>
      </c>
      <c r="CL30">
        <v>5</v>
      </c>
      <c r="CM30">
        <v>3</v>
      </c>
      <c r="CQ30">
        <v>11</v>
      </c>
      <c r="CR30">
        <v>4</v>
      </c>
      <c r="CW30">
        <v>10</v>
      </c>
      <c r="CX30">
        <v>3</v>
      </c>
      <c r="CY30">
        <v>2</v>
      </c>
      <c r="DB30" t="s">
        <v>532</v>
      </c>
      <c r="DC30" t="s">
        <v>424</v>
      </c>
      <c r="DD30" t="s">
        <v>180</v>
      </c>
      <c r="DE30" t="s">
        <v>409</v>
      </c>
      <c r="DF30" t="s">
        <v>431</v>
      </c>
      <c r="DG30" t="s">
        <v>182</v>
      </c>
      <c r="DI30">
        <v>4</v>
      </c>
      <c r="DJ30">
        <v>4</v>
      </c>
      <c r="DK30">
        <v>6</v>
      </c>
      <c r="DL30">
        <v>1</v>
      </c>
      <c r="DN30">
        <v>1</v>
      </c>
      <c r="DO30">
        <v>3</v>
      </c>
      <c r="DP30">
        <v>2</v>
      </c>
      <c r="DQ30">
        <v>9</v>
      </c>
      <c r="DV30">
        <v>4</v>
      </c>
      <c r="DW30">
        <v>11</v>
      </c>
      <c r="EA30">
        <v>5</v>
      </c>
      <c r="EB30">
        <v>3</v>
      </c>
      <c r="EC30">
        <v>7</v>
      </c>
      <c r="EG30">
        <v>11</v>
      </c>
      <c r="EH30">
        <v>4</v>
      </c>
      <c r="EL30" t="s">
        <v>533</v>
      </c>
      <c r="EN30" t="s">
        <v>186</v>
      </c>
    </row>
    <row r="31" spans="1:144" hidden="1" x14ac:dyDescent="0.25">
      <c r="A31">
        <v>2591</v>
      </c>
      <c r="B31" t="s">
        <v>534</v>
      </c>
      <c r="C31" t="s">
        <v>145</v>
      </c>
      <c r="D31" t="s">
        <v>146</v>
      </c>
      <c r="E31" t="s">
        <v>147</v>
      </c>
      <c r="F31" t="s">
        <v>148</v>
      </c>
      <c r="G31" t="s">
        <v>149</v>
      </c>
      <c r="H31" t="s">
        <v>519</v>
      </c>
      <c r="I31" t="s">
        <v>297</v>
      </c>
      <c r="J31" s="1">
        <v>43611</v>
      </c>
      <c r="K31" t="s">
        <v>535</v>
      </c>
      <c r="L31" t="s">
        <v>154</v>
      </c>
      <c r="M31">
        <v>35</v>
      </c>
      <c r="O31">
        <v>9</v>
      </c>
      <c r="P31">
        <v>20</v>
      </c>
      <c r="Q31">
        <v>6</v>
      </c>
      <c r="T31" t="s">
        <v>195</v>
      </c>
      <c r="Y31" t="s">
        <v>155</v>
      </c>
      <c r="Z31" t="s">
        <v>156</v>
      </c>
      <c r="AA31" t="s">
        <v>168</v>
      </c>
      <c r="AB31" t="s">
        <v>287</v>
      </c>
      <c r="AC31" t="s">
        <v>167</v>
      </c>
      <c r="AD31" t="s">
        <v>162</v>
      </c>
      <c r="AE31" t="s">
        <v>394</v>
      </c>
      <c r="AF31" t="s">
        <v>325</v>
      </c>
      <c r="AG31" t="s">
        <v>164</v>
      </c>
      <c r="AJ31" t="s">
        <v>536</v>
      </c>
      <c r="AK31" t="s">
        <v>168</v>
      </c>
      <c r="AL31" t="s">
        <v>307</v>
      </c>
      <c r="AM31" t="s">
        <v>537</v>
      </c>
      <c r="AN31" t="s">
        <v>161</v>
      </c>
      <c r="AQ31" t="s">
        <v>164</v>
      </c>
      <c r="AR31" t="s">
        <v>328</v>
      </c>
      <c r="AS31" t="s">
        <v>362</v>
      </c>
      <c r="AT31" t="s">
        <v>538</v>
      </c>
      <c r="AU31" t="s">
        <v>204</v>
      </c>
      <c r="AV31" t="s">
        <v>229</v>
      </c>
      <c r="AW31" t="s">
        <v>229</v>
      </c>
      <c r="AX31" t="s">
        <v>170</v>
      </c>
      <c r="AY31" t="s">
        <v>423</v>
      </c>
      <c r="AZ31" t="s">
        <v>539</v>
      </c>
      <c r="BA31" t="s">
        <v>305</v>
      </c>
      <c r="BB31" t="s">
        <v>326</v>
      </c>
      <c r="BC31" t="s">
        <v>288</v>
      </c>
      <c r="BE31">
        <v>2</v>
      </c>
      <c r="BI31" t="s">
        <v>287</v>
      </c>
      <c r="BJ31" t="s">
        <v>156</v>
      </c>
      <c r="BK31" t="s">
        <v>177</v>
      </c>
      <c r="BL31">
        <v>9</v>
      </c>
      <c r="BM31">
        <v>22</v>
      </c>
      <c r="BN31">
        <v>4</v>
      </c>
      <c r="BR31">
        <v>15</v>
      </c>
      <c r="BS31">
        <v>11</v>
      </c>
      <c r="BT31">
        <v>3</v>
      </c>
      <c r="BU31">
        <v>6</v>
      </c>
      <c r="BX31">
        <v>6</v>
      </c>
      <c r="BY31">
        <v>15</v>
      </c>
      <c r="BZ31">
        <v>11</v>
      </c>
      <c r="CA31">
        <v>3</v>
      </c>
      <c r="CD31">
        <v>19</v>
      </c>
      <c r="CE31">
        <v>6</v>
      </c>
      <c r="CF31">
        <v>7</v>
      </c>
      <c r="CG31">
        <v>3</v>
      </c>
      <c r="CJ31">
        <v>22</v>
      </c>
      <c r="CK31">
        <v>7</v>
      </c>
      <c r="CL31">
        <v>3</v>
      </c>
      <c r="CM31">
        <v>3</v>
      </c>
      <c r="CP31">
        <v>11</v>
      </c>
      <c r="CR31">
        <v>23</v>
      </c>
      <c r="CS31">
        <v>1</v>
      </c>
      <c r="CV31">
        <v>5</v>
      </c>
      <c r="CW31">
        <v>23</v>
      </c>
      <c r="CX31">
        <v>7</v>
      </c>
      <c r="DB31" t="s">
        <v>411</v>
      </c>
      <c r="DC31" t="s">
        <v>540</v>
      </c>
      <c r="DD31" t="s">
        <v>219</v>
      </c>
      <c r="DE31" t="s">
        <v>409</v>
      </c>
      <c r="DF31" t="s">
        <v>541</v>
      </c>
      <c r="DG31" t="s">
        <v>419</v>
      </c>
      <c r="DH31">
        <v>11</v>
      </c>
      <c r="DI31">
        <v>9</v>
      </c>
      <c r="DJ31">
        <v>15</v>
      </c>
      <c r="DN31">
        <v>26</v>
      </c>
      <c r="DO31">
        <v>4</v>
      </c>
      <c r="DP31">
        <v>5</v>
      </c>
      <c r="DT31">
        <v>30</v>
      </c>
      <c r="DU31">
        <v>5</v>
      </c>
      <c r="DZ31">
        <v>32</v>
      </c>
      <c r="EA31">
        <v>3</v>
      </c>
      <c r="EF31">
        <v>11</v>
      </c>
      <c r="EG31">
        <v>18</v>
      </c>
      <c r="EH31">
        <v>6</v>
      </c>
      <c r="EL31" t="s">
        <v>542</v>
      </c>
      <c r="EN31" t="s">
        <v>186</v>
      </c>
    </row>
    <row r="32" spans="1:144" hidden="1" x14ac:dyDescent="0.25">
      <c r="A32">
        <v>2599</v>
      </c>
      <c r="B32" t="s">
        <v>543</v>
      </c>
      <c r="C32" t="s">
        <v>145</v>
      </c>
      <c r="D32" t="s">
        <v>146</v>
      </c>
      <c r="E32" t="s">
        <v>339</v>
      </c>
      <c r="F32" t="s">
        <v>148</v>
      </c>
      <c r="G32" t="s">
        <v>149</v>
      </c>
      <c r="H32" t="s">
        <v>544</v>
      </c>
      <c r="I32" t="s">
        <v>297</v>
      </c>
      <c r="J32" s="1">
        <v>43571</v>
      </c>
      <c r="K32" t="s">
        <v>545</v>
      </c>
      <c r="L32" t="s">
        <v>273</v>
      </c>
      <c r="M32">
        <v>31</v>
      </c>
      <c r="N32">
        <v>1</v>
      </c>
      <c r="O32">
        <v>1</v>
      </c>
      <c r="P32">
        <v>7</v>
      </c>
      <c r="Q32">
        <v>6</v>
      </c>
      <c r="R32">
        <v>7</v>
      </c>
      <c r="S32">
        <v>9</v>
      </c>
      <c r="T32" t="s">
        <v>195</v>
      </c>
      <c r="Y32" t="s">
        <v>155</v>
      </c>
      <c r="Z32" t="s">
        <v>177</v>
      </c>
      <c r="AA32" t="s">
        <v>287</v>
      </c>
      <c r="AB32" t="s">
        <v>174</v>
      </c>
      <c r="AC32" t="s">
        <v>168</v>
      </c>
      <c r="AD32" t="s">
        <v>423</v>
      </c>
      <c r="AE32" t="s">
        <v>236</v>
      </c>
      <c r="AF32" t="s">
        <v>261</v>
      </c>
      <c r="AG32" t="s">
        <v>209</v>
      </c>
      <c r="AH32" t="s">
        <v>452</v>
      </c>
      <c r="AI32" t="s">
        <v>164</v>
      </c>
      <c r="AJ32" t="s">
        <v>165</v>
      </c>
      <c r="AK32" t="s">
        <v>167</v>
      </c>
      <c r="AL32" t="s">
        <v>451</v>
      </c>
      <c r="AM32" t="s">
        <v>318</v>
      </c>
      <c r="AN32" t="s">
        <v>290</v>
      </c>
      <c r="AO32" t="s">
        <v>291</v>
      </c>
      <c r="AP32" t="s">
        <v>170</v>
      </c>
      <c r="AQ32" t="s">
        <v>305</v>
      </c>
      <c r="AR32" t="s">
        <v>201</v>
      </c>
      <c r="AS32" t="s">
        <v>326</v>
      </c>
      <c r="AT32" t="s">
        <v>156</v>
      </c>
      <c r="AU32" t="s">
        <v>229</v>
      </c>
      <c r="AV32" t="s">
        <v>159</v>
      </c>
      <c r="AW32" t="s">
        <v>234</v>
      </c>
      <c r="AX32" t="s">
        <v>206</v>
      </c>
      <c r="AY32" t="s">
        <v>161</v>
      </c>
      <c r="AZ32" t="s">
        <v>394</v>
      </c>
      <c r="BI32" t="s">
        <v>177</v>
      </c>
      <c r="BJ32" t="s">
        <v>202</v>
      </c>
      <c r="BK32" t="s">
        <v>156</v>
      </c>
      <c r="BL32">
        <v>2</v>
      </c>
      <c r="BN32">
        <v>8</v>
      </c>
      <c r="BO32">
        <v>15</v>
      </c>
      <c r="BP32">
        <v>5</v>
      </c>
      <c r="BR32">
        <v>3</v>
      </c>
      <c r="BS32">
        <v>13</v>
      </c>
      <c r="BT32">
        <v>9</v>
      </c>
      <c r="BU32">
        <v>5</v>
      </c>
      <c r="BV32">
        <v>1</v>
      </c>
      <c r="BX32">
        <v>3</v>
      </c>
      <c r="BY32">
        <v>15</v>
      </c>
      <c r="BZ32">
        <v>11</v>
      </c>
      <c r="CA32">
        <v>2</v>
      </c>
      <c r="CD32">
        <v>2</v>
      </c>
      <c r="CE32">
        <v>4</v>
      </c>
      <c r="CF32">
        <v>6</v>
      </c>
      <c r="CG32">
        <v>2</v>
      </c>
      <c r="CH32">
        <v>15</v>
      </c>
      <c r="CJ32">
        <v>11</v>
      </c>
      <c r="CK32">
        <v>15</v>
      </c>
      <c r="CM32">
        <v>5</v>
      </c>
      <c r="CP32">
        <v>15</v>
      </c>
      <c r="CQ32">
        <v>3</v>
      </c>
      <c r="CS32">
        <v>10</v>
      </c>
      <c r="CT32">
        <v>4</v>
      </c>
      <c r="CV32">
        <v>15</v>
      </c>
      <c r="CW32">
        <v>2</v>
      </c>
      <c r="CX32">
        <v>14</v>
      </c>
      <c r="CZ32">
        <v>1</v>
      </c>
      <c r="DB32" t="s">
        <v>546</v>
      </c>
      <c r="DC32" t="s">
        <v>547</v>
      </c>
      <c r="DD32" t="s">
        <v>548</v>
      </c>
      <c r="DE32" t="s">
        <v>410</v>
      </c>
      <c r="DF32" t="s">
        <v>219</v>
      </c>
      <c r="DG32" t="s">
        <v>409</v>
      </c>
      <c r="DI32">
        <v>11</v>
      </c>
      <c r="DJ32">
        <v>5</v>
      </c>
      <c r="DL32">
        <v>15</v>
      </c>
      <c r="DN32">
        <v>3</v>
      </c>
      <c r="DO32">
        <v>9</v>
      </c>
      <c r="DP32">
        <v>2</v>
      </c>
      <c r="DQ32">
        <v>2</v>
      </c>
      <c r="DR32">
        <v>15</v>
      </c>
      <c r="DU32">
        <v>15</v>
      </c>
      <c r="DW32">
        <v>15</v>
      </c>
      <c r="DX32">
        <v>1</v>
      </c>
      <c r="DZ32">
        <v>15</v>
      </c>
      <c r="EA32">
        <v>3</v>
      </c>
      <c r="EB32">
        <v>7</v>
      </c>
      <c r="ED32">
        <v>6</v>
      </c>
      <c r="EG32">
        <v>15</v>
      </c>
      <c r="EH32">
        <v>1</v>
      </c>
      <c r="EI32">
        <v>14</v>
      </c>
      <c r="EJ32">
        <v>1</v>
      </c>
      <c r="EL32" t="s">
        <v>549</v>
      </c>
      <c r="EN32" t="s">
        <v>186</v>
      </c>
    </row>
    <row r="33" spans="1:144" hidden="1" x14ac:dyDescent="0.25">
      <c r="A33">
        <v>2600</v>
      </c>
      <c r="B33" t="s">
        <v>550</v>
      </c>
      <c r="C33" t="s">
        <v>145</v>
      </c>
      <c r="D33" t="s">
        <v>146</v>
      </c>
      <c r="E33" t="s">
        <v>339</v>
      </c>
      <c r="F33" t="s">
        <v>148</v>
      </c>
      <c r="G33" t="s">
        <v>149</v>
      </c>
      <c r="H33" t="s">
        <v>544</v>
      </c>
      <c r="I33" t="s">
        <v>297</v>
      </c>
      <c r="J33" s="1">
        <v>43577</v>
      </c>
      <c r="K33" t="s">
        <v>551</v>
      </c>
      <c r="L33" t="s">
        <v>154</v>
      </c>
      <c r="M33">
        <v>24</v>
      </c>
      <c r="N33">
        <v>2</v>
      </c>
      <c r="O33">
        <v>7</v>
      </c>
      <c r="P33">
        <v>4</v>
      </c>
      <c r="Q33">
        <v>6</v>
      </c>
      <c r="R33">
        <v>5</v>
      </c>
      <c r="T33" t="s">
        <v>195</v>
      </c>
      <c r="Y33" t="s">
        <v>195</v>
      </c>
      <c r="Z33" t="s">
        <v>177</v>
      </c>
      <c r="AA33" t="s">
        <v>287</v>
      </c>
      <c r="AB33" t="s">
        <v>167</v>
      </c>
      <c r="AD33" t="s">
        <v>423</v>
      </c>
      <c r="AE33" t="s">
        <v>261</v>
      </c>
      <c r="AG33" t="s">
        <v>452</v>
      </c>
      <c r="AH33" t="s">
        <v>164</v>
      </c>
      <c r="AJ33" t="s">
        <v>177</v>
      </c>
      <c r="AK33" t="s">
        <v>287</v>
      </c>
      <c r="AL33" t="s">
        <v>287</v>
      </c>
      <c r="AM33" t="s">
        <v>174</v>
      </c>
      <c r="AN33" t="s">
        <v>423</v>
      </c>
      <c r="AO33" t="s">
        <v>473</v>
      </c>
      <c r="AP33" t="s">
        <v>261</v>
      </c>
      <c r="AQ33" t="s">
        <v>452</v>
      </c>
      <c r="AR33" t="s">
        <v>305</v>
      </c>
      <c r="AS33" t="s">
        <v>164</v>
      </c>
      <c r="AT33" t="s">
        <v>552</v>
      </c>
      <c r="AU33" t="s">
        <v>287</v>
      </c>
      <c r="AV33" t="s">
        <v>287</v>
      </c>
      <c r="AX33" t="s">
        <v>553</v>
      </c>
      <c r="AY33" t="s">
        <v>255</v>
      </c>
      <c r="BA33" t="s">
        <v>328</v>
      </c>
      <c r="BB33" t="s">
        <v>305</v>
      </c>
      <c r="BL33">
        <v>2</v>
      </c>
      <c r="BM33">
        <v>4</v>
      </c>
      <c r="BN33">
        <v>9</v>
      </c>
      <c r="BO33">
        <v>5</v>
      </c>
      <c r="BP33">
        <v>2</v>
      </c>
      <c r="BR33">
        <v>5</v>
      </c>
      <c r="BS33">
        <v>4</v>
      </c>
      <c r="BT33">
        <v>8</v>
      </c>
      <c r="BU33">
        <v>3</v>
      </c>
      <c r="BV33">
        <v>3</v>
      </c>
      <c r="BX33">
        <v>4</v>
      </c>
      <c r="BY33">
        <v>8</v>
      </c>
      <c r="BZ33">
        <v>4</v>
      </c>
      <c r="CA33">
        <v>5</v>
      </c>
      <c r="CB33">
        <v>2</v>
      </c>
      <c r="CD33">
        <v>4</v>
      </c>
      <c r="CE33">
        <v>7</v>
      </c>
      <c r="CF33">
        <v>5</v>
      </c>
      <c r="CG33">
        <v>4</v>
      </c>
      <c r="CH33">
        <v>3</v>
      </c>
      <c r="CJ33">
        <v>3</v>
      </c>
      <c r="CK33">
        <v>8</v>
      </c>
      <c r="CL33">
        <v>4</v>
      </c>
      <c r="CM33">
        <v>8</v>
      </c>
      <c r="CP33">
        <v>2</v>
      </c>
      <c r="CQ33">
        <v>5</v>
      </c>
      <c r="CR33">
        <v>4</v>
      </c>
      <c r="CS33">
        <v>10</v>
      </c>
      <c r="CT33">
        <v>2</v>
      </c>
      <c r="CV33">
        <v>2</v>
      </c>
      <c r="CW33">
        <v>5</v>
      </c>
      <c r="CX33">
        <v>4</v>
      </c>
      <c r="CY33">
        <v>10</v>
      </c>
      <c r="CZ33">
        <v>2</v>
      </c>
      <c r="DB33" t="s">
        <v>219</v>
      </c>
      <c r="DC33" t="s">
        <v>418</v>
      </c>
      <c r="DD33" t="s">
        <v>546</v>
      </c>
      <c r="DE33" t="s">
        <v>547</v>
      </c>
      <c r="DF33" t="s">
        <v>554</v>
      </c>
      <c r="DG33" t="s">
        <v>419</v>
      </c>
      <c r="DH33">
        <v>3</v>
      </c>
      <c r="DI33">
        <v>5</v>
      </c>
      <c r="DJ33">
        <v>8</v>
      </c>
      <c r="DK33">
        <v>4</v>
      </c>
      <c r="DL33">
        <v>3</v>
      </c>
      <c r="DN33">
        <v>4</v>
      </c>
      <c r="DO33">
        <v>5</v>
      </c>
      <c r="DP33">
        <v>8</v>
      </c>
      <c r="DQ33">
        <v>3</v>
      </c>
      <c r="DR33">
        <v>3</v>
      </c>
      <c r="DT33">
        <v>15</v>
      </c>
      <c r="DU33">
        <v>1</v>
      </c>
      <c r="DV33">
        <v>4</v>
      </c>
      <c r="DW33">
        <v>1</v>
      </c>
      <c r="DX33">
        <v>2</v>
      </c>
      <c r="DZ33">
        <v>15</v>
      </c>
      <c r="EA33">
        <v>4</v>
      </c>
      <c r="EC33">
        <v>4</v>
      </c>
      <c r="EF33">
        <v>2</v>
      </c>
      <c r="EG33">
        <v>2</v>
      </c>
      <c r="EI33">
        <v>19</v>
      </c>
      <c r="EL33" t="s">
        <v>555</v>
      </c>
      <c r="EN33" t="s">
        <v>186</v>
      </c>
    </row>
    <row r="34" spans="1:144" hidden="1" x14ac:dyDescent="0.25">
      <c r="A34">
        <v>2601</v>
      </c>
      <c r="B34" t="s">
        <v>556</v>
      </c>
      <c r="C34" t="s">
        <v>145</v>
      </c>
      <c r="D34" t="s">
        <v>146</v>
      </c>
      <c r="E34" t="s">
        <v>339</v>
      </c>
      <c r="F34" t="s">
        <v>148</v>
      </c>
      <c r="G34" t="s">
        <v>149</v>
      </c>
      <c r="H34" t="s">
        <v>544</v>
      </c>
      <c r="I34" t="s">
        <v>297</v>
      </c>
      <c r="J34" s="1">
        <v>43574</v>
      </c>
      <c r="K34" t="s">
        <v>557</v>
      </c>
      <c r="L34" t="s">
        <v>330</v>
      </c>
      <c r="M34">
        <v>24</v>
      </c>
      <c r="N34">
        <v>7</v>
      </c>
      <c r="O34">
        <v>3</v>
      </c>
      <c r="P34">
        <v>9</v>
      </c>
      <c r="Q34">
        <v>2</v>
      </c>
      <c r="R34">
        <v>3</v>
      </c>
      <c r="T34" t="s">
        <v>195</v>
      </c>
      <c r="Y34" t="s">
        <v>195</v>
      </c>
      <c r="Z34" t="s">
        <v>263</v>
      </c>
      <c r="AA34" t="s">
        <v>211</v>
      </c>
      <c r="AB34" t="s">
        <v>174</v>
      </c>
      <c r="AC34" t="s">
        <v>168</v>
      </c>
      <c r="AD34" t="s">
        <v>170</v>
      </c>
      <c r="AE34" t="s">
        <v>231</v>
      </c>
      <c r="AF34" t="s">
        <v>310</v>
      </c>
      <c r="AG34" t="s">
        <v>164</v>
      </c>
      <c r="AH34" t="s">
        <v>241</v>
      </c>
      <c r="AI34" t="s">
        <v>326</v>
      </c>
      <c r="AJ34" t="s">
        <v>177</v>
      </c>
      <c r="AK34" t="s">
        <v>287</v>
      </c>
      <c r="AL34" t="s">
        <v>168</v>
      </c>
      <c r="AM34" t="s">
        <v>174</v>
      </c>
      <c r="AN34" t="s">
        <v>317</v>
      </c>
      <c r="AO34" t="s">
        <v>321</v>
      </c>
      <c r="AP34" t="s">
        <v>423</v>
      </c>
      <c r="AQ34" t="s">
        <v>558</v>
      </c>
      <c r="AR34" t="s">
        <v>326</v>
      </c>
      <c r="AS34" t="s">
        <v>164</v>
      </c>
      <c r="AT34" t="s">
        <v>156</v>
      </c>
      <c r="AU34" t="s">
        <v>229</v>
      </c>
      <c r="AV34" t="s">
        <v>157</v>
      </c>
      <c r="AW34" t="s">
        <v>174</v>
      </c>
      <c r="AX34" t="s">
        <v>394</v>
      </c>
      <c r="AY34" t="s">
        <v>162</v>
      </c>
      <c r="AZ34" t="s">
        <v>438</v>
      </c>
      <c r="BA34" t="s">
        <v>265</v>
      </c>
      <c r="BB34" t="s">
        <v>326</v>
      </c>
      <c r="BC34" t="s">
        <v>164</v>
      </c>
      <c r="BI34" t="s">
        <v>156</v>
      </c>
      <c r="BJ34" t="s">
        <v>202</v>
      </c>
      <c r="BK34" t="s">
        <v>165</v>
      </c>
      <c r="BL34">
        <v>2</v>
      </c>
      <c r="BN34">
        <v>17</v>
      </c>
      <c r="BO34">
        <v>5</v>
      </c>
      <c r="BR34">
        <v>11</v>
      </c>
      <c r="BS34">
        <v>9</v>
      </c>
      <c r="BT34">
        <v>3</v>
      </c>
      <c r="BU34">
        <v>1</v>
      </c>
      <c r="BX34">
        <v>18</v>
      </c>
      <c r="BY34">
        <v>4</v>
      </c>
      <c r="CA34">
        <v>2</v>
      </c>
      <c r="CD34">
        <v>14</v>
      </c>
      <c r="CE34">
        <v>6</v>
      </c>
      <c r="CG34">
        <v>4</v>
      </c>
      <c r="CJ34">
        <v>19</v>
      </c>
      <c r="CK34">
        <v>5</v>
      </c>
      <c r="CP34">
        <v>3</v>
      </c>
      <c r="CQ34">
        <v>12</v>
      </c>
      <c r="CR34">
        <v>2</v>
      </c>
      <c r="CT34">
        <v>7</v>
      </c>
      <c r="CV34">
        <v>21</v>
      </c>
      <c r="CW34">
        <v>1</v>
      </c>
      <c r="CY34">
        <v>1</v>
      </c>
      <c r="CZ34">
        <v>1</v>
      </c>
      <c r="DB34" t="s">
        <v>559</v>
      </c>
      <c r="DC34" t="s">
        <v>560</v>
      </c>
      <c r="DD34" t="s">
        <v>546</v>
      </c>
      <c r="DE34" t="s">
        <v>561</v>
      </c>
      <c r="DF34" t="s">
        <v>329</v>
      </c>
      <c r="DG34" t="s">
        <v>424</v>
      </c>
      <c r="DH34">
        <v>5</v>
      </c>
      <c r="DI34">
        <v>8</v>
      </c>
      <c r="DL34">
        <v>11</v>
      </c>
      <c r="DN34">
        <v>2</v>
      </c>
      <c r="DO34">
        <v>3</v>
      </c>
      <c r="DQ34">
        <v>5</v>
      </c>
      <c r="DR34">
        <v>14</v>
      </c>
      <c r="DT34">
        <v>17</v>
      </c>
      <c r="DU34">
        <v>3</v>
      </c>
      <c r="DX34">
        <v>4</v>
      </c>
      <c r="DZ34">
        <v>16</v>
      </c>
      <c r="EA34">
        <v>2</v>
      </c>
      <c r="EC34">
        <v>4</v>
      </c>
      <c r="ED34">
        <v>2</v>
      </c>
      <c r="EF34">
        <v>16</v>
      </c>
      <c r="EG34">
        <v>2</v>
      </c>
      <c r="EI34">
        <v>4</v>
      </c>
      <c r="EJ34">
        <v>2</v>
      </c>
      <c r="EL34" t="s">
        <v>562</v>
      </c>
      <c r="EN34" t="s">
        <v>186</v>
      </c>
    </row>
    <row r="35" spans="1:144" hidden="1" x14ac:dyDescent="0.25">
      <c r="A35">
        <v>2602</v>
      </c>
      <c r="B35" t="s">
        <v>563</v>
      </c>
      <c r="C35" t="s">
        <v>145</v>
      </c>
      <c r="D35" t="s">
        <v>146</v>
      </c>
      <c r="E35" t="s">
        <v>339</v>
      </c>
      <c r="F35" t="s">
        <v>148</v>
      </c>
      <c r="G35" t="s">
        <v>149</v>
      </c>
      <c r="H35" t="s">
        <v>544</v>
      </c>
      <c r="I35" t="s">
        <v>297</v>
      </c>
      <c r="J35" s="1">
        <v>43575</v>
      </c>
      <c r="K35" t="s">
        <v>564</v>
      </c>
      <c r="L35" t="s">
        <v>251</v>
      </c>
      <c r="M35">
        <v>24</v>
      </c>
      <c r="O35">
        <v>5</v>
      </c>
      <c r="P35">
        <v>11</v>
      </c>
      <c r="Q35">
        <v>5</v>
      </c>
      <c r="R35">
        <v>1</v>
      </c>
      <c r="S35">
        <v>2</v>
      </c>
      <c r="T35" t="s">
        <v>195</v>
      </c>
      <c r="Y35" t="s">
        <v>195</v>
      </c>
      <c r="Z35" t="s">
        <v>274</v>
      </c>
      <c r="AA35" t="s">
        <v>168</v>
      </c>
      <c r="AB35" t="s">
        <v>166</v>
      </c>
      <c r="AC35" t="s">
        <v>198</v>
      </c>
      <c r="AD35" t="s">
        <v>308</v>
      </c>
      <c r="AE35" t="s">
        <v>317</v>
      </c>
      <c r="AF35" t="s">
        <v>169</v>
      </c>
      <c r="AG35" t="s">
        <v>326</v>
      </c>
      <c r="AH35" t="s">
        <v>507</v>
      </c>
      <c r="AI35" t="s">
        <v>164</v>
      </c>
      <c r="AJ35" t="s">
        <v>536</v>
      </c>
      <c r="AK35" t="s">
        <v>307</v>
      </c>
      <c r="AL35" t="s">
        <v>203</v>
      </c>
      <c r="AM35" t="s">
        <v>229</v>
      </c>
      <c r="AN35" t="s">
        <v>317</v>
      </c>
      <c r="AO35" t="s">
        <v>205</v>
      </c>
      <c r="AP35" t="s">
        <v>170</v>
      </c>
      <c r="AQ35" t="s">
        <v>164</v>
      </c>
      <c r="AR35" t="s">
        <v>326</v>
      </c>
      <c r="AS35" t="s">
        <v>305</v>
      </c>
      <c r="AT35" t="s">
        <v>263</v>
      </c>
      <c r="AU35" t="s">
        <v>168</v>
      </c>
      <c r="AV35" t="s">
        <v>198</v>
      </c>
      <c r="AW35" t="s">
        <v>165</v>
      </c>
      <c r="AX35" t="s">
        <v>231</v>
      </c>
      <c r="AY35" t="s">
        <v>205</v>
      </c>
      <c r="AZ35" t="s">
        <v>170</v>
      </c>
      <c r="BA35" t="s">
        <v>164</v>
      </c>
      <c r="BB35" t="s">
        <v>326</v>
      </c>
      <c r="BC35" t="s">
        <v>265</v>
      </c>
      <c r="BI35" t="s">
        <v>274</v>
      </c>
      <c r="BJ35" t="s">
        <v>536</v>
      </c>
      <c r="BK35" t="s">
        <v>263</v>
      </c>
      <c r="BL35">
        <v>4</v>
      </c>
      <c r="BM35">
        <v>9</v>
      </c>
      <c r="BN35">
        <v>8</v>
      </c>
      <c r="BO35">
        <v>2</v>
      </c>
      <c r="BP35">
        <v>1</v>
      </c>
      <c r="BR35">
        <v>1</v>
      </c>
      <c r="BS35">
        <v>10</v>
      </c>
      <c r="BT35">
        <v>9</v>
      </c>
      <c r="BU35">
        <v>2</v>
      </c>
      <c r="BV35">
        <v>2</v>
      </c>
      <c r="BX35">
        <v>4</v>
      </c>
      <c r="BY35">
        <v>7</v>
      </c>
      <c r="BZ35">
        <v>9</v>
      </c>
      <c r="CA35">
        <v>3</v>
      </c>
      <c r="CB35">
        <v>1</v>
      </c>
      <c r="CD35">
        <v>1</v>
      </c>
      <c r="CE35">
        <v>6</v>
      </c>
      <c r="CF35">
        <v>11</v>
      </c>
      <c r="CG35">
        <v>5</v>
      </c>
      <c r="CH35">
        <v>1</v>
      </c>
      <c r="CJ35">
        <v>5</v>
      </c>
      <c r="CK35">
        <v>7</v>
      </c>
      <c r="CL35">
        <v>8</v>
      </c>
      <c r="CM35">
        <v>3</v>
      </c>
      <c r="CN35">
        <v>1</v>
      </c>
      <c r="CP35">
        <v>3</v>
      </c>
      <c r="CQ35">
        <v>5</v>
      </c>
      <c r="CR35">
        <v>8</v>
      </c>
      <c r="CS35">
        <v>3</v>
      </c>
      <c r="CT35">
        <v>1</v>
      </c>
      <c r="CV35">
        <v>5</v>
      </c>
      <c r="CW35">
        <v>11</v>
      </c>
      <c r="CX35">
        <v>6</v>
      </c>
      <c r="CY35">
        <v>1</v>
      </c>
      <c r="CZ35">
        <v>1</v>
      </c>
      <c r="DB35" t="s">
        <v>223</v>
      </c>
      <c r="DC35" t="s">
        <v>419</v>
      </c>
      <c r="DD35" t="s">
        <v>329</v>
      </c>
      <c r="DE35" t="s">
        <v>424</v>
      </c>
      <c r="DF35" t="s">
        <v>219</v>
      </c>
      <c r="DG35" t="s">
        <v>409</v>
      </c>
      <c r="DH35">
        <v>4</v>
      </c>
      <c r="DI35">
        <v>9</v>
      </c>
      <c r="DJ35">
        <v>8</v>
      </c>
      <c r="DK35">
        <v>2</v>
      </c>
      <c r="DL35">
        <v>1</v>
      </c>
      <c r="DN35">
        <v>1</v>
      </c>
      <c r="DO35">
        <v>10</v>
      </c>
      <c r="DP35">
        <v>9</v>
      </c>
      <c r="DQ35">
        <v>2</v>
      </c>
      <c r="DR35">
        <v>2</v>
      </c>
      <c r="DT35">
        <v>4</v>
      </c>
      <c r="DU35">
        <v>9</v>
      </c>
      <c r="DV35">
        <v>8</v>
      </c>
      <c r="DW35">
        <v>2</v>
      </c>
      <c r="DX35">
        <v>1</v>
      </c>
      <c r="DZ35">
        <v>2</v>
      </c>
      <c r="EA35">
        <v>10</v>
      </c>
      <c r="EB35">
        <v>8</v>
      </c>
      <c r="EC35">
        <v>2</v>
      </c>
      <c r="ED35">
        <v>2</v>
      </c>
      <c r="EF35">
        <v>2</v>
      </c>
      <c r="EG35">
        <v>10</v>
      </c>
      <c r="EH35">
        <v>8</v>
      </c>
      <c r="EI35">
        <v>2</v>
      </c>
      <c r="EJ35">
        <v>2</v>
      </c>
      <c r="EL35" t="s">
        <v>565</v>
      </c>
      <c r="EN35" t="s">
        <v>186</v>
      </c>
    </row>
    <row r="36" spans="1:144" hidden="1" x14ac:dyDescent="0.25">
      <c r="A36">
        <v>2603</v>
      </c>
      <c r="B36" t="s">
        <v>566</v>
      </c>
      <c r="C36" t="s">
        <v>145</v>
      </c>
      <c r="D36" t="s">
        <v>146</v>
      </c>
      <c r="E36" t="s">
        <v>339</v>
      </c>
      <c r="F36" t="s">
        <v>148</v>
      </c>
      <c r="G36" t="s">
        <v>149</v>
      </c>
      <c r="H36" t="s">
        <v>544</v>
      </c>
      <c r="I36" t="s">
        <v>297</v>
      </c>
      <c r="J36" s="1">
        <v>43576</v>
      </c>
      <c r="K36" t="s">
        <v>567</v>
      </c>
      <c r="L36" t="s">
        <v>273</v>
      </c>
      <c r="M36">
        <v>26</v>
      </c>
      <c r="R36">
        <v>8</v>
      </c>
      <c r="S36">
        <v>18</v>
      </c>
      <c r="T36" t="s">
        <v>195</v>
      </c>
      <c r="Y36" t="s">
        <v>155</v>
      </c>
      <c r="Z36" t="s">
        <v>263</v>
      </c>
      <c r="AA36" t="s">
        <v>168</v>
      </c>
      <c r="AB36" t="s">
        <v>198</v>
      </c>
      <c r="AC36" t="s">
        <v>165</v>
      </c>
      <c r="AD36" t="s">
        <v>231</v>
      </c>
      <c r="AE36" t="s">
        <v>169</v>
      </c>
      <c r="AF36" t="s">
        <v>317</v>
      </c>
      <c r="AG36" t="s">
        <v>332</v>
      </c>
      <c r="AH36" t="s">
        <v>324</v>
      </c>
      <c r="AI36" t="s">
        <v>326</v>
      </c>
      <c r="AJ36" t="s">
        <v>274</v>
      </c>
      <c r="AK36" t="s">
        <v>174</v>
      </c>
      <c r="AL36" t="s">
        <v>166</v>
      </c>
      <c r="AM36" t="s">
        <v>198</v>
      </c>
      <c r="AN36" t="s">
        <v>331</v>
      </c>
      <c r="AO36" t="s">
        <v>169</v>
      </c>
      <c r="AP36" t="s">
        <v>199</v>
      </c>
      <c r="AQ36" t="s">
        <v>326</v>
      </c>
      <c r="AR36" t="s">
        <v>499</v>
      </c>
      <c r="AS36" t="s">
        <v>237</v>
      </c>
      <c r="AT36" t="s">
        <v>568</v>
      </c>
      <c r="AU36" t="s">
        <v>173</v>
      </c>
      <c r="AV36" t="s">
        <v>304</v>
      </c>
      <c r="AW36" t="s">
        <v>229</v>
      </c>
      <c r="AX36" t="s">
        <v>317</v>
      </c>
      <c r="AY36" t="s">
        <v>205</v>
      </c>
      <c r="AZ36" t="s">
        <v>170</v>
      </c>
      <c r="BA36" t="s">
        <v>164</v>
      </c>
      <c r="BB36" t="s">
        <v>326</v>
      </c>
      <c r="BC36" t="s">
        <v>322</v>
      </c>
      <c r="BI36" t="s">
        <v>263</v>
      </c>
      <c r="BJ36" t="s">
        <v>274</v>
      </c>
      <c r="BK36" t="s">
        <v>568</v>
      </c>
      <c r="BL36">
        <v>2</v>
      </c>
      <c r="BM36">
        <v>10</v>
      </c>
      <c r="BN36">
        <v>7</v>
      </c>
      <c r="BO36">
        <v>5</v>
      </c>
      <c r="BP36">
        <v>2</v>
      </c>
      <c r="BR36">
        <v>2</v>
      </c>
      <c r="BS36">
        <v>10</v>
      </c>
      <c r="BT36">
        <v>7</v>
      </c>
      <c r="BU36">
        <v>5</v>
      </c>
      <c r="BV36">
        <v>2</v>
      </c>
      <c r="BX36">
        <v>2</v>
      </c>
      <c r="BY36">
        <v>5</v>
      </c>
      <c r="BZ36">
        <v>10</v>
      </c>
      <c r="CA36">
        <v>7</v>
      </c>
      <c r="CB36">
        <v>2</v>
      </c>
      <c r="CD36">
        <v>2</v>
      </c>
      <c r="CE36">
        <v>10</v>
      </c>
      <c r="CF36">
        <v>7</v>
      </c>
      <c r="CG36">
        <v>5</v>
      </c>
      <c r="CH36">
        <v>2</v>
      </c>
      <c r="CJ36">
        <v>2</v>
      </c>
      <c r="CK36">
        <v>5</v>
      </c>
      <c r="CL36">
        <v>10</v>
      </c>
      <c r="CM36">
        <v>7</v>
      </c>
      <c r="CN36">
        <v>2</v>
      </c>
      <c r="CP36">
        <v>1</v>
      </c>
      <c r="CQ36">
        <v>11</v>
      </c>
      <c r="CR36">
        <v>7</v>
      </c>
      <c r="CS36">
        <v>2</v>
      </c>
      <c r="CT36">
        <v>5</v>
      </c>
      <c r="CV36">
        <v>5</v>
      </c>
      <c r="CW36">
        <v>11</v>
      </c>
      <c r="CX36">
        <v>7</v>
      </c>
      <c r="CY36">
        <v>2</v>
      </c>
      <c r="CZ36">
        <v>1</v>
      </c>
      <c r="DB36" t="s">
        <v>559</v>
      </c>
      <c r="DC36" t="s">
        <v>407</v>
      </c>
      <c r="DD36" t="s">
        <v>223</v>
      </c>
      <c r="DE36" t="s">
        <v>569</v>
      </c>
      <c r="DF36" t="s">
        <v>329</v>
      </c>
      <c r="DG36" t="s">
        <v>424</v>
      </c>
      <c r="DH36">
        <v>2</v>
      </c>
      <c r="DI36">
        <v>10</v>
      </c>
      <c r="DJ36">
        <v>7</v>
      </c>
      <c r="DK36">
        <v>5</v>
      </c>
      <c r="DL36">
        <v>2</v>
      </c>
      <c r="DN36">
        <v>5</v>
      </c>
      <c r="DO36">
        <v>7</v>
      </c>
      <c r="DP36">
        <v>10</v>
      </c>
      <c r="DQ36">
        <v>2</v>
      </c>
      <c r="DR36">
        <v>2</v>
      </c>
      <c r="DT36">
        <v>2</v>
      </c>
      <c r="DU36">
        <v>10</v>
      </c>
      <c r="DV36">
        <v>7</v>
      </c>
      <c r="DW36">
        <v>5</v>
      </c>
      <c r="DX36">
        <v>2</v>
      </c>
      <c r="DZ36">
        <v>4</v>
      </c>
      <c r="EA36">
        <v>10</v>
      </c>
      <c r="EB36">
        <v>7</v>
      </c>
      <c r="EC36">
        <v>5</v>
      </c>
      <c r="EF36">
        <v>4</v>
      </c>
      <c r="EG36">
        <v>10</v>
      </c>
      <c r="EH36">
        <v>7</v>
      </c>
      <c r="EI36">
        <v>5</v>
      </c>
      <c r="EL36" t="s">
        <v>570</v>
      </c>
      <c r="EN36" t="s">
        <v>186</v>
      </c>
    </row>
    <row r="37" spans="1:144" hidden="1" x14ac:dyDescent="0.25">
      <c r="A37">
        <v>2682</v>
      </c>
      <c r="B37" t="s">
        <v>571</v>
      </c>
      <c r="C37" t="s">
        <v>145</v>
      </c>
      <c r="D37" t="s">
        <v>572</v>
      </c>
      <c r="E37" t="s">
        <v>189</v>
      </c>
      <c r="F37" t="s">
        <v>148</v>
      </c>
      <c r="G37" t="s">
        <v>149</v>
      </c>
      <c r="H37" t="s">
        <v>573</v>
      </c>
      <c r="I37" t="s">
        <v>151</v>
      </c>
      <c r="J37" t="s">
        <v>574</v>
      </c>
      <c r="K37" t="s">
        <v>575</v>
      </c>
      <c r="L37" t="s">
        <v>273</v>
      </c>
      <c r="M37">
        <v>12</v>
      </c>
      <c r="Q37" t="s">
        <v>194</v>
      </c>
      <c r="S37" t="s">
        <v>194</v>
      </c>
      <c r="T37" t="s">
        <v>194</v>
      </c>
      <c r="Y37" t="s">
        <v>155</v>
      </c>
      <c r="Z37" t="s">
        <v>202</v>
      </c>
      <c r="AA37" t="s">
        <v>287</v>
      </c>
      <c r="AB37" t="s">
        <v>229</v>
      </c>
      <c r="AC37" t="s">
        <v>174</v>
      </c>
      <c r="AD37" t="s">
        <v>438</v>
      </c>
      <c r="AE37" t="s">
        <v>205</v>
      </c>
      <c r="AF37" t="s">
        <v>264</v>
      </c>
      <c r="AG37" t="s">
        <v>173</v>
      </c>
      <c r="AH37" t="s">
        <v>163</v>
      </c>
      <c r="AI37" t="s">
        <v>332</v>
      </c>
      <c r="AJ37" t="s">
        <v>196</v>
      </c>
      <c r="AK37" t="s">
        <v>229</v>
      </c>
      <c r="AL37" t="s">
        <v>197</v>
      </c>
      <c r="AM37" t="s">
        <v>275</v>
      </c>
      <c r="AN37" t="s">
        <v>230</v>
      </c>
      <c r="AO37" t="s">
        <v>231</v>
      </c>
      <c r="AP37" t="s">
        <v>261</v>
      </c>
      <c r="AQ37" t="s">
        <v>576</v>
      </c>
      <c r="AR37" t="s">
        <v>200</v>
      </c>
      <c r="AS37" t="s">
        <v>300</v>
      </c>
      <c r="AT37" t="s">
        <v>274</v>
      </c>
      <c r="AU37" t="s">
        <v>174</v>
      </c>
      <c r="AV37" t="s">
        <v>167</v>
      </c>
      <c r="AW37" t="s">
        <v>198</v>
      </c>
      <c r="AX37" t="s">
        <v>170</v>
      </c>
      <c r="AY37" t="s">
        <v>438</v>
      </c>
      <c r="AZ37" t="s">
        <v>230</v>
      </c>
      <c r="BA37" t="s">
        <v>262</v>
      </c>
      <c r="BB37" t="s">
        <v>257</v>
      </c>
      <c r="BC37" t="s">
        <v>209</v>
      </c>
      <c r="BE37" t="s">
        <v>194</v>
      </c>
      <c r="BI37" t="s">
        <v>179</v>
      </c>
      <c r="BJ37" t="s">
        <v>577</v>
      </c>
      <c r="BK37" t="s">
        <v>216</v>
      </c>
      <c r="BL37">
        <v>12</v>
      </c>
      <c r="BR37">
        <v>12</v>
      </c>
      <c r="BY37">
        <v>9</v>
      </c>
      <c r="BZ37">
        <v>3</v>
      </c>
      <c r="CD37">
        <v>12</v>
      </c>
      <c r="CK37">
        <v>10</v>
      </c>
      <c r="CL37">
        <v>2</v>
      </c>
      <c r="CR37">
        <v>8</v>
      </c>
      <c r="CS37">
        <v>4</v>
      </c>
      <c r="CV37">
        <v>12</v>
      </c>
      <c r="DB37" t="s">
        <v>578</v>
      </c>
      <c r="DC37" t="s">
        <v>224</v>
      </c>
      <c r="DD37" t="s">
        <v>579</v>
      </c>
      <c r="DE37" t="s">
        <v>580</v>
      </c>
      <c r="DF37" t="s">
        <v>581</v>
      </c>
      <c r="DG37" t="s">
        <v>582</v>
      </c>
      <c r="DL37">
        <v>12</v>
      </c>
      <c r="DR37">
        <v>12</v>
      </c>
      <c r="DT37">
        <v>11</v>
      </c>
      <c r="DU37">
        <v>1</v>
      </c>
      <c r="DZ37">
        <v>12</v>
      </c>
      <c r="EF37">
        <v>12</v>
      </c>
      <c r="EL37" t="s">
        <v>583</v>
      </c>
      <c r="EN37" t="s">
        <v>186</v>
      </c>
    </row>
    <row r="38" spans="1:144" hidden="1" x14ac:dyDescent="0.25">
      <c r="A38">
        <v>2683</v>
      </c>
      <c r="B38" t="s">
        <v>584</v>
      </c>
      <c r="C38" t="s">
        <v>145</v>
      </c>
      <c r="D38" t="s">
        <v>572</v>
      </c>
      <c r="E38" t="s">
        <v>189</v>
      </c>
      <c r="F38" t="s">
        <v>148</v>
      </c>
      <c r="G38" t="s">
        <v>149</v>
      </c>
      <c r="H38" t="s">
        <v>573</v>
      </c>
      <c r="I38" t="s">
        <v>151</v>
      </c>
      <c r="J38" t="s">
        <v>574</v>
      </c>
      <c r="K38" t="s">
        <v>585</v>
      </c>
      <c r="L38" t="s">
        <v>154</v>
      </c>
      <c r="M38">
        <v>15</v>
      </c>
      <c r="Q38" t="s">
        <v>194</v>
      </c>
      <c r="R38" t="s">
        <v>194</v>
      </c>
      <c r="T38" t="s">
        <v>194</v>
      </c>
      <c r="Y38" t="s">
        <v>155</v>
      </c>
      <c r="Z38" t="s">
        <v>263</v>
      </c>
      <c r="AA38" t="s">
        <v>229</v>
      </c>
      <c r="AB38" t="s">
        <v>198</v>
      </c>
      <c r="AC38" t="s">
        <v>197</v>
      </c>
      <c r="AD38" t="s">
        <v>323</v>
      </c>
      <c r="AE38" t="s">
        <v>230</v>
      </c>
      <c r="AF38" t="s">
        <v>231</v>
      </c>
      <c r="AG38" t="s">
        <v>232</v>
      </c>
      <c r="AH38" t="s">
        <v>576</v>
      </c>
      <c r="AI38" t="s">
        <v>209</v>
      </c>
      <c r="AJ38" t="s">
        <v>179</v>
      </c>
      <c r="AK38" t="s">
        <v>229</v>
      </c>
      <c r="AL38" t="s">
        <v>159</v>
      </c>
      <c r="AM38" t="s">
        <v>198</v>
      </c>
      <c r="AN38" t="s">
        <v>230</v>
      </c>
      <c r="AO38" t="s">
        <v>261</v>
      </c>
      <c r="AP38" t="s">
        <v>231</v>
      </c>
      <c r="AQ38" t="s">
        <v>334</v>
      </c>
      <c r="AR38" t="s">
        <v>232</v>
      </c>
      <c r="AS38" t="s">
        <v>164</v>
      </c>
      <c r="AT38" t="s">
        <v>216</v>
      </c>
      <c r="AU38" t="s">
        <v>174</v>
      </c>
      <c r="AV38" t="s">
        <v>167</v>
      </c>
      <c r="AW38" t="s">
        <v>234</v>
      </c>
      <c r="AX38" t="s">
        <v>205</v>
      </c>
      <c r="AY38" t="s">
        <v>175</v>
      </c>
      <c r="AZ38" t="s">
        <v>321</v>
      </c>
      <c r="BA38" t="s">
        <v>301</v>
      </c>
      <c r="BB38" t="s">
        <v>163</v>
      </c>
      <c r="BC38" t="s">
        <v>439</v>
      </c>
      <c r="BG38" t="s">
        <v>194</v>
      </c>
      <c r="BI38" t="s">
        <v>304</v>
      </c>
      <c r="BJ38" t="s">
        <v>263</v>
      </c>
      <c r="BK38" t="s">
        <v>292</v>
      </c>
      <c r="BL38">
        <v>15</v>
      </c>
      <c r="BR38">
        <v>15</v>
      </c>
      <c r="BY38">
        <v>9</v>
      </c>
      <c r="BZ38">
        <v>3</v>
      </c>
      <c r="CA38">
        <v>3</v>
      </c>
      <c r="CD38">
        <v>10</v>
      </c>
      <c r="CF38">
        <v>5</v>
      </c>
      <c r="CK38">
        <v>15</v>
      </c>
      <c r="CX38">
        <v>11</v>
      </c>
      <c r="CY38">
        <v>4</v>
      </c>
      <c r="DB38" t="s">
        <v>578</v>
      </c>
      <c r="DC38" t="s">
        <v>586</v>
      </c>
      <c r="DD38" t="s">
        <v>587</v>
      </c>
      <c r="DE38" t="s">
        <v>588</v>
      </c>
      <c r="DF38" t="s">
        <v>411</v>
      </c>
      <c r="DG38" t="s">
        <v>589</v>
      </c>
      <c r="DL38">
        <v>15</v>
      </c>
      <c r="DQ38">
        <v>5</v>
      </c>
      <c r="DR38">
        <v>10</v>
      </c>
      <c r="DT38">
        <v>15</v>
      </c>
      <c r="DZ38">
        <v>15</v>
      </c>
      <c r="EF38">
        <v>15</v>
      </c>
      <c r="EL38" t="s">
        <v>590</v>
      </c>
      <c r="EN38" t="s">
        <v>186</v>
      </c>
    </row>
    <row r="39" spans="1:144" hidden="1" x14ac:dyDescent="0.25">
      <c r="A39">
        <v>2684</v>
      </c>
      <c r="B39" t="s">
        <v>591</v>
      </c>
      <c r="C39" t="s">
        <v>145</v>
      </c>
      <c r="D39" t="s">
        <v>572</v>
      </c>
      <c r="E39" t="s">
        <v>189</v>
      </c>
      <c r="F39" t="s">
        <v>148</v>
      </c>
      <c r="G39" t="s">
        <v>149</v>
      </c>
      <c r="H39" t="s">
        <v>573</v>
      </c>
      <c r="I39" t="s">
        <v>151</v>
      </c>
      <c r="J39" t="s">
        <v>574</v>
      </c>
      <c r="K39" t="s">
        <v>592</v>
      </c>
      <c r="L39" t="s">
        <v>251</v>
      </c>
      <c r="M39">
        <v>22</v>
      </c>
      <c r="T39" t="s">
        <v>194</v>
      </c>
      <c r="Y39" t="s">
        <v>155</v>
      </c>
      <c r="Z39" t="s">
        <v>274</v>
      </c>
      <c r="AA39" t="s">
        <v>238</v>
      </c>
      <c r="AB39" t="s">
        <v>198</v>
      </c>
      <c r="AC39" t="s">
        <v>197</v>
      </c>
      <c r="AD39" t="s">
        <v>170</v>
      </c>
      <c r="AE39" t="s">
        <v>162</v>
      </c>
      <c r="AF39" t="s">
        <v>212</v>
      </c>
      <c r="AG39" t="s">
        <v>430</v>
      </c>
      <c r="AH39" t="s">
        <v>208</v>
      </c>
      <c r="AI39" t="s">
        <v>312</v>
      </c>
      <c r="AJ39" t="s">
        <v>196</v>
      </c>
      <c r="AK39" t="s">
        <v>238</v>
      </c>
      <c r="AL39" t="s">
        <v>198</v>
      </c>
      <c r="AM39" t="s">
        <v>167</v>
      </c>
      <c r="AN39" t="s">
        <v>170</v>
      </c>
      <c r="AO39" t="s">
        <v>230</v>
      </c>
      <c r="AP39" t="s">
        <v>317</v>
      </c>
      <c r="AQ39" t="s">
        <v>232</v>
      </c>
      <c r="AR39" t="s">
        <v>277</v>
      </c>
      <c r="AS39" t="s">
        <v>326</v>
      </c>
      <c r="AT39" t="s">
        <v>178</v>
      </c>
      <c r="AU39" t="s">
        <v>198</v>
      </c>
      <c r="AV39" t="s">
        <v>211</v>
      </c>
      <c r="AW39" t="s">
        <v>197</v>
      </c>
      <c r="AX39" t="s">
        <v>230</v>
      </c>
      <c r="AY39" t="s">
        <v>231</v>
      </c>
      <c r="AZ39" t="s">
        <v>261</v>
      </c>
      <c r="BA39" t="s">
        <v>326</v>
      </c>
      <c r="BB39" t="s">
        <v>171</v>
      </c>
      <c r="BC39" t="s">
        <v>200</v>
      </c>
      <c r="BG39" t="s">
        <v>194</v>
      </c>
      <c r="BI39" t="s">
        <v>263</v>
      </c>
      <c r="BJ39" t="s">
        <v>304</v>
      </c>
      <c r="BK39" t="s">
        <v>593</v>
      </c>
      <c r="BP39">
        <v>22</v>
      </c>
      <c r="BS39">
        <v>18</v>
      </c>
      <c r="BT39">
        <v>4</v>
      </c>
      <c r="BX39">
        <v>15</v>
      </c>
      <c r="BY39">
        <v>5</v>
      </c>
      <c r="BZ39">
        <v>2</v>
      </c>
      <c r="CE39">
        <v>18</v>
      </c>
      <c r="CF39">
        <v>2</v>
      </c>
      <c r="CG39">
        <v>2</v>
      </c>
      <c r="CJ39">
        <v>22</v>
      </c>
      <c r="CR39">
        <v>22</v>
      </c>
      <c r="CX39">
        <v>22</v>
      </c>
      <c r="DB39" t="s">
        <v>587</v>
      </c>
      <c r="DC39" t="s">
        <v>588</v>
      </c>
      <c r="DD39" t="s">
        <v>594</v>
      </c>
      <c r="DE39" t="s">
        <v>589</v>
      </c>
      <c r="DF39" t="s">
        <v>578</v>
      </c>
      <c r="DG39" t="s">
        <v>595</v>
      </c>
      <c r="DK39">
        <v>3</v>
      </c>
      <c r="DL39">
        <v>19</v>
      </c>
      <c r="DO39">
        <v>17</v>
      </c>
      <c r="DP39">
        <v>2</v>
      </c>
      <c r="DQ39">
        <v>1</v>
      </c>
      <c r="DR39">
        <v>2</v>
      </c>
      <c r="DT39">
        <v>20</v>
      </c>
      <c r="DX39">
        <v>2</v>
      </c>
      <c r="DZ39">
        <v>15</v>
      </c>
      <c r="EB39">
        <v>5</v>
      </c>
      <c r="EC39">
        <v>2</v>
      </c>
      <c r="EJ39">
        <v>22</v>
      </c>
      <c r="EL39" t="s">
        <v>596</v>
      </c>
      <c r="EN39" t="s">
        <v>186</v>
      </c>
    </row>
    <row r="40" spans="1:144" hidden="1" x14ac:dyDescent="0.25">
      <c r="A40">
        <v>2685</v>
      </c>
      <c r="B40" t="s">
        <v>597</v>
      </c>
      <c r="C40" t="s">
        <v>145</v>
      </c>
      <c r="D40" t="s">
        <v>572</v>
      </c>
      <c r="E40" t="s">
        <v>189</v>
      </c>
      <c r="F40" t="s">
        <v>148</v>
      </c>
      <c r="G40" t="s">
        <v>149</v>
      </c>
      <c r="H40" t="s">
        <v>573</v>
      </c>
      <c r="I40" t="s">
        <v>151</v>
      </c>
      <c r="J40" t="s">
        <v>574</v>
      </c>
      <c r="K40" t="s">
        <v>598</v>
      </c>
      <c r="L40" t="s">
        <v>193</v>
      </c>
      <c r="M40">
        <v>10</v>
      </c>
      <c r="R40" t="s">
        <v>194</v>
      </c>
      <c r="S40" t="s">
        <v>194</v>
      </c>
      <c r="T40" t="s">
        <v>194</v>
      </c>
      <c r="Y40" t="s">
        <v>155</v>
      </c>
      <c r="Z40" t="s">
        <v>274</v>
      </c>
      <c r="AA40" t="s">
        <v>174</v>
      </c>
      <c r="AB40" t="s">
        <v>238</v>
      </c>
      <c r="AC40" t="s">
        <v>204</v>
      </c>
      <c r="AD40" t="s">
        <v>205</v>
      </c>
      <c r="AE40" t="s">
        <v>261</v>
      </c>
      <c r="AF40" t="s">
        <v>206</v>
      </c>
      <c r="AG40" t="s">
        <v>173</v>
      </c>
      <c r="AH40" t="s">
        <v>232</v>
      </c>
      <c r="AI40" t="s">
        <v>164</v>
      </c>
      <c r="AJ40" t="s">
        <v>196</v>
      </c>
      <c r="AK40" t="s">
        <v>174</v>
      </c>
      <c r="AL40" t="s">
        <v>167</v>
      </c>
      <c r="AM40" t="s">
        <v>238</v>
      </c>
      <c r="AN40" t="s">
        <v>170</v>
      </c>
      <c r="AO40" t="s">
        <v>438</v>
      </c>
      <c r="AP40" t="s">
        <v>230</v>
      </c>
      <c r="AQ40" t="s">
        <v>257</v>
      </c>
      <c r="AR40" t="s">
        <v>173</v>
      </c>
      <c r="AS40" t="s">
        <v>208</v>
      </c>
      <c r="AT40" t="s">
        <v>178</v>
      </c>
      <c r="AU40" t="s">
        <v>197</v>
      </c>
      <c r="AV40" t="s">
        <v>198</v>
      </c>
      <c r="AW40" t="s">
        <v>229</v>
      </c>
      <c r="AX40" t="s">
        <v>230</v>
      </c>
      <c r="AY40" t="s">
        <v>231</v>
      </c>
      <c r="AZ40" t="s">
        <v>289</v>
      </c>
      <c r="BA40" t="s">
        <v>232</v>
      </c>
      <c r="BB40" t="s">
        <v>301</v>
      </c>
      <c r="BC40" t="s">
        <v>334</v>
      </c>
      <c r="BH40" t="s">
        <v>194</v>
      </c>
      <c r="BI40" t="s">
        <v>274</v>
      </c>
      <c r="BJ40" t="s">
        <v>304</v>
      </c>
      <c r="BK40" t="s">
        <v>196</v>
      </c>
      <c r="BL40">
        <v>10</v>
      </c>
      <c r="BS40">
        <v>8</v>
      </c>
      <c r="BT40">
        <v>2</v>
      </c>
      <c r="BX40">
        <v>10</v>
      </c>
      <c r="BZ40">
        <v>9</v>
      </c>
      <c r="CA40">
        <v>1</v>
      </c>
      <c r="CD40">
        <v>10</v>
      </c>
      <c r="CK40">
        <v>5</v>
      </c>
      <c r="CL40">
        <v>5</v>
      </c>
      <c r="CQ40">
        <v>5</v>
      </c>
      <c r="CR40">
        <v>5</v>
      </c>
      <c r="CV40">
        <v>7</v>
      </c>
      <c r="CX40">
        <v>3</v>
      </c>
      <c r="DB40" t="s">
        <v>221</v>
      </c>
      <c r="DC40" t="s">
        <v>582</v>
      </c>
      <c r="DD40" t="s">
        <v>219</v>
      </c>
      <c r="DE40" t="s">
        <v>599</v>
      </c>
      <c r="DF40" t="s">
        <v>587</v>
      </c>
      <c r="DG40" t="s">
        <v>588</v>
      </c>
      <c r="DJ40">
        <v>1</v>
      </c>
      <c r="DK40">
        <v>9</v>
      </c>
      <c r="DO40">
        <v>5</v>
      </c>
      <c r="DP40">
        <v>5</v>
      </c>
      <c r="DT40">
        <v>10</v>
      </c>
      <c r="DZ40">
        <v>10</v>
      </c>
      <c r="EA40">
        <v>2</v>
      </c>
      <c r="EB40">
        <v>8</v>
      </c>
      <c r="EF40">
        <v>4</v>
      </c>
      <c r="EG40">
        <v>6</v>
      </c>
      <c r="EL40" t="s">
        <v>600</v>
      </c>
      <c r="EN40" t="s">
        <v>186</v>
      </c>
    </row>
    <row r="41" spans="1:144" hidden="1" x14ac:dyDescent="0.25">
      <c r="A41">
        <v>2686</v>
      </c>
      <c r="B41" t="s">
        <v>601</v>
      </c>
      <c r="C41" t="s">
        <v>145</v>
      </c>
      <c r="D41" t="s">
        <v>572</v>
      </c>
      <c r="E41" t="s">
        <v>189</v>
      </c>
      <c r="F41" t="s">
        <v>148</v>
      </c>
      <c r="G41" t="s">
        <v>149</v>
      </c>
      <c r="H41" t="s">
        <v>573</v>
      </c>
      <c r="I41" t="s">
        <v>151</v>
      </c>
      <c r="J41" t="s">
        <v>574</v>
      </c>
      <c r="K41" t="s">
        <v>602</v>
      </c>
      <c r="L41" t="s">
        <v>273</v>
      </c>
      <c r="M41">
        <v>10</v>
      </c>
      <c r="P41" t="s">
        <v>194</v>
      </c>
      <c r="Q41" t="s">
        <v>194</v>
      </c>
      <c r="T41" t="s">
        <v>194</v>
      </c>
      <c r="Y41" t="s">
        <v>155</v>
      </c>
      <c r="Z41" t="s">
        <v>258</v>
      </c>
      <c r="AA41" t="s">
        <v>174</v>
      </c>
      <c r="AB41" t="s">
        <v>260</v>
      </c>
      <c r="AC41" t="s">
        <v>537</v>
      </c>
      <c r="AD41" t="s">
        <v>205</v>
      </c>
      <c r="AE41" t="s">
        <v>207</v>
      </c>
      <c r="AF41" t="s">
        <v>261</v>
      </c>
      <c r="AG41" t="s">
        <v>430</v>
      </c>
      <c r="AH41" t="s">
        <v>334</v>
      </c>
      <c r="AI41" t="s">
        <v>209</v>
      </c>
      <c r="AJ41" t="s">
        <v>179</v>
      </c>
      <c r="AK41" t="s">
        <v>229</v>
      </c>
      <c r="AL41" t="s">
        <v>198</v>
      </c>
      <c r="AM41" t="s">
        <v>197</v>
      </c>
      <c r="AN41" t="s">
        <v>261</v>
      </c>
      <c r="AO41" t="s">
        <v>323</v>
      </c>
      <c r="AP41" t="s">
        <v>231</v>
      </c>
      <c r="AQ41" t="s">
        <v>173</v>
      </c>
      <c r="AR41" t="s">
        <v>232</v>
      </c>
      <c r="AS41" t="s">
        <v>326</v>
      </c>
      <c r="AT41" t="s">
        <v>577</v>
      </c>
      <c r="AU41" t="s">
        <v>198</v>
      </c>
      <c r="AV41" t="s">
        <v>159</v>
      </c>
      <c r="AW41" t="s">
        <v>480</v>
      </c>
      <c r="AX41" t="s">
        <v>170</v>
      </c>
      <c r="AY41" t="s">
        <v>438</v>
      </c>
      <c r="AZ41" t="s">
        <v>175</v>
      </c>
      <c r="BA41" t="s">
        <v>232</v>
      </c>
      <c r="BB41" t="s">
        <v>257</v>
      </c>
      <c r="BC41" t="s">
        <v>332</v>
      </c>
      <c r="BG41" t="s">
        <v>194</v>
      </c>
      <c r="BI41" t="s">
        <v>216</v>
      </c>
      <c r="BJ41" t="s">
        <v>263</v>
      </c>
      <c r="BK41" t="s">
        <v>292</v>
      </c>
      <c r="BL41">
        <v>10</v>
      </c>
      <c r="BR41">
        <v>10</v>
      </c>
      <c r="BY41">
        <v>10</v>
      </c>
      <c r="CD41">
        <v>10</v>
      </c>
      <c r="CK41">
        <v>10</v>
      </c>
      <c r="CQ41">
        <v>7</v>
      </c>
      <c r="CR41">
        <v>3</v>
      </c>
      <c r="CW41">
        <v>8</v>
      </c>
      <c r="CX41">
        <v>2</v>
      </c>
      <c r="DB41" t="s">
        <v>578</v>
      </c>
      <c r="DC41" t="s">
        <v>224</v>
      </c>
      <c r="DD41" t="s">
        <v>587</v>
      </c>
      <c r="DE41" t="s">
        <v>588</v>
      </c>
      <c r="DF41" t="s">
        <v>411</v>
      </c>
      <c r="DG41" t="s">
        <v>247</v>
      </c>
      <c r="DL41">
        <v>10</v>
      </c>
      <c r="DR41">
        <v>10</v>
      </c>
      <c r="DT41">
        <v>6</v>
      </c>
      <c r="DU41">
        <v>3</v>
      </c>
      <c r="DV41">
        <v>1</v>
      </c>
      <c r="DZ41">
        <v>8</v>
      </c>
      <c r="EB41">
        <v>2</v>
      </c>
      <c r="EH41">
        <v>10</v>
      </c>
      <c r="EL41" t="s">
        <v>603</v>
      </c>
      <c r="EN41" t="s">
        <v>186</v>
      </c>
    </row>
    <row r="42" spans="1:144" hidden="1" x14ac:dyDescent="0.25">
      <c r="A42">
        <v>2731</v>
      </c>
      <c r="B42" t="s">
        <v>604</v>
      </c>
      <c r="C42" t="s">
        <v>145</v>
      </c>
      <c r="D42" t="s">
        <v>605</v>
      </c>
      <c r="E42" t="s">
        <v>189</v>
      </c>
      <c r="F42" t="s">
        <v>148</v>
      </c>
      <c r="G42" t="s">
        <v>149</v>
      </c>
      <c r="H42" t="s">
        <v>606</v>
      </c>
      <c r="I42" t="s">
        <v>297</v>
      </c>
      <c r="J42" s="1">
        <v>43681</v>
      </c>
      <c r="K42" t="s">
        <v>607</v>
      </c>
      <c r="L42" t="s">
        <v>273</v>
      </c>
      <c r="M42">
        <v>18</v>
      </c>
      <c r="O42" t="s">
        <v>194</v>
      </c>
      <c r="P42" t="s">
        <v>194</v>
      </c>
      <c r="Q42" t="s">
        <v>194</v>
      </c>
      <c r="R42" t="s">
        <v>194</v>
      </c>
      <c r="T42" t="s">
        <v>194</v>
      </c>
      <c r="Y42" t="s">
        <v>155</v>
      </c>
      <c r="Z42" t="s">
        <v>302</v>
      </c>
      <c r="AA42" t="s">
        <v>287</v>
      </c>
      <c r="AB42" t="s">
        <v>234</v>
      </c>
      <c r="AC42" t="s">
        <v>167</v>
      </c>
      <c r="AD42" t="s">
        <v>290</v>
      </c>
      <c r="AE42" t="s">
        <v>291</v>
      </c>
      <c r="AF42" t="s">
        <v>212</v>
      </c>
      <c r="AG42" t="s">
        <v>326</v>
      </c>
      <c r="AH42" t="s">
        <v>164</v>
      </c>
      <c r="AI42" t="s">
        <v>324</v>
      </c>
      <c r="AJ42" t="s">
        <v>196</v>
      </c>
      <c r="AK42" t="s">
        <v>229</v>
      </c>
      <c r="AL42" t="s">
        <v>197</v>
      </c>
      <c r="AM42" t="s">
        <v>174</v>
      </c>
      <c r="AN42" t="s">
        <v>261</v>
      </c>
      <c r="AO42" t="s">
        <v>231</v>
      </c>
      <c r="AP42" t="s">
        <v>205</v>
      </c>
      <c r="AQ42" t="s">
        <v>232</v>
      </c>
      <c r="AR42" t="s">
        <v>466</v>
      </c>
      <c r="AS42" t="s">
        <v>200</v>
      </c>
      <c r="AT42" t="s">
        <v>608</v>
      </c>
      <c r="AU42" t="s">
        <v>167</v>
      </c>
      <c r="AV42" t="s">
        <v>234</v>
      </c>
      <c r="AW42" t="s">
        <v>198</v>
      </c>
      <c r="AX42" t="s">
        <v>170</v>
      </c>
      <c r="AY42" t="s">
        <v>317</v>
      </c>
      <c r="AZ42" t="s">
        <v>230</v>
      </c>
      <c r="BA42" t="s">
        <v>334</v>
      </c>
      <c r="BB42" t="s">
        <v>257</v>
      </c>
      <c r="BC42" t="s">
        <v>466</v>
      </c>
      <c r="BG42" t="s">
        <v>194</v>
      </c>
      <c r="BI42" t="s">
        <v>242</v>
      </c>
      <c r="BJ42" t="s">
        <v>609</v>
      </c>
      <c r="BK42" t="s">
        <v>440</v>
      </c>
      <c r="BO42">
        <v>18</v>
      </c>
      <c r="BR42">
        <v>3</v>
      </c>
      <c r="BS42">
        <v>1</v>
      </c>
      <c r="BT42">
        <v>5</v>
      </c>
      <c r="BU42">
        <v>9</v>
      </c>
      <c r="CA42">
        <v>18</v>
      </c>
      <c r="CG42">
        <v>18</v>
      </c>
      <c r="CJ42">
        <v>4</v>
      </c>
      <c r="CK42">
        <v>7</v>
      </c>
      <c r="CL42">
        <v>4</v>
      </c>
      <c r="CM42">
        <v>1</v>
      </c>
      <c r="CN42">
        <v>2</v>
      </c>
      <c r="CS42">
        <v>18</v>
      </c>
      <c r="CV42">
        <v>14</v>
      </c>
      <c r="CW42">
        <v>4</v>
      </c>
      <c r="DB42" t="s">
        <v>223</v>
      </c>
      <c r="DC42" t="s">
        <v>224</v>
      </c>
      <c r="DD42" t="s">
        <v>587</v>
      </c>
      <c r="DE42" t="s">
        <v>269</v>
      </c>
      <c r="DF42" t="s">
        <v>610</v>
      </c>
      <c r="DG42" t="s">
        <v>611</v>
      </c>
      <c r="DL42">
        <v>18</v>
      </c>
      <c r="DO42">
        <v>13</v>
      </c>
      <c r="DP42">
        <v>2</v>
      </c>
      <c r="DQ42">
        <v>3</v>
      </c>
      <c r="DU42">
        <v>18</v>
      </c>
      <c r="DZ42">
        <v>3</v>
      </c>
      <c r="EA42">
        <v>3</v>
      </c>
      <c r="EC42">
        <v>11</v>
      </c>
      <c r="ED42">
        <v>1</v>
      </c>
      <c r="EF42">
        <v>18</v>
      </c>
      <c r="EL42" t="s">
        <v>612</v>
      </c>
      <c r="EN42" t="s">
        <v>186</v>
      </c>
    </row>
    <row r="43" spans="1:144" hidden="1" x14ac:dyDescent="0.25">
      <c r="A43">
        <v>2732</v>
      </c>
      <c r="B43" t="s">
        <v>613</v>
      </c>
      <c r="C43" t="s">
        <v>145</v>
      </c>
      <c r="D43" t="s">
        <v>605</v>
      </c>
      <c r="E43" t="s">
        <v>189</v>
      </c>
      <c r="F43" t="s">
        <v>148</v>
      </c>
      <c r="G43" t="s">
        <v>149</v>
      </c>
      <c r="H43" t="s">
        <v>606</v>
      </c>
      <c r="I43" t="s">
        <v>297</v>
      </c>
      <c r="J43" t="s">
        <v>614</v>
      </c>
      <c r="K43" t="s">
        <v>615</v>
      </c>
      <c r="L43" t="s">
        <v>193</v>
      </c>
      <c r="M43">
        <v>13</v>
      </c>
      <c r="R43">
        <v>7</v>
      </c>
      <c r="S43">
        <v>6</v>
      </c>
      <c r="T43" t="s">
        <v>194</v>
      </c>
      <c r="Y43" t="s">
        <v>155</v>
      </c>
      <c r="Z43" t="s">
        <v>616</v>
      </c>
      <c r="AA43" t="s">
        <v>167</v>
      </c>
      <c r="AB43" t="s">
        <v>234</v>
      </c>
      <c r="AC43" t="s">
        <v>197</v>
      </c>
      <c r="AD43" t="s">
        <v>170</v>
      </c>
      <c r="AE43" t="s">
        <v>175</v>
      </c>
      <c r="AF43" t="s">
        <v>230</v>
      </c>
      <c r="AG43" t="s">
        <v>173</v>
      </c>
      <c r="AH43" t="s">
        <v>262</v>
      </c>
      <c r="AI43" t="s">
        <v>277</v>
      </c>
      <c r="AJ43" t="s">
        <v>156</v>
      </c>
      <c r="AK43" t="s">
        <v>287</v>
      </c>
      <c r="AL43" t="s">
        <v>253</v>
      </c>
      <c r="AM43" t="s">
        <v>204</v>
      </c>
      <c r="AN43" t="s">
        <v>317</v>
      </c>
      <c r="AO43" t="s">
        <v>255</v>
      </c>
      <c r="AP43" t="s">
        <v>423</v>
      </c>
      <c r="AQ43" t="s">
        <v>232</v>
      </c>
      <c r="AR43" t="s">
        <v>208</v>
      </c>
      <c r="AS43" t="s">
        <v>200</v>
      </c>
      <c r="AT43" t="s">
        <v>354</v>
      </c>
      <c r="AU43" t="s">
        <v>198</v>
      </c>
      <c r="AV43" t="s">
        <v>287</v>
      </c>
      <c r="AW43" t="s">
        <v>229</v>
      </c>
      <c r="AX43" t="s">
        <v>231</v>
      </c>
      <c r="AY43" t="s">
        <v>291</v>
      </c>
      <c r="AZ43" t="s">
        <v>230</v>
      </c>
      <c r="BA43" t="s">
        <v>466</v>
      </c>
      <c r="BB43" t="s">
        <v>288</v>
      </c>
      <c r="BC43" t="s">
        <v>171</v>
      </c>
      <c r="BG43" t="s">
        <v>194</v>
      </c>
      <c r="BI43" t="s">
        <v>233</v>
      </c>
      <c r="BJ43" t="s">
        <v>242</v>
      </c>
      <c r="BK43" t="s">
        <v>617</v>
      </c>
      <c r="BL43">
        <v>3</v>
      </c>
      <c r="BM43">
        <v>2</v>
      </c>
      <c r="BN43">
        <v>6</v>
      </c>
      <c r="BO43">
        <v>2</v>
      </c>
      <c r="BP43">
        <v>1</v>
      </c>
      <c r="BR43">
        <v>3</v>
      </c>
      <c r="BT43">
        <v>9</v>
      </c>
      <c r="BU43">
        <v>1</v>
      </c>
      <c r="BZ43">
        <v>13</v>
      </c>
      <c r="CE43">
        <v>2</v>
      </c>
      <c r="CF43">
        <v>1</v>
      </c>
      <c r="CG43">
        <v>9</v>
      </c>
      <c r="CH43">
        <v>1</v>
      </c>
      <c r="CJ43">
        <v>2</v>
      </c>
      <c r="CK43">
        <v>8</v>
      </c>
      <c r="CL43">
        <v>1</v>
      </c>
      <c r="CN43">
        <v>2</v>
      </c>
      <c r="CQ43">
        <v>3</v>
      </c>
      <c r="CS43">
        <v>1</v>
      </c>
      <c r="CT43">
        <v>9</v>
      </c>
      <c r="CV43">
        <v>13</v>
      </c>
      <c r="DB43" t="s">
        <v>266</v>
      </c>
      <c r="DC43" t="s">
        <v>589</v>
      </c>
      <c r="DD43" t="s">
        <v>411</v>
      </c>
      <c r="DE43" t="s">
        <v>589</v>
      </c>
      <c r="DF43" t="s">
        <v>610</v>
      </c>
      <c r="DG43" t="s">
        <v>611</v>
      </c>
      <c r="DK43">
        <v>13</v>
      </c>
      <c r="DO43">
        <v>13</v>
      </c>
      <c r="DU43">
        <v>13</v>
      </c>
      <c r="EB43">
        <v>9</v>
      </c>
      <c r="EC43">
        <v>3</v>
      </c>
      <c r="ED43">
        <v>1</v>
      </c>
      <c r="EG43">
        <v>5</v>
      </c>
      <c r="EH43">
        <v>3</v>
      </c>
      <c r="EJ43">
        <v>5</v>
      </c>
      <c r="EL43" t="s">
        <v>618</v>
      </c>
      <c r="EN43" t="s">
        <v>186</v>
      </c>
    </row>
    <row r="44" spans="1:144" hidden="1" x14ac:dyDescent="0.25">
      <c r="A44">
        <v>2733</v>
      </c>
      <c r="B44" t="s">
        <v>619</v>
      </c>
      <c r="C44" t="s">
        <v>145</v>
      </c>
      <c r="D44" t="s">
        <v>605</v>
      </c>
      <c r="E44" t="s">
        <v>189</v>
      </c>
      <c r="F44" t="s">
        <v>148</v>
      </c>
      <c r="G44" t="s">
        <v>149</v>
      </c>
      <c r="H44" t="s">
        <v>606</v>
      </c>
      <c r="I44" t="s">
        <v>297</v>
      </c>
      <c r="J44" t="s">
        <v>620</v>
      </c>
      <c r="K44" t="s">
        <v>621</v>
      </c>
      <c r="L44" t="s">
        <v>154</v>
      </c>
      <c r="M44">
        <v>15</v>
      </c>
      <c r="N44">
        <v>10</v>
      </c>
      <c r="O44">
        <v>5</v>
      </c>
      <c r="T44" t="s">
        <v>194</v>
      </c>
      <c r="Y44" t="s">
        <v>155</v>
      </c>
      <c r="Z44" t="s">
        <v>622</v>
      </c>
      <c r="AA44" t="s">
        <v>229</v>
      </c>
      <c r="AB44" t="s">
        <v>204</v>
      </c>
      <c r="AC44" t="s">
        <v>168</v>
      </c>
      <c r="AD44" t="s">
        <v>170</v>
      </c>
      <c r="AE44" t="s">
        <v>175</v>
      </c>
      <c r="AF44" t="s">
        <v>310</v>
      </c>
      <c r="AG44" t="s">
        <v>232</v>
      </c>
      <c r="AH44" t="s">
        <v>262</v>
      </c>
      <c r="AI44" t="s">
        <v>466</v>
      </c>
      <c r="AJ44" t="s">
        <v>274</v>
      </c>
      <c r="AK44" t="s">
        <v>287</v>
      </c>
      <c r="AL44" t="s">
        <v>229</v>
      </c>
      <c r="AM44" t="s">
        <v>174</v>
      </c>
      <c r="AN44" t="s">
        <v>170</v>
      </c>
      <c r="AO44" t="s">
        <v>230</v>
      </c>
      <c r="AP44" t="s">
        <v>206</v>
      </c>
      <c r="AQ44" t="s">
        <v>232</v>
      </c>
      <c r="AR44" t="s">
        <v>277</v>
      </c>
      <c r="AS44" t="s">
        <v>200</v>
      </c>
      <c r="AT44" t="s">
        <v>242</v>
      </c>
      <c r="AU44" t="s">
        <v>167</v>
      </c>
      <c r="AV44" t="s">
        <v>234</v>
      </c>
      <c r="AW44" t="s">
        <v>229</v>
      </c>
      <c r="AX44" t="s">
        <v>170</v>
      </c>
      <c r="AY44" t="s">
        <v>175</v>
      </c>
      <c r="AZ44" t="s">
        <v>231</v>
      </c>
      <c r="BA44" t="s">
        <v>257</v>
      </c>
      <c r="BB44" t="s">
        <v>173</v>
      </c>
      <c r="BC44" t="s">
        <v>466</v>
      </c>
      <c r="BD44" t="s">
        <v>194</v>
      </c>
      <c r="BI44" t="s">
        <v>274</v>
      </c>
      <c r="BJ44" t="s">
        <v>242</v>
      </c>
      <c r="BK44" t="s">
        <v>622</v>
      </c>
      <c r="BL44">
        <v>15</v>
      </c>
      <c r="BR44">
        <v>15</v>
      </c>
      <c r="BX44">
        <v>15</v>
      </c>
      <c r="CD44">
        <v>15</v>
      </c>
      <c r="CJ44">
        <v>15</v>
      </c>
      <c r="CP44">
        <v>15</v>
      </c>
      <c r="CV44">
        <v>15</v>
      </c>
      <c r="DB44" t="s">
        <v>329</v>
      </c>
      <c r="DC44" t="s">
        <v>623</v>
      </c>
      <c r="DD44" t="s">
        <v>594</v>
      </c>
      <c r="DE44" t="s">
        <v>589</v>
      </c>
      <c r="DF44" t="s">
        <v>624</v>
      </c>
      <c r="DG44" t="s">
        <v>625</v>
      </c>
      <c r="DH44">
        <v>15</v>
      </c>
      <c r="DN44">
        <v>15</v>
      </c>
      <c r="DT44">
        <v>15</v>
      </c>
      <c r="DZ44">
        <v>15</v>
      </c>
      <c r="EF44">
        <v>15</v>
      </c>
      <c r="EL44" t="s">
        <v>626</v>
      </c>
      <c r="EN44" t="s">
        <v>186</v>
      </c>
    </row>
    <row r="45" spans="1:144" hidden="1" x14ac:dyDescent="0.25">
      <c r="A45">
        <v>2734</v>
      </c>
      <c r="B45" t="s">
        <v>627</v>
      </c>
      <c r="C45" t="s">
        <v>145</v>
      </c>
      <c r="D45" t="s">
        <v>605</v>
      </c>
      <c r="E45" t="s">
        <v>189</v>
      </c>
      <c r="F45" t="s">
        <v>148</v>
      </c>
      <c r="G45" t="s">
        <v>149</v>
      </c>
      <c r="H45" t="s">
        <v>606</v>
      </c>
      <c r="I45" t="s">
        <v>297</v>
      </c>
      <c r="J45" t="s">
        <v>628</v>
      </c>
      <c r="K45" t="s">
        <v>629</v>
      </c>
      <c r="L45" t="s">
        <v>273</v>
      </c>
      <c r="M45">
        <v>13</v>
      </c>
      <c r="O45" t="s">
        <v>194</v>
      </c>
      <c r="P45" t="s">
        <v>194</v>
      </c>
      <c r="Q45" t="s">
        <v>194</v>
      </c>
      <c r="R45" t="s">
        <v>194</v>
      </c>
      <c r="S45" t="s">
        <v>194</v>
      </c>
      <c r="T45" t="s">
        <v>194</v>
      </c>
      <c r="Y45" t="s">
        <v>155</v>
      </c>
      <c r="Z45" t="s">
        <v>178</v>
      </c>
      <c r="AA45" t="s">
        <v>174</v>
      </c>
      <c r="AB45" t="s">
        <v>198</v>
      </c>
      <c r="AC45" t="s">
        <v>211</v>
      </c>
      <c r="AD45" t="s">
        <v>170</v>
      </c>
      <c r="AE45" t="s">
        <v>230</v>
      </c>
      <c r="AF45" t="s">
        <v>323</v>
      </c>
      <c r="AG45" t="s">
        <v>262</v>
      </c>
      <c r="AH45" t="s">
        <v>466</v>
      </c>
      <c r="AI45" t="s">
        <v>241</v>
      </c>
      <c r="AJ45" t="s">
        <v>196</v>
      </c>
      <c r="AK45" t="s">
        <v>174</v>
      </c>
      <c r="AL45" t="s">
        <v>238</v>
      </c>
      <c r="AM45" t="s">
        <v>167</v>
      </c>
      <c r="AN45" t="s">
        <v>205</v>
      </c>
      <c r="AO45" t="s">
        <v>212</v>
      </c>
      <c r="AP45" t="s">
        <v>317</v>
      </c>
      <c r="AQ45" t="s">
        <v>257</v>
      </c>
      <c r="AR45" t="s">
        <v>164</v>
      </c>
      <c r="AS45" t="s">
        <v>208</v>
      </c>
      <c r="BG45" t="s">
        <v>194</v>
      </c>
      <c r="BI45" t="s">
        <v>216</v>
      </c>
      <c r="BJ45" t="s">
        <v>242</v>
      </c>
      <c r="BK45" t="s">
        <v>178</v>
      </c>
      <c r="BO45">
        <v>13</v>
      </c>
      <c r="BV45">
        <v>13</v>
      </c>
      <c r="BX45">
        <v>1</v>
      </c>
      <c r="BY45">
        <v>2</v>
      </c>
      <c r="BZ45">
        <v>4</v>
      </c>
      <c r="CB45">
        <v>6</v>
      </c>
      <c r="CH45">
        <v>13</v>
      </c>
      <c r="CM45">
        <v>13</v>
      </c>
      <c r="CR45">
        <v>13</v>
      </c>
      <c r="CV45">
        <v>7</v>
      </c>
      <c r="CX45">
        <v>3</v>
      </c>
      <c r="CZ45">
        <v>3</v>
      </c>
      <c r="DB45" t="s">
        <v>266</v>
      </c>
      <c r="DC45" t="s">
        <v>630</v>
      </c>
      <c r="DD45" t="s">
        <v>219</v>
      </c>
      <c r="DE45" t="s">
        <v>220</v>
      </c>
      <c r="DF45" t="s">
        <v>223</v>
      </c>
      <c r="DG45" t="s">
        <v>625</v>
      </c>
      <c r="DH45">
        <v>13</v>
      </c>
      <c r="DN45">
        <v>9</v>
      </c>
      <c r="DP45">
        <v>4</v>
      </c>
      <c r="DR45">
        <v>13</v>
      </c>
      <c r="DW45">
        <v>13</v>
      </c>
      <c r="DZ45">
        <v>13</v>
      </c>
      <c r="EL45" t="s">
        <v>631</v>
      </c>
      <c r="EN45" t="s">
        <v>186</v>
      </c>
    </row>
    <row r="46" spans="1:144" x14ac:dyDescent="0.25">
      <c r="A46">
        <v>2735</v>
      </c>
      <c r="B46" t="s">
        <v>632</v>
      </c>
      <c r="C46" t="s">
        <v>145</v>
      </c>
      <c r="D46" t="s">
        <v>605</v>
      </c>
      <c r="E46" t="s">
        <v>189</v>
      </c>
      <c r="F46" t="s">
        <v>148</v>
      </c>
      <c r="G46" t="s">
        <v>149</v>
      </c>
      <c r="H46" t="s">
        <v>606</v>
      </c>
      <c r="I46" t="s">
        <v>297</v>
      </c>
      <c r="J46" s="1">
        <v>43714</v>
      </c>
      <c r="K46" t="s">
        <v>633</v>
      </c>
      <c r="L46" t="s">
        <v>330</v>
      </c>
      <c r="M46">
        <v>7</v>
      </c>
      <c r="O46" t="s">
        <v>194</v>
      </c>
      <c r="Q46" t="s">
        <v>194</v>
      </c>
      <c r="R46" t="s">
        <v>194</v>
      </c>
      <c r="S46" t="s">
        <v>194</v>
      </c>
      <c r="T46" t="s">
        <v>194</v>
      </c>
      <c r="Y46" t="s">
        <v>155</v>
      </c>
      <c r="Z46" t="s">
        <v>536</v>
      </c>
      <c r="AA46" t="s">
        <v>278</v>
      </c>
      <c r="AB46" t="s">
        <v>229</v>
      </c>
      <c r="AC46" t="s">
        <v>204</v>
      </c>
      <c r="AD46" t="s">
        <v>231</v>
      </c>
      <c r="AE46" t="s">
        <v>206</v>
      </c>
      <c r="AF46" t="s">
        <v>310</v>
      </c>
      <c r="AG46" t="s">
        <v>209</v>
      </c>
      <c r="AH46" t="s">
        <v>201</v>
      </c>
      <c r="AI46" t="s">
        <v>466</v>
      </c>
      <c r="AJ46" t="s">
        <v>274</v>
      </c>
      <c r="AK46" t="s">
        <v>167</v>
      </c>
      <c r="AL46" t="s">
        <v>174</v>
      </c>
      <c r="AM46" t="s">
        <v>198</v>
      </c>
      <c r="AN46" t="s">
        <v>170</v>
      </c>
      <c r="AO46" t="s">
        <v>175</v>
      </c>
      <c r="AP46" t="s">
        <v>230</v>
      </c>
      <c r="AQ46" t="s">
        <v>262</v>
      </c>
      <c r="AR46" t="s">
        <v>257</v>
      </c>
      <c r="AS46" t="s">
        <v>277</v>
      </c>
      <c r="AT46" t="s">
        <v>304</v>
      </c>
      <c r="AU46" t="s">
        <v>174</v>
      </c>
      <c r="AV46" t="s">
        <v>253</v>
      </c>
      <c r="AW46" t="s">
        <v>203</v>
      </c>
      <c r="AX46" t="s">
        <v>205</v>
      </c>
      <c r="AY46" t="s">
        <v>255</v>
      </c>
      <c r="AZ46" t="s">
        <v>206</v>
      </c>
      <c r="BA46" t="s">
        <v>262</v>
      </c>
      <c r="BB46" t="s">
        <v>257</v>
      </c>
      <c r="BC46" t="s">
        <v>214</v>
      </c>
      <c r="BG46" t="s">
        <v>194</v>
      </c>
      <c r="BI46" t="s">
        <v>622</v>
      </c>
      <c r="BJ46" t="s">
        <v>242</v>
      </c>
      <c r="BK46" t="s">
        <v>634</v>
      </c>
      <c r="BL46">
        <v>5</v>
      </c>
      <c r="BO46">
        <v>2</v>
      </c>
      <c r="BT46">
        <v>7</v>
      </c>
      <c r="BX46">
        <v>7</v>
      </c>
      <c r="CD46">
        <v>1</v>
      </c>
      <c r="CF46">
        <v>3</v>
      </c>
      <c r="CG46">
        <v>1</v>
      </c>
      <c r="CH46">
        <v>2</v>
      </c>
      <c r="CK46">
        <v>2</v>
      </c>
      <c r="CL46">
        <v>5</v>
      </c>
      <c r="CS46">
        <v>7</v>
      </c>
      <c r="CV46">
        <v>7</v>
      </c>
      <c r="DB46" t="s">
        <v>635</v>
      </c>
      <c r="DC46" t="s">
        <v>245</v>
      </c>
      <c r="DD46" t="s">
        <v>219</v>
      </c>
      <c r="DE46" t="s">
        <v>636</v>
      </c>
      <c r="DF46" t="s">
        <v>223</v>
      </c>
      <c r="DG46" t="s">
        <v>595</v>
      </c>
      <c r="DI46">
        <v>7</v>
      </c>
      <c r="DO46">
        <v>7</v>
      </c>
      <c r="DT46">
        <v>7</v>
      </c>
      <c r="DZ46">
        <v>3</v>
      </c>
      <c r="EB46">
        <v>2</v>
      </c>
      <c r="ED46">
        <v>2</v>
      </c>
      <c r="EJ46">
        <v>7</v>
      </c>
      <c r="EL46" t="s">
        <v>637</v>
      </c>
      <c r="EN46" t="s">
        <v>186</v>
      </c>
    </row>
    <row r="47" spans="1:144" x14ac:dyDescent="0.25">
      <c r="A47">
        <v>2910</v>
      </c>
      <c r="B47" t="s">
        <v>638</v>
      </c>
      <c r="C47" t="s">
        <v>145</v>
      </c>
      <c r="D47" t="s">
        <v>146</v>
      </c>
      <c r="E47" t="s">
        <v>147</v>
      </c>
      <c r="F47" t="s">
        <v>148</v>
      </c>
      <c r="G47" t="s">
        <v>149</v>
      </c>
      <c r="H47" t="s">
        <v>519</v>
      </c>
      <c r="I47" t="s">
        <v>297</v>
      </c>
      <c r="J47" t="s">
        <v>639</v>
      </c>
      <c r="K47" t="s">
        <v>640</v>
      </c>
      <c r="L47" t="s">
        <v>330</v>
      </c>
      <c r="M47">
        <v>6</v>
      </c>
      <c r="N47">
        <v>1</v>
      </c>
      <c r="O47">
        <v>2</v>
      </c>
      <c r="P47">
        <v>1</v>
      </c>
      <c r="Q47">
        <v>2</v>
      </c>
      <c r="T47" t="s">
        <v>641</v>
      </c>
      <c r="Y47" t="s">
        <v>155</v>
      </c>
      <c r="Z47" t="s">
        <v>536</v>
      </c>
      <c r="AA47" t="s">
        <v>229</v>
      </c>
      <c r="AB47" t="s">
        <v>174</v>
      </c>
      <c r="AC47" t="s">
        <v>287</v>
      </c>
      <c r="AD47" t="s">
        <v>206</v>
      </c>
      <c r="AE47" t="s">
        <v>264</v>
      </c>
      <c r="AG47" t="s">
        <v>209</v>
      </c>
      <c r="AH47" t="s">
        <v>164</v>
      </c>
      <c r="AJ47" t="s">
        <v>215</v>
      </c>
      <c r="AK47" t="s">
        <v>168</v>
      </c>
      <c r="AL47" t="s">
        <v>287</v>
      </c>
      <c r="AM47" t="s">
        <v>173</v>
      </c>
      <c r="AN47" t="s">
        <v>206</v>
      </c>
      <c r="AO47" t="s">
        <v>642</v>
      </c>
      <c r="AQ47" t="s">
        <v>163</v>
      </c>
      <c r="AR47" t="s">
        <v>209</v>
      </c>
      <c r="AT47" t="s">
        <v>536</v>
      </c>
      <c r="AU47" t="s">
        <v>497</v>
      </c>
      <c r="AX47" t="s">
        <v>206</v>
      </c>
      <c r="AY47" t="s">
        <v>170</v>
      </c>
      <c r="BA47" t="s">
        <v>164</v>
      </c>
      <c r="BB47" t="s">
        <v>209</v>
      </c>
      <c r="BD47">
        <v>1</v>
      </c>
      <c r="BI47" t="s">
        <v>243</v>
      </c>
      <c r="BJ47" t="s">
        <v>156</v>
      </c>
      <c r="BK47" t="s">
        <v>178</v>
      </c>
      <c r="BL47">
        <v>2</v>
      </c>
      <c r="BM47">
        <v>1</v>
      </c>
      <c r="BN47">
        <v>3</v>
      </c>
      <c r="BR47">
        <v>1</v>
      </c>
      <c r="BS47">
        <v>4</v>
      </c>
      <c r="BT47">
        <v>1</v>
      </c>
      <c r="BX47">
        <v>3</v>
      </c>
      <c r="BY47">
        <v>1</v>
      </c>
      <c r="BZ47">
        <v>2</v>
      </c>
      <c r="CD47">
        <v>2</v>
      </c>
      <c r="CE47">
        <v>1</v>
      </c>
      <c r="CF47">
        <v>3</v>
      </c>
      <c r="CJ47">
        <v>1</v>
      </c>
      <c r="CK47">
        <v>2</v>
      </c>
      <c r="CL47">
        <v>2</v>
      </c>
      <c r="CM47">
        <v>1</v>
      </c>
      <c r="CQ47">
        <v>2</v>
      </c>
      <c r="CR47">
        <v>3</v>
      </c>
      <c r="CS47">
        <v>1</v>
      </c>
      <c r="CW47">
        <v>3</v>
      </c>
      <c r="CX47">
        <v>3</v>
      </c>
      <c r="DB47" t="s">
        <v>643</v>
      </c>
      <c r="DC47" t="s">
        <v>644</v>
      </c>
      <c r="DD47" t="s">
        <v>219</v>
      </c>
      <c r="DE47" t="s">
        <v>645</v>
      </c>
      <c r="DF47" t="s">
        <v>646</v>
      </c>
      <c r="DG47" t="s">
        <v>647</v>
      </c>
      <c r="DI47">
        <v>2</v>
      </c>
      <c r="DJ47">
        <v>3</v>
      </c>
      <c r="DK47">
        <v>1</v>
      </c>
      <c r="DN47">
        <v>2</v>
      </c>
      <c r="DO47">
        <v>3</v>
      </c>
      <c r="DP47">
        <v>1</v>
      </c>
      <c r="DU47">
        <v>3</v>
      </c>
      <c r="DV47">
        <v>3</v>
      </c>
      <c r="DZ47">
        <v>2</v>
      </c>
      <c r="EA47">
        <v>3</v>
      </c>
      <c r="EB47">
        <v>1</v>
      </c>
      <c r="EF47">
        <v>3</v>
      </c>
      <c r="EG47">
        <v>2</v>
      </c>
      <c r="EH47">
        <v>1</v>
      </c>
      <c r="EL47" t="s">
        <v>648</v>
      </c>
      <c r="EN47" t="s">
        <v>186</v>
      </c>
    </row>
    <row r="48" spans="1:144" hidden="1" x14ac:dyDescent="0.25">
      <c r="A48">
        <v>2969</v>
      </c>
      <c r="B48" t="s">
        <v>649</v>
      </c>
      <c r="C48" t="s">
        <v>145</v>
      </c>
      <c r="D48" t="s">
        <v>650</v>
      </c>
      <c r="E48" t="s">
        <v>295</v>
      </c>
      <c r="F48" t="s">
        <v>148</v>
      </c>
      <c r="G48" t="s">
        <v>149</v>
      </c>
      <c r="H48" t="s">
        <v>651</v>
      </c>
      <c r="I48" t="s">
        <v>151</v>
      </c>
      <c r="J48" s="1">
        <v>43471</v>
      </c>
      <c r="K48" t="s">
        <v>652</v>
      </c>
      <c r="L48" t="s">
        <v>273</v>
      </c>
      <c r="M48">
        <v>20</v>
      </c>
      <c r="P48">
        <v>2</v>
      </c>
      <c r="T48" t="s">
        <v>194</v>
      </c>
      <c r="Y48" t="s">
        <v>195</v>
      </c>
      <c r="Z48" t="s">
        <v>302</v>
      </c>
      <c r="AA48" t="s">
        <v>287</v>
      </c>
      <c r="AB48" t="s">
        <v>174</v>
      </c>
      <c r="AC48" t="s">
        <v>352</v>
      </c>
      <c r="AD48" t="s">
        <v>162</v>
      </c>
      <c r="AE48" t="s">
        <v>206</v>
      </c>
      <c r="AG48" t="s">
        <v>209</v>
      </c>
      <c r="AJ48" t="s">
        <v>313</v>
      </c>
      <c r="AK48" t="s">
        <v>174</v>
      </c>
      <c r="AL48" t="s">
        <v>352</v>
      </c>
      <c r="AN48" t="s">
        <v>169</v>
      </c>
      <c r="AO48" t="s">
        <v>206</v>
      </c>
      <c r="AQ48" t="s">
        <v>265</v>
      </c>
      <c r="AR48" t="s">
        <v>237</v>
      </c>
      <c r="AT48" t="s">
        <v>196</v>
      </c>
      <c r="AU48" t="s">
        <v>174</v>
      </c>
      <c r="AV48" t="s">
        <v>352</v>
      </c>
      <c r="AX48" t="s">
        <v>212</v>
      </c>
      <c r="AY48" t="s">
        <v>170</v>
      </c>
      <c r="BA48" t="s">
        <v>237</v>
      </c>
      <c r="BH48">
        <v>5</v>
      </c>
      <c r="BI48" t="s">
        <v>302</v>
      </c>
      <c r="BJ48" t="s">
        <v>202</v>
      </c>
      <c r="BK48" t="s">
        <v>274</v>
      </c>
      <c r="BL48">
        <v>4</v>
      </c>
      <c r="BM48">
        <v>3</v>
      </c>
      <c r="BN48">
        <v>3</v>
      </c>
      <c r="BR48">
        <v>4</v>
      </c>
      <c r="BS48">
        <v>2</v>
      </c>
      <c r="BT48">
        <v>4</v>
      </c>
      <c r="BY48">
        <v>4</v>
      </c>
      <c r="BZ48">
        <v>3</v>
      </c>
      <c r="CA48">
        <v>3</v>
      </c>
      <c r="CE48">
        <v>4</v>
      </c>
      <c r="CF48">
        <v>3</v>
      </c>
      <c r="CG48">
        <v>3</v>
      </c>
      <c r="CJ48">
        <v>3</v>
      </c>
      <c r="CK48">
        <v>4</v>
      </c>
      <c r="CL48">
        <v>3</v>
      </c>
      <c r="CP48">
        <v>3</v>
      </c>
      <c r="CQ48">
        <v>3</v>
      </c>
      <c r="CR48">
        <v>4</v>
      </c>
      <c r="CV48">
        <v>3</v>
      </c>
      <c r="CW48">
        <v>5</v>
      </c>
      <c r="CX48">
        <v>2</v>
      </c>
      <c r="DB48" t="s">
        <v>653</v>
      </c>
      <c r="DC48" t="s">
        <v>654</v>
      </c>
      <c r="DD48" t="s">
        <v>655</v>
      </c>
      <c r="DE48" t="s">
        <v>656</v>
      </c>
      <c r="DF48" t="s">
        <v>657</v>
      </c>
      <c r="DG48" t="s">
        <v>658</v>
      </c>
      <c r="DI48">
        <v>2</v>
      </c>
      <c r="DJ48">
        <v>1</v>
      </c>
      <c r="DK48">
        <v>3</v>
      </c>
      <c r="DL48">
        <v>4</v>
      </c>
      <c r="DO48">
        <v>2</v>
      </c>
      <c r="DP48">
        <v>1</v>
      </c>
      <c r="DQ48">
        <v>3</v>
      </c>
      <c r="DR48">
        <v>4</v>
      </c>
      <c r="DT48">
        <v>4</v>
      </c>
      <c r="DU48">
        <v>3</v>
      </c>
      <c r="DV48">
        <v>3</v>
      </c>
      <c r="EA48">
        <v>2</v>
      </c>
      <c r="EB48">
        <v>3</v>
      </c>
      <c r="EC48">
        <v>3</v>
      </c>
      <c r="ED48">
        <v>3</v>
      </c>
      <c r="EF48">
        <v>3</v>
      </c>
      <c r="EG48">
        <v>4</v>
      </c>
      <c r="EH48">
        <v>3</v>
      </c>
      <c r="EL48" t="s">
        <v>659</v>
      </c>
      <c r="EN48" t="s">
        <v>186</v>
      </c>
    </row>
    <row r="49" spans="1:144" hidden="1" x14ac:dyDescent="0.25">
      <c r="A49">
        <v>2970</v>
      </c>
      <c r="B49" t="s">
        <v>660</v>
      </c>
      <c r="C49" t="s">
        <v>145</v>
      </c>
      <c r="D49" t="s">
        <v>661</v>
      </c>
      <c r="E49" t="s">
        <v>295</v>
      </c>
      <c r="F49" t="s">
        <v>148</v>
      </c>
      <c r="G49" t="s">
        <v>149</v>
      </c>
      <c r="H49" t="s">
        <v>651</v>
      </c>
      <c r="I49" t="s">
        <v>151</v>
      </c>
      <c r="J49" s="1">
        <v>43502</v>
      </c>
      <c r="K49" t="s">
        <v>662</v>
      </c>
      <c r="L49" t="s">
        <v>154</v>
      </c>
      <c r="M49">
        <v>12</v>
      </c>
      <c r="Q49">
        <v>9</v>
      </c>
      <c r="R49">
        <v>3</v>
      </c>
      <c r="T49" t="s">
        <v>194</v>
      </c>
      <c r="Y49" t="s">
        <v>195</v>
      </c>
      <c r="Z49" t="s">
        <v>302</v>
      </c>
      <c r="AA49" t="s">
        <v>318</v>
      </c>
      <c r="AB49" t="s">
        <v>229</v>
      </c>
      <c r="AC49" t="s">
        <v>352</v>
      </c>
      <c r="AD49" t="s">
        <v>162</v>
      </c>
      <c r="AE49" t="s">
        <v>212</v>
      </c>
      <c r="AF49" t="s">
        <v>256</v>
      </c>
      <c r="AG49" t="s">
        <v>209</v>
      </c>
      <c r="AH49" t="s">
        <v>164</v>
      </c>
      <c r="AJ49" t="s">
        <v>458</v>
      </c>
      <c r="AK49" t="s">
        <v>287</v>
      </c>
      <c r="AL49" t="s">
        <v>352</v>
      </c>
      <c r="AM49" t="s">
        <v>167</v>
      </c>
      <c r="AN49" t="s">
        <v>331</v>
      </c>
      <c r="AQ49" t="s">
        <v>237</v>
      </c>
      <c r="AT49" t="s">
        <v>196</v>
      </c>
      <c r="AU49" t="s">
        <v>174</v>
      </c>
      <c r="AX49" t="s">
        <v>170</v>
      </c>
      <c r="AY49" t="s">
        <v>212</v>
      </c>
      <c r="BA49" t="s">
        <v>237</v>
      </c>
      <c r="BG49">
        <v>4</v>
      </c>
      <c r="BI49" t="s">
        <v>302</v>
      </c>
      <c r="BJ49" t="s">
        <v>202</v>
      </c>
      <c r="BK49" t="s">
        <v>274</v>
      </c>
      <c r="BL49">
        <v>4</v>
      </c>
      <c r="BM49">
        <v>5</v>
      </c>
      <c r="BN49">
        <v>2</v>
      </c>
      <c r="BR49">
        <v>3</v>
      </c>
      <c r="BS49">
        <v>4</v>
      </c>
      <c r="BT49">
        <v>4</v>
      </c>
      <c r="BY49">
        <v>3</v>
      </c>
      <c r="BZ49">
        <v>6</v>
      </c>
      <c r="CA49">
        <v>1</v>
      </c>
      <c r="CE49">
        <v>6</v>
      </c>
      <c r="CF49">
        <v>5</v>
      </c>
      <c r="CK49">
        <v>7</v>
      </c>
      <c r="CL49">
        <v>4</v>
      </c>
      <c r="CP49">
        <v>2</v>
      </c>
      <c r="CQ49">
        <v>8</v>
      </c>
      <c r="CR49">
        <v>1</v>
      </c>
      <c r="CV49">
        <v>1</v>
      </c>
      <c r="CW49">
        <v>6</v>
      </c>
      <c r="CX49">
        <v>4</v>
      </c>
      <c r="DB49" t="s">
        <v>663</v>
      </c>
      <c r="DC49" t="s">
        <v>664</v>
      </c>
      <c r="DD49" t="s">
        <v>665</v>
      </c>
      <c r="DE49" t="s">
        <v>666</v>
      </c>
      <c r="DF49" t="s">
        <v>667</v>
      </c>
      <c r="DG49" t="s">
        <v>668</v>
      </c>
      <c r="DJ49">
        <v>6</v>
      </c>
      <c r="DK49">
        <v>4</v>
      </c>
      <c r="DL49">
        <v>1</v>
      </c>
      <c r="DP49">
        <v>6</v>
      </c>
      <c r="DQ49">
        <v>2</v>
      </c>
      <c r="DR49">
        <v>3</v>
      </c>
      <c r="DU49">
        <v>2</v>
      </c>
      <c r="DV49">
        <v>4</v>
      </c>
      <c r="DW49">
        <v>5</v>
      </c>
      <c r="DZ49">
        <v>3</v>
      </c>
      <c r="EA49">
        <v>2</v>
      </c>
      <c r="EB49">
        <v>4</v>
      </c>
      <c r="EC49">
        <v>2</v>
      </c>
      <c r="EF49">
        <v>1</v>
      </c>
      <c r="EG49">
        <v>3</v>
      </c>
      <c r="EH49">
        <v>4</v>
      </c>
      <c r="EI49">
        <v>3</v>
      </c>
      <c r="EL49" t="s">
        <v>669</v>
      </c>
      <c r="EN49" t="s">
        <v>186</v>
      </c>
    </row>
    <row r="50" spans="1:144" hidden="1" x14ac:dyDescent="0.25">
      <c r="A50">
        <v>2971</v>
      </c>
      <c r="B50" t="s">
        <v>670</v>
      </c>
      <c r="C50" t="s">
        <v>145</v>
      </c>
      <c r="D50" t="s">
        <v>671</v>
      </c>
      <c r="E50" t="s">
        <v>295</v>
      </c>
      <c r="F50" t="s">
        <v>148</v>
      </c>
      <c r="G50" t="s">
        <v>149</v>
      </c>
      <c r="H50" t="s">
        <v>651</v>
      </c>
      <c r="I50" t="s">
        <v>151</v>
      </c>
      <c r="J50" t="s">
        <v>639</v>
      </c>
      <c r="K50" t="s">
        <v>672</v>
      </c>
      <c r="L50" t="s">
        <v>273</v>
      </c>
      <c r="M50">
        <v>27</v>
      </c>
      <c r="O50" t="s">
        <v>194</v>
      </c>
      <c r="P50">
        <v>2</v>
      </c>
      <c r="Q50">
        <v>5</v>
      </c>
      <c r="R50">
        <v>6</v>
      </c>
      <c r="S50">
        <v>1</v>
      </c>
      <c r="T50" t="s">
        <v>194</v>
      </c>
      <c r="Y50" t="s">
        <v>195</v>
      </c>
      <c r="Z50" t="s">
        <v>302</v>
      </c>
      <c r="AA50" t="s">
        <v>318</v>
      </c>
      <c r="AB50" t="s">
        <v>352</v>
      </c>
      <c r="AD50" t="s">
        <v>162</v>
      </c>
      <c r="AG50" t="s">
        <v>209</v>
      </c>
      <c r="AJ50" t="s">
        <v>313</v>
      </c>
      <c r="AK50" t="s">
        <v>166</v>
      </c>
      <c r="AL50" t="s">
        <v>352</v>
      </c>
      <c r="AN50" t="s">
        <v>206</v>
      </c>
      <c r="AQ50" t="s">
        <v>209</v>
      </c>
      <c r="AR50" t="s">
        <v>164</v>
      </c>
      <c r="AT50" t="s">
        <v>196</v>
      </c>
      <c r="AU50" t="s">
        <v>166</v>
      </c>
      <c r="AV50" t="s">
        <v>174</v>
      </c>
      <c r="AW50" t="s">
        <v>167</v>
      </c>
      <c r="AX50" t="s">
        <v>170</v>
      </c>
      <c r="AY50" t="s">
        <v>212</v>
      </c>
      <c r="BA50" t="s">
        <v>237</v>
      </c>
      <c r="BG50">
        <v>4</v>
      </c>
      <c r="BI50" t="s">
        <v>302</v>
      </c>
      <c r="BJ50" t="s">
        <v>202</v>
      </c>
      <c r="BK50" t="s">
        <v>274</v>
      </c>
      <c r="BL50">
        <v>5</v>
      </c>
      <c r="BM50">
        <v>2</v>
      </c>
      <c r="BN50">
        <v>3</v>
      </c>
      <c r="BS50">
        <v>5</v>
      </c>
      <c r="BT50">
        <v>3</v>
      </c>
      <c r="BU50">
        <v>2</v>
      </c>
      <c r="BX50">
        <v>3</v>
      </c>
      <c r="BY50">
        <v>5</v>
      </c>
      <c r="BZ50">
        <v>2</v>
      </c>
      <c r="CD50">
        <v>4</v>
      </c>
      <c r="CE50">
        <v>4</v>
      </c>
      <c r="CF50">
        <v>2</v>
      </c>
      <c r="CJ50">
        <v>5</v>
      </c>
      <c r="CK50">
        <v>2</v>
      </c>
      <c r="CL50">
        <v>3</v>
      </c>
      <c r="CP50">
        <v>2</v>
      </c>
      <c r="CQ50">
        <v>6</v>
      </c>
      <c r="CR50">
        <v>1</v>
      </c>
      <c r="CV50">
        <v>6</v>
      </c>
      <c r="CW50">
        <v>2</v>
      </c>
      <c r="CX50">
        <v>1</v>
      </c>
      <c r="DB50" t="s">
        <v>673</v>
      </c>
      <c r="DC50" t="s">
        <v>424</v>
      </c>
      <c r="DD50" t="s">
        <v>674</v>
      </c>
      <c r="DE50" t="s">
        <v>675</v>
      </c>
      <c r="DF50" t="s">
        <v>676</v>
      </c>
      <c r="DG50" t="s">
        <v>677</v>
      </c>
      <c r="DJ50">
        <v>2</v>
      </c>
      <c r="DK50">
        <v>3</v>
      </c>
      <c r="DL50">
        <v>5</v>
      </c>
      <c r="DP50">
        <v>1</v>
      </c>
      <c r="DQ50">
        <v>2</v>
      </c>
      <c r="DR50">
        <v>6</v>
      </c>
      <c r="DT50">
        <v>5</v>
      </c>
      <c r="DU50">
        <v>4</v>
      </c>
      <c r="DV50">
        <v>1</v>
      </c>
      <c r="EA50">
        <v>1</v>
      </c>
      <c r="EB50">
        <v>1</v>
      </c>
      <c r="EC50">
        <v>3</v>
      </c>
      <c r="ED50">
        <v>5</v>
      </c>
      <c r="EF50">
        <v>5</v>
      </c>
      <c r="EG50">
        <v>3</v>
      </c>
      <c r="EH50">
        <v>1</v>
      </c>
      <c r="EI50">
        <v>1</v>
      </c>
      <c r="EL50" t="s">
        <v>678</v>
      </c>
      <c r="EN50" t="s">
        <v>186</v>
      </c>
    </row>
    <row r="51" spans="1:144" hidden="1" x14ac:dyDescent="0.25">
      <c r="A51">
        <v>2972</v>
      </c>
      <c r="B51" t="s">
        <v>679</v>
      </c>
      <c r="C51" t="s">
        <v>145</v>
      </c>
      <c r="D51" t="s">
        <v>680</v>
      </c>
      <c r="E51" t="s">
        <v>295</v>
      </c>
      <c r="F51" t="s">
        <v>148</v>
      </c>
      <c r="G51" t="s">
        <v>149</v>
      </c>
      <c r="H51" t="s">
        <v>651</v>
      </c>
      <c r="I51" t="s">
        <v>151</v>
      </c>
      <c r="J51" s="1">
        <v>43530</v>
      </c>
      <c r="K51" t="s">
        <v>681</v>
      </c>
      <c r="L51" t="s">
        <v>273</v>
      </c>
      <c r="M51">
        <v>11</v>
      </c>
      <c r="Q51">
        <v>4</v>
      </c>
      <c r="R51">
        <v>7</v>
      </c>
      <c r="T51" t="s">
        <v>194</v>
      </c>
      <c r="Y51" t="s">
        <v>195</v>
      </c>
      <c r="Z51" t="s">
        <v>302</v>
      </c>
      <c r="AA51" t="s">
        <v>166</v>
      </c>
      <c r="AB51" t="s">
        <v>352</v>
      </c>
      <c r="AD51" t="s">
        <v>162</v>
      </c>
      <c r="AE51" t="s">
        <v>264</v>
      </c>
      <c r="AF51" t="s">
        <v>169</v>
      </c>
      <c r="AG51" t="s">
        <v>237</v>
      </c>
      <c r="AJ51" t="s">
        <v>458</v>
      </c>
      <c r="AK51" t="s">
        <v>167</v>
      </c>
      <c r="AL51" t="s">
        <v>352</v>
      </c>
      <c r="AN51" t="s">
        <v>206</v>
      </c>
      <c r="AQ51" t="s">
        <v>305</v>
      </c>
      <c r="AT51" t="s">
        <v>202</v>
      </c>
      <c r="AU51" t="s">
        <v>157</v>
      </c>
      <c r="AV51" t="s">
        <v>287</v>
      </c>
      <c r="AW51" t="s">
        <v>229</v>
      </c>
      <c r="AX51" t="s">
        <v>325</v>
      </c>
      <c r="BA51" t="s">
        <v>237</v>
      </c>
      <c r="BH51">
        <v>5</v>
      </c>
      <c r="BI51" t="s">
        <v>202</v>
      </c>
      <c r="BJ51" t="s">
        <v>274</v>
      </c>
      <c r="BK51" t="s">
        <v>292</v>
      </c>
      <c r="BL51">
        <v>10</v>
      </c>
      <c r="BR51">
        <v>3</v>
      </c>
      <c r="BS51">
        <v>2</v>
      </c>
      <c r="BT51">
        <v>5</v>
      </c>
      <c r="BY51">
        <v>2</v>
      </c>
      <c r="BZ51">
        <v>6</v>
      </c>
      <c r="CA51">
        <v>2</v>
      </c>
      <c r="CD51">
        <v>4</v>
      </c>
      <c r="CE51">
        <v>4</v>
      </c>
      <c r="CF51">
        <v>2</v>
      </c>
      <c r="CJ51">
        <v>6</v>
      </c>
      <c r="CK51">
        <v>4</v>
      </c>
      <c r="CP51">
        <v>6</v>
      </c>
      <c r="CQ51">
        <v>4</v>
      </c>
      <c r="CW51">
        <v>6</v>
      </c>
      <c r="CX51">
        <v>4</v>
      </c>
      <c r="DB51" t="s">
        <v>682</v>
      </c>
      <c r="DC51" t="s">
        <v>683</v>
      </c>
      <c r="DD51" t="s">
        <v>684</v>
      </c>
      <c r="DE51" t="s">
        <v>685</v>
      </c>
      <c r="DF51" t="s">
        <v>686</v>
      </c>
      <c r="DG51" t="s">
        <v>687</v>
      </c>
      <c r="DI51">
        <v>6</v>
      </c>
      <c r="DJ51">
        <v>4</v>
      </c>
      <c r="DO51">
        <v>2</v>
      </c>
      <c r="DP51">
        <v>8</v>
      </c>
      <c r="DU51">
        <v>6</v>
      </c>
      <c r="DV51">
        <v>4</v>
      </c>
      <c r="EA51">
        <v>2</v>
      </c>
      <c r="EB51">
        <v>2</v>
      </c>
      <c r="ED51">
        <v>6</v>
      </c>
      <c r="EF51">
        <v>4</v>
      </c>
      <c r="EG51">
        <v>2</v>
      </c>
      <c r="EH51">
        <v>2</v>
      </c>
      <c r="EL51" t="s">
        <v>688</v>
      </c>
      <c r="EN51" t="s">
        <v>186</v>
      </c>
    </row>
    <row r="52" spans="1:144" hidden="1" x14ac:dyDescent="0.25">
      <c r="A52">
        <v>2973</v>
      </c>
      <c r="B52" t="s">
        <v>689</v>
      </c>
      <c r="C52" t="s">
        <v>145</v>
      </c>
      <c r="D52" t="s">
        <v>680</v>
      </c>
      <c r="E52" t="s">
        <v>295</v>
      </c>
      <c r="F52" t="s">
        <v>148</v>
      </c>
      <c r="G52" t="s">
        <v>149</v>
      </c>
      <c r="H52" t="s">
        <v>651</v>
      </c>
      <c r="I52" t="s">
        <v>151</v>
      </c>
      <c r="J52" s="1">
        <v>43561</v>
      </c>
      <c r="K52" t="s">
        <v>690</v>
      </c>
      <c r="L52" t="s">
        <v>251</v>
      </c>
      <c r="M52">
        <v>20</v>
      </c>
      <c r="N52">
        <v>8</v>
      </c>
      <c r="O52">
        <v>1</v>
      </c>
      <c r="P52">
        <v>2</v>
      </c>
      <c r="T52" t="s">
        <v>194</v>
      </c>
      <c r="Y52" t="s">
        <v>195</v>
      </c>
      <c r="Z52" t="s">
        <v>302</v>
      </c>
      <c r="AA52" t="s">
        <v>497</v>
      </c>
      <c r="AB52" t="s">
        <v>167</v>
      </c>
      <c r="AD52" t="s">
        <v>162</v>
      </c>
      <c r="AE52" t="s">
        <v>206</v>
      </c>
      <c r="AG52" t="s">
        <v>209</v>
      </c>
      <c r="AJ52" t="s">
        <v>458</v>
      </c>
      <c r="AK52" t="s">
        <v>287</v>
      </c>
      <c r="AL52" t="s">
        <v>174</v>
      </c>
      <c r="AN52" t="s">
        <v>199</v>
      </c>
      <c r="AQ52" t="s">
        <v>558</v>
      </c>
      <c r="AR52" t="s">
        <v>209</v>
      </c>
      <c r="AT52" t="s">
        <v>196</v>
      </c>
      <c r="AU52" t="s">
        <v>167</v>
      </c>
      <c r="AV52" t="s">
        <v>174</v>
      </c>
      <c r="AX52" t="s">
        <v>394</v>
      </c>
      <c r="BA52" t="s">
        <v>237</v>
      </c>
      <c r="BG52">
        <v>4</v>
      </c>
      <c r="BI52" t="s">
        <v>302</v>
      </c>
      <c r="BJ52" t="s">
        <v>458</v>
      </c>
      <c r="BK52" t="s">
        <v>202</v>
      </c>
      <c r="BN52">
        <v>9</v>
      </c>
      <c r="BQ52" t="s">
        <v>691</v>
      </c>
      <c r="BT52">
        <v>9</v>
      </c>
      <c r="BW52" t="s">
        <v>692</v>
      </c>
      <c r="CF52">
        <v>7</v>
      </c>
      <c r="CG52">
        <v>2</v>
      </c>
      <c r="CL52">
        <v>7</v>
      </c>
      <c r="CQ52">
        <v>7</v>
      </c>
      <c r="CR52">
        <v>2</v>
      </c>
      <c r="CW52">
        <v>7</v>
      </c>
      <c r="CX52">
        <v>2</v>
      </c>
      <c r="DB52" t="s">
        <v>304</v>
      </c>
      <c r="DC52" t="s">
        <v>693</v>
      </c>
      <c r="DD52" t="s">
        <v>694</v>
      </c>
      <c r="DE52" t="s">
        <v>695</v>
      </c>
      <c r="DF52" t="s">
        <v>411</v>
      </c>
      <c r="DG52" t="s">
        <v>424</v>
      </c>
      <c r="DH52">
        <v>2</v>
      </c>
      <c r="DI52">
        <v>3</v>
      </c>
      <c r="DJ52">
        <v>4</v>
      </c>
      <c r="DQ52">
        <v>3</v>
      </c>
      <c r="DR52">
        <v>6</v>
      </c>
      <c r="DU52">
        <v>1</v>
      </c>
      <c r="DV52">
        <v>2</v>
      </c>
      <c r="DW52">
        <v>6</v>
      </c>
      <c r="EA52">
        <v>2</v>
      </c>
      <c r="EB52">
        <v>3</v>
      </c>
      <c r="EC52">
        <v>4</v>
      </c>
      <c r="EF52">
        <v>4</v>
      </c>
      <c r="EG52">
        <v>3</v>
      </c>
      <c r="EH52">
        <v>2</v>
      </c>
      <c r="EL52" t="s">
        <v>696</v>
      </c>
      <c r="EN52" t="s">
        <v>186</v>
      </c>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41"/>
  <sheetViews>
    <sheetView topLeftCell="A13" zoomScale="80" zoomScaleNormal="80" workbookViewId="0">
      <selection activeCell="T19" sqref="T19"/>
    </sheetView>
  </sheetViews>
  <sheetFormatPr defaultRowHeight="15" x14ac:dyDescent="0.25"/>
  <cols>
    <col min="1" max="1" width="36.140625" bestFit="1" customWidth="1"/>
    <col min="4" max="4" width="10.85546875" customWidth="1"/>
    <col min="6" max="7" width="13.85546875" customWidth="1"/>
    <col min="9" max="9" width="43" bestFit="1" customWidth="1"/>
    <col min="11" max="11" width="43.5703125" bestFit="1" customWidth="1"/>
    <col min="12" max="13" width="12.5703125" bestFit="1" customWidth="1"/>
    <col min="14" max="14" width="11.140625" bestFit="1" customWidth="1"/>
    <col min="15" max="15" width="12.42578125" bestFit="1" customWidth="1"/>
    <col min="16" max="16" width="11.7109375" bestFit="1" customWidth="1"/>
    <col min="17" max="17" width="15.7109375" bestFit="1" customWidth="1"/>
    <col min="18" max="18" width="44.28515625" customWidth="1"/>
    <col min="19" max="19" width="11.28515625" bestFit="1" customWidth="1"/>
    <col min="23" max="23" width="11.7109375" customWidth="1"/>
  </cols>
  <sheetData>
    <row r="1" spans="1:26" ht="34.5" customHeight="1" thickBot="1" x14ac:dyDescent="0.3">
      <c r="B1" s="247" t="s">
        <v>697</v>
      </c>
      <c r="C1" s="247"/>
      <c r="D1" s="247"/>
      <c r="E1" s="247"/>
      <c r="F1" s="247"/>
      <c r="G1" s="247"/>
      <c r="L1" s="247" t="s">
        <v>697</v>
      </c>
      <c r="M1" s="247"/>
      <c r="N1" s="247"/>
      <c r="O1" s="247"/>
      <c r="P1" s="247"/>
      <c r="Q1" s="247"/>
      <c r="S1" s="247" t="s">
        <v>865</v>
      </c>
      <c r="T1" s="247"/>
      <c r="U1" s="247"/>
      <c r="V1" s="247"/>
      <c r="W1" s="247"/>
      <c r="X1" s="247"/>
    </row>
    <row r="2" spans="1:26" ht="15.75" thickTop="1" x14ac:dyDescent="0.25">
      <c r="A2" s="3"/>
      <c r="B2" s="248" t="s">
        <v>698</v>
      </c>
      <c r="C2" s="249"/>
      <c r="D2" s="249"/>
      <c r="E2" s="249"/>
      <c r="F2" s="249"/>
      <c r="G2" s="250"/>
      <c r="K2" s="3"/>
      <c r="L2" s="248" t="s">
        <v>698</v>
      </c>
      <c r="M2" s="249"/>
      <c r="N2" s="249"/>
      <c r="O2" s="249"/>
      <c r="P2" s="249"/>
      <c r="Q2" s="250"/>
      <c r="R2" s="3"/>
      <c r="S2" s="248" t="s">
        <v>698</v>
      </c>
      <c r="T2" s="249"/>
      <c r="U2" s="249"/>
      <c r="V2" s="249"/>
      <c r="W2" s="249"/>
      <c r="X2" s="250"/>
    </row>
    <row r="3" spans="1:26" s="4" customFormat="1" ht="48.75" customHeight="1" x14ac:dyDescent="0.25">
      <c r="A3" s="48" t="s">
        <v>699</v>
      </c>
      <c r="B3" s="6" t="s">
        <v>154</v>
      </c>
      <c r="C3" s="5" t="s">
        <v>193</v>
      </c>
      <c r="D3" s="5" t="s">
        <v>251</v>
      </c>
      <c r="E3" s="5" t="s">
        <v>273</v>
      </c>
      <c r="F3" s="5" t="s">
        <v>330</v>
      </c>
      <c r="G3" s="7" t="s">
        <v>700</v>
      </c>
      <c r="K3" s="48" t="s">
        <v>699</v>
      </c>
      <c r="L3" s="6" t="s">
        <v>154</v>
      </c>
      <c r="M3" s="5" t="s">
        <v>193</v>
      </c>
      <c r="N3" s="5" t="s">
        <v>251</v>
      </c>
      <c r="O3" s="5" t="s">
        <v>273</v>
      </c>
      <c r="P3" s="5" t="s">
        <v>330</v>
      </c>
      <c r="Q3" s="7" t="s">
        <v>700</v>
      </c>
      <c r="R3" s="48" t="s">
        <v>699</v>
      </c>
      <c r="S3" s="6" t="s">
        <v>154</v>
      </c>
      <c r="T3" s="5" t="s">
        <v>193</v>
      </c>
      <c r="U3" s="5" t="s">
        <v>251</v>
      </c>
      <c r="V3" s="5" t="s">
        <v>273</v>
      </c>
      <c r="W3" s="5" t="s">
        <v>330</v>
      </c>
      <c r="X3" s="7" t="s">
        <v>700</v>
      </c>
    </row>
    <row r="4" spans="1:26" s="4" customFormat="1" ht="48.75" customHeight="1" x14ac:dyDescent="0.25">
      <c r="A4" s="17" t="s">
        <v>701</v>
      </c>
      <c r="B4" s="33"/>
      <c r="C4" s="34"/>
      <c r="D4" s="34"/>
      <c r="E4" s="34"/>
      <c r="F4" s="34"/>
      <c r="G4" s="35"/>
      <c r="H4" s="4" t="s">
        <v>702</v>
      </c>
      <c r="K4" s="17" t="s">
        <v>701</v>
      </c>
      <c r="L4" s="33"/>
      <c r="M4" s="34"/>
      <c r="N4" s="34"/>
      <c r="O4" s="34"/>
      <c r="P4" s="34"/>
      <c r="Q4" s="35"/>
      <c r="R4" s="17"/>
      <c r="S4" s="33"/>
      <c r="T4" s="34"/>
      <c r="U4" s="34"/>
      <c r="V4" s="34"/>
      <c r="W4" s="34"/>
      <c r="X4" s="35"/>
    </row>
    <row r="5" spans="1:26" x14ac:dyDescent="0.25">
      <c r="A5" s="18" t="s">
        <v>150</v>
      </c>
      <c r="B5" s="8">
        <f>COUNTIFS(tbl_data[5&amp;9.  Risk Area / Community],A5,tbl_data[12. Consultation Group of],$B$3)</f>
        <v>2</v>
      </c>
      <c r="C5" s="9">
        <f>COUNTIFS(tbl_data[5&amp;9.  Risk Area / Community],$A5,tbl_data[12. Consultation Group of],$C$3)</f>
        <v>1</v>
      </c>
      <c r="D5" s="9">
        <f>COUNTIFS(tbl_data[5&amp;9.  Risk Area / Community],$A5,tbl_data[12. Consultation Group of],$D$3)</f>
        <v>1</v>
      </c>
      <c r="E5" s="9">
        <f>COUNTIFS(tbl_data[5&amp;9.  Risk Area / Community],$A5,tbl_data[12. Consultation Group of],$E$3)</f>
        <v>1</v>
      </c>
      <c r="F5" s="9">
        <f>COUNTIFS(tbl_data[5&amp;9.  Risk Area / Community],$A5,tbl_data[12. Consultation Group of],$F$3)</f>
        <v>1</v>
      </c>
      <c r="G5" s="10">
        <f>SUM(B5:F5)</f>
        <v>6</v>
      </c>
      <c r="H5">
        <v>6</v>
      </c>
      <c r="K5" s="18" t="s">
        <v>150</v>
      </c>
      <c r="L5" s="8">
        <f>COUNTIFS(tbl_data[5&amp;9.  Risk Area / Community],K5,tbl_data[12. Consultation Group of],$B$3)</f>
        <v>2</v>
      </c>
      <c r="M5" s="9">
        <f>COUNTIFS(tbl_data[5&amp;9.  Risk Area / Community],$A5,tbl_data[12. Consultation Group of],$C$3)</f>
        <v>1</v>
      </c>
      <c r="N5" s="9">
        <f>COUNTIFS(tbl_data[5&amp;9.  Risk Area / Community],$A5,tbl_data[12. Consultation Group of],$D$3)</f>
        <v>1</v>
      </c>
      <c r="O5" s="9">
        <f>COUNTIFS(tbl_data[5&amp;9.  Risk Area / Community],$A5,tbl_data[12. Consultation Group of],$E$3)</f>
        <v>1</v>
      </c>
      <c r="P5" s="9">
        <f>COUNTIFS(tbl_data[5&amp;9.  Risk Area / Community],$A5,tbl_data[12. Consultation Group of],$F$3)</f>
        <v>1</v>
      </c>
      <c r="Q5" s="10">
        <f>SUM(L5:P5)</f>
        <v>6</v>
      </c>
      <c r="R5" s="18" t="s">
        <v>150</v>
      </c>
      <c r="S5" s="8">
        <f>SUMIFS(tbl_data[13. Number of Participants in Group],tbl_data[5&amp;9.  Risk Area / Community],$A5,tbl_data[12. Consultation Group of],$B$3)</f>
        <v>42</v>
      </c>
      <c r="T5" s="9">
        <f>SUMIFS(tbl_data[13. Number of Participants in Group],tbl_data[5&amp;9.  Risk Area / Community],$A5,tbl_data[12. Consultation Group of],$C$3)</f>
        <v>10</v>
      </c>
      <c r="U5" s="9">
        <f>SUMIFS(tbl_data[13. Number of Participants in Group],tbl_data[5&amp;9.  Risk Area / Community],$A5,tbl_data[12. Consultation Group of],$D$3)</f>
        <v>11</v>
      </c>
      <c r="V5" s="9">
        <f>SUMIFS(tbl_data[13. Number of Participants in Group],tbl_data[5&amp;9.  Risk Area / Community],$A5,tbl_data[12. Consultation Group of],$E$3)</f>
        <v>14</v>
      </c>
      <c r="W5" s="9">
        <f>SUMIFS(tbl_data[13. Number of Participants in Group],tbl_data[5&amp;9.  Risk Area / Community],$A5,tbl_data[12. Consultation Group of],$F$3)</f>
        <v>6</v>
      </c>
      <c r="X5" s="10">
        <f>SUMIFS(tbl_data[13. Number of Participants in Group],tbl_data[5&amp;9.  Risk Area / Community],$A5)</f>
        <v>83</v>
      </c>
    </row>
    <row r="6" spans="1:26" x14ac:dyDescent="0.25">
      <c r="A6" s="18" t="s">
        <v>190</v>
      </c>
      <c r="B6" s="8">
        <f>COUNTIFS(tbl_data[5&amp;9.  Risk Area / Community],A6,tbl_data[12. Consultation Group of],$B$3)</f>
        <v>1</v>
      </c>
      <c r="C6" s="9">
        <f>COUNTIFS(tbl_data[5&amp;9.  Risk Area / Community],$A6,tbl_data[12. Consultation Group of],$C$3)</f>
        <v>2</v>
      </c>
      <c r="D6" s="9">
        <f>COUNTIFS(tbl_data[5&amp;9.  Risk Area / Community],$A6,tbl_data[12. Consultation Group of],$D$3)</f>
        <v>1</v>
      </c>
      <c r="E6" s="9">
        <f>COUNTIFS(tbl_data[5&amp;9.  Risk Area / Community],$A6,tbl_data[12. Consultation Group of],$E$3)</f>
        <v>1</v>
      </c>
      <c r="F6" s="9">
        <f>COUNTIFS(tbl_data[5&amp;9.  Risk Area / Community],$A6,tbl_data[12. Consultation Group of],$F$3)</f>
        <v>0</v>
      </c>
      <c r="G6" s="13">
        <f t="shared" ref="G6:G14" si="0">SUM(B6:F6)</f>
        <v>5</v>
      </c>
      <c r="H6">
        <v>5</v>
      </c>
      <c r="K6" s="18" t="s">
        <v>190</v>
      </c>
      <c r="L6" s="8">
        <f>COUNTIFS(tbl_data[5&amp;9.  Risk Area / Community],K6,tbl_data[12. Consultation Group of],$B$3)</f>
        <v>1</v>
      </c>
      <c r="M6" s="9">
        <f>COUNTIFS(tbl_data[5&amp;9.  Risk Area / Community],$A6,tbl_data[12. Consultation Group of],$C$3)</f>
        <v>2</v>
      </c>
      <c r="N6" s="9">
        <f>COUNTIFS(tbl_data[5&amp;9.  Risk Area / Community],$A6,tbl_data[12. Consultation Group of],$D$3)</f>
        <v>1</v>
      </c>
      <c r="O6" s="9">
        <f>COUNTIFS(tbl_data[5&amp;9.  Risk Area / Community],$A6,tbl_data[12. Consultation Group of],$E$3)</f>
        <v>1</v>
      </c>
      <c r="P6" s="9">
        <f>COUNTIFS(tbl_data[5&amp;9.  Risk Area / Community],$A6,tbl_data[12. Consultation Group of],$F$3)</f>
        <v>0</v>
      </c>
      <c r="Q6" s="13">
        <f t="shared" ref="Q6:Q14" si="1">SUM(L6:P6)</f>
        <v>5</v>
      </c>
      <c r="R6" s="18" t="s">
        <v>190</v>
      </c>
      <c r="S6" s="8">
        <f>SUMIFS(tbl_data[13. Number of Participants in Group],tbl_data[5&amp;9.  Risk Area / Community],$A6,tbl_data[12. Consultation Group of],$B$3)</f>
        <v>26</v>
      </c>
      <c r="T6" s="9">
        <f>SUMIFS(tbl_data[13. Number of Participants in Group],tbl_data[5&amp;9.  Risk Area / Community],$A6,tbl_data[12. Consultation Group of],$C$3)</f>
        <v>44</v>
      </c>
      <c r="U6" s="9">
        <f>SUMIFS(tbl_data[13. Number of Participants in Group],tbl_data[5&amp;9.  Risk Area / Community],$A6,tbl_data[12. Consultation Group of],$D$3)</f>
        <v>15</v>
      </c>
      <c r="V6" s="9">
        <f>SUMIFS(tbl_data[13. Number of Participants in Group],tbl_data[5&amp;9.  Risk Area / Community],$A6,tbl_data[12. Consultation Group of],$E$3)</f>
        <v>20</v>
      </c>
      <c r="W6" s="9">
        <f>SUMIFS(tbl_data[13. Number of Participants in Group],tbl_data[5&amp;9.  Risk Area / Community],$A6,tbl_data[12. Consultation Group of],$F$3)</f>
        <v>0</v>
      </c>
      <c r="X6" s="13">
        <f>SUMIFS(tbl_data[13. Number of Participants in Group],tbl_data[5&amp;9.  Risk Area / Community],$A6)</f>
        <v>105</v>
      </c>
    </row>
    <row r="7" spans="1:26" x14ac:dyDescent="0.25">
      <c r="A7" s="18" t="s">
        <v>340</v>
      </c>
      <c r="B7" s="8">
        <f>COUNTIFS(tbl_data[5&amp;9.  Risk Area / Community],A7,tbl_data[12. Consultation Group of],$B$3)</f>
        <v>1</v>
      </c>
      <c r="C7" s="9">
        <f>COUNTIFS(tbl_data[5&amp;9.  Risk Area / Community],$A7,tbl_data[12. Consultation Group of],$C$3)</f>
        <v>1</v>
      </c>
      <c r="D7" s="9">
        <f>COUNTIFS(tbl_data[5&amp;9.  Risk Area / Community],$A7,tbl_data[12. Consultation Group of],$D$3)</f>
        <v>1</v>
      </c>
      <c r="E7" s="9">
        <f>COUNTIFS(tbl_data[5&amp;9.  Risk Area / Community],$A7,tbl_data[12. Consultation Group of],$E$3)</f>
        <v>2</v>
      </c>
      <c r="F7" s="9">
        <f>COUNTIFS(tbl_data[5&amp;9.  Risk Area / Community],$A7,tbl_data[12. Consultation Group of],$F$3)</f>
        <v>0</v>
      </c>
      <c r="G7" s="13">
        <f t="shared" si="0"/>
        <v>5</v>
      </c>
      <c r="H7">
        <v>5</v>
      </c>
      <c r="I7" s="67" t="s">
        <v>382</v>
      </c>
      <c r="K7" s="18" t="s">
        <v>340</v>
      </c>
      <c r="L7" s="8">
        <f>COUNTIFS(tbl_data[5&amp;9.  Risk Area / Community],K7,tbl_data[12. Consultation Group of],$B$3)</f>
        <v>1</v>
      </c>
      <c r="M7" s="9">
        <f>COUNTIFS(tbl_data[5&amp;9.  Risk Area / Community],$A7,tbl_data[12. Consultation Group of],$C$3)</f>
        <v>1</v>
      </c>
      <c r="N7" s="9">
        <f>COUNTIFS(tbl_data[5&amp;9.  Risk Area / Community],$A7,tbl_data[12. Consultation Group of],$D$3)</f>
        <v>1</v>
      </c>
      <c r="O7" s="9">
        <f>COUNTIFS(tbl_data[5&amp;9.  Risk Area / Community],$A7,tbl_data[12. Consultation Group of],$E$3)</f>
        <v>2</v>
      </c>
      <c r="P7" s="9">
        <f>COUNTIFS(tbl_data[5&amp;9.  Risk Area / Community],$A7,tbl_data[12. Consultation Group of],$F$3)</f>
        <v>0</v>
      </c>
      <c r="Q7" s="13">
        <f t="shared" si="1"/>
        <v>5</v>
      </c>
      <c r="R7" s="18" t="s">
        <v>340</v>
      </c>
      <c r="S7" s="8">
        <f>SUMIFS(tbl_data[13. Number of Participants in Group],tbl_data[5&amp;9.  Risk Area / Community],$A7,tbl_data[12. Consultation Group of],$B$3)</f>
        <v>25</v>
      </c>
      <c r="T7" s="9">
        <f>SUMIFS(tbl_data[13. Number of Participants in Group],tbl_data[5&amp;9.  Risk Area / Community],$A7,tbl_data[12. Consultation Group of],$C$3)</f>
        <v>30</v>
      </c>
      <c r="U7" s="9">
        <f>SUMIFS(tbl_data[13. Number of Participants in Group],tbl_data[5&amp;9.  Risk Area / Community],$A7,tbl_data[12. Consultation Group of],$D$3)</f>
        <v>16</v>
      </c>
      <c r="V7" s="9">
        <f>SUMIFS(tbl_data[13. Number of Participants in Group],tbl_data[5&amp;9.  Risk Area / Community],$A7,tbl_data[12. Consultation Group of],$E$3)</f>
        <v>52</v>
      </c>
      <c r="W7" s="9">
        <f>SUMIFS(tbl_data[13. Number of Participants in Group],tbl_data[5&amp;9.  Risk Area / Community],$A7,tbl_data[12. Consultation Group of],$F$3)</f>
        <v>0</v>
      </c>
      <c r="X7" s="13">
        <f>SUMIFS(tbl_data[13. Number of Participants in Group],tbl_data[5&amp;9.  Risk Area / Community],$A7)</f>
        <v>123</v>
      </c>
    </row>
    <row r="8" spans="1:26" x14ac:dyDescent="0.25">
      <c r="A8" s="18" t="s">
        <v>391</v>
      </c>
      <c r="B8" s="8">
        <f>COUNTIFS(tbl_data[5&amp;9.  Risk Area / Community],A8,tbl_data[12. Consultation Group of],$B$3)</f>
        <v>1</v>
      </c>
      <c r="C8" s="9">
        <f>COUNTIFS(tbl_data[5&amp;9.  Risk Area / Community],$A8,tbl_data[12. Consultation Group of],$C$3)</f>
        <v>1</v>
      </c>
      <c r="D8" s="9">
        <f>COUNTIFS(tbl_data[5&amp;9.  Risk Area / Community],$A8,tbl_data[12. Consultation Group of],$D$3)</f>
        <v>1</v>
      </c>
      <c r="E8" s="9">
        <f>COUNTIFS(tbl_data[5&amp;9.  Risk Area / Community],$A8,tbl_data[12. Consultation Group of],$E$3)</f>
        <v>1</v>
      </c>
      <c r="F8" s="9">
        <f>COUNTIFS(tbl_data[5&amp;9.  Risk Area / Community],$A8,tbl_data[12. Consultation Group of],$F$3)</f>
        <v>1</v>
      </c>
      <c r="G8" s="13">
        <f t="shared" si="0"/>
        <v>5</v>
      </c>
      <c r="H8">
        <v>5</v>
      </c>
      <c r="I8" s="68" t="s">
        <v>428</v>
      </c>
      <c r="K8" s="18" t="s">
        <v>391</v>
      </c>
      <c r="L8" s="8">
        <f>COUNTIFS(tbl_data[5&amp;9.  Risk Area / Community],K8,tbl_data[12. Consultation Group of],$B$3)</f>
        <v>1</v>
      </c>
      <c r="M8" s="9">
        <f>COUNTIFS(tbl_data[5&amp;9.  Risk Area / Community],$A8,tbl_data[12. Consultation Group of],$C$3)</f>
        <v>1</v>
      </c>
      <c r="N8" s="9">
        <f>COUNTIFS(tbl_data[5&amp;9.  Risk Area / Community],$A8,tbl_data[12. Consultation Group of],$D$3)</f>
        <v>1</v>
      </c>
      <c r="O8" s="9">
        <f>COUNTIFS(tbl_data[5&amp;9.  Risk Area / Community],$A8,tbl_data[12. Consultation Group of],$E$3)</f>
        <v>1</v>
      </c>
      <c r="P8" s="9">
        <f>COUNTIFS(tbl_data[5&amp;9.  Risk Area / Community],$A8,tbl_data[12. Consultation Group of],$F$3)</f>
        <v>1</v>
      </c>
      <c r="Q8" s="13">
        <f t="shared" si="1"/>
        <v>5</v>
      </c>
      <c r="R8" s="18" t="s">
        <v>391</v>
      </c>
      <c r="S8" s="8">
        <f>SUMIFS(tbl_data[13. Number of Participants in Group],tbl_data[5&amp;9.  Risk Area / Community],$A8,tbl_data[12. Consultation Group of],$B$3)</f>
        <v>15</v>
      </c>
      <c r="T8" s="9">
        <f>SUMIFS(tbl_data[13. Number of Participants in Group],tbl_data[5&amp;9.  Risk Area / Community],$A8,tbl_data[12. Consultation Group of],$C$3)</f>
        <v>29</v>
      </c>
      <c r="U8" s="9">
        <f>SUMIFS(tbl_data[13. Number of Participants in Group],tbl_data[5&amp;9.  Risk Area / Community],$A8,tbl_data[12. Consultation Group of],$D$3)</f>
        <v>22</v>
      </c>
      <c r="V8" s="9">
        <f>SUMIFS(tbl_data[13. Number of Participants in Group],tbl_data[5&amp;9.  Risk Area / Community],$A8,tbl_data[12. Consultation Group of],$E$3)</f>
        <v>16</v>
      </c>
      <c r="W8" s="9">
        <f>SUMIFS(tbl_data[13. Number of Participants in Group],tbl_data[5&amp;9.  Risk Area / Community],$A8,tbl_data[12. Consultation Group of],$F$3)</f>
        <v>14</v>
      </c>
      <c r="X8" s="13">
        <f>SUMIFS(tbl_data[13. Number of Participants in Group],tbl_data[5&amp;9.  Risk Area / Community],$A8)</f>
        <v>96</v>
      </c>
    </row>
    <row r="9" spans="1:26" x14ac:dyDescent="0.25">
      <c r="A9" s="18" t="s">
        <v>436</v>
      </c>
      <c r="B9" s="8">
        <f>COUNTIFS(tbl_data[5&amp;9.  Risk Area / Community],A9,tbl_data[12. Consultation Group of],$B$3)</f>
        <v>5</v>
      </c>
      <c r="C9" s="9">
        <f>COUNTIFS(tbl_data[5&amp;9.  Risk Area / Community],$A9,tbl_data[12. Consultation Group of],$C$3)</f>
        <v>0</v>
      </c>
      <c r="D9" s="9">
        <f>COUNTIFS(tbl_data[5&amp;9.  Risk Area / Community],$A9,tbl_data[12. Consultation Group of],$D$3)</f>
        <v>0</v>
      </c>
      <c r="E9" s="9">
        <f>COUNTIFS(tbl_data[5&amp;9.  Risk Area / Community],$A9,tbl_data[12. Consultation Group of],$E$3)</f>
        <v>0</v>
      </c>
      <c r="F9" s="9">
        <f>COUNTIFS(tbl_data[5&amp;9.  Risk Area / Community],$A9,tbl_data[12. Consultation Group of],$F$3)</f>
        <v>0</v>
      </c>
      <c r="G9" s="13">
        <f t="shared" si="0"/>
        <v>5</v>
      </c>
      <c r="H9">
        <v>5</v>
      </c>
      <c r="K9" s="18" t="s">
        <v>436</v>
      </c>
      <c r="L9" s="8">
        <f>COUNTIFS(tbl_data[5&amp;9.  Risk Area / Community],K9,tbl_data[12. Consultation Group of],$B$3)</f>
        <v>5</v>
      </c>
      <c r="M9" s="9">
        <f>COUNTIFS(tbl_data[5&amp;9.  Risk Area / Community],$A9,tbl_data[12. Consultation Group of],$C$3)</f>
        <v>0</v>
      </c>
      <c r="N9" s="9">
        <f>COUNTIFS(tbl_data[5&amp;9.  Risk Area / Community],$A9,tbl_data[12. Consultation Group of],$D$3)</f>
        <v>0</v>
      </c>
      <c r="O9" s="9">
        <f>COUNTIFS(tbl_data[5&amp;9.  Risk Area / Community],$A9,tbl_data[12. Consultation Group of],$E$3)</f>
        <v>0</v>
      </c>
      <c r="P9" s="9">
        <f>COUNTIFS(tbl_data[5&amp;9.  Risk Area / Community],$A9,tbl_data[12. Consultation Group of],$F$3)</f>
        <v>0</v>
      </c>
      <c r="Q9" s="13">
        <f t="shared" si="1"/>
        <v>5</v>
      </c>
      <c r="R9" s="18" t="s">
        <v>436</v>
      </c>
      <c r="S9" s="8">
        <f>SUMIFS(tbl_data[13. Number of Participants in Group],tbl_data[5&amp;9.  Risk Area / Community],$A9,tbl_data[12. Consultation Group of],$B$3)</f>
        <v>83</v>
      </c>
      <c r="T9" s="9">
        <f>SUMIFS(tbl_data[13. Number of Participants in Group],tbl_data[5&amp;9.  Risk Area / Community],$A9,tbl_data[12. Consultation Group of],$C$3)</f>
        <v>0</v>
      </c>
      <c r="U9" s="9">
        <f>SUMIFS(tbl_data[13. Number of Participants in Group],tbl_data[5&amp;9.  Risk Area / Community],$A9,tbl_data[12. Consultation Group of],$D$3)</f>
        <v>0</v>
      </c>
      <c r="V9" s="9">
        <f>SUMIFS(tbl_data[13. Number of Participants in Group],tbl_data[5&amp;9.  Risk Area / Community],$A9,tbl_data[12. Consultation Group of],$E$3)</f>
        <v>0</v>
      </c>
      <c r="W9" s="9">
        <f>SUMIFS(tbl_data[13. Number of Participants in Group],tbl_data[5&amp;9.  Risk Area / Community],$A9,tbl_data[12. Consultation Group of],$F$3)</f>
        <v>0</v>
      </c>
      <c r="X9" s="13">
        <f>SUMIFS(tbl_data[13. Number of Participants in Group],tbl_data[5&amp;9.  Risk Area / Community],$A9)</f>
        <v>83</v>
      </c>
    </row>
    <row r="10" spans="1:26" x14ac:dyDescent="0.25">
      <c r="A10" s="18" t="s">
        <v>519</v>
      </c>
      <c r="B10" s="8">
        <f>COUNTIFS(tbl_data[5&amp;9.  Risk Area / Community],A10,tbl_data[12. Consultation Group of],$B$3)</f>
        <v>1</v>
      </c>
      <c r="C10" s="9">
        <f>COUNTIFS(tbl_data[5&amp;9.  Risk Area / Community],$A10,tbl_data[12. Consultation Group of],$C$3)</f>
        <v>1</v>
      </c>
      <c r="D10" s="9">
        <f>COUNTIFS(tbl_data[5&amp;9.  Risk Area / Community],$A10,tbl_data[12. Consultation Group of],$D$3)</f>
        <v>1</v>
      </c>
      <c r="E10" s="9">
        <f>COUNTIFS(tbl_data[5&amp;9.  Risk Area / Community],$A10,tbl_data[12. Consultation Group of],$E$3)</f>
        <v>1</v>
      </c>
      <c r="F10" s="9">
        <f>COUNTIFS(tbl_data[5&amp;9.  Risk Area / Community],$A10,tbl_data[12. Consultation Group of],$F$3)</f>
        <v>1</v>
      </c>
      <c r="G10" s="13">
        <f t="shared" si="0"/>
        <v>5</v>
      </c>
      <c r="H10">
        <v>5</v>
      </c>
      <c r="K10" s="18" t="s">
        <v>519</v>
      </c>
      <c r="L10" s="8">
        <f>COUNTIFS(tbl_data[5&amp;9.  Risk Area / Community],K10,tbl_data[12. Consultation Group of],$B$3)</f>
        <v>1</v>
      </c>
      <c r="M10" s="9">
        <f>COUNTIFS(tbl_data[5&amp;9.  Risk Area / Community],$A10,tbl_data[12. Consultation Group of],$C$3)</f>
        <v>1</v>
      </c>
      <c r="N10" s="9">
        <f>COUNTIFS(tbl_data[5&amp;9.  Risk Area / Community],$A10,tbl_data[12. Consultation Group of],$D$3)</f>
        <v>1</v>
      </c>
      <c r="O10" s="9">
        <f>COUNTIFS(tbl_data[5&amp;9.  Risk Area / Community],$A10,tbl_data[12. Consultation Group of],$E$3)</f>
        <v>1</v>
      </c>
      <c r="P10" s="9">
        <f>COUNTIFS(tbl_data[5&amp;9.  Risk Area / Community],$A10,tbl_data[12. Consultation Group of],$F$3)</f>
        <v>1</v>
      </c>
      <c r="Q10" s="13">
        <f t="shared" si="1"/>
        <v>5</v>
      </c>
      <c r="R10" s="18" t="s">
        <v>519</v>
      </c>
      <c r="S10" s="8">
        <f>SUMIFS(tbl_data[13. Number of Participants in Group],tbl_data[5&amp;9.  Risk Area / Community],$A10,tbl_data[12. Consultation Group of],$B$3)</f>
        <v>35</v>
      </c>
      <c r="T10" s="9">
        <f>SUMIFS(tbl_data[13. Number of Participants in Group],tbl_data[5&amp;9.  Risk Area / Community],$A10,tbl_data[12. Consultation Group of],$C$3)</f>
        <v>15</v>
      </c>
      <c r="U10" s="9">
        <f>SUMIFS(tbl_data[13. Number of Participants in Group],tbl_data[5&amp;9.  Risk Area / Community],$A10,tbl_data[12. Consultation Group of],$D$3)</f>
        <v>16</v>
      </c>
      <c r="V10" s="9">
        <f>SUMIFS(tbl_data[13. Number of Participants in Group],tbl_data[5&amp;9.  Risk Area / Community],$A10,tbl_data[12. Consultation Group of],$E$3)</f>
        <v>35</v>
      </c>
      <c r="W10" s="9">
        <f>SUMIFS(tbl_data[13. Number of Participants in Group],tbl_data[5&amp;9.  Risk Area / Community],$A10,tbl_data[12. Consultation Group of],$F$3)</f>
        <v>6</v>
      </c>
      <c r="X10" s="13">
        <f>SUMIFS(tbl_data[13. Number of Participants in Group],tbl_data[5&amp;9.  Risk Area / Community],$A10)</f>
        <v>107</v>
      </c>
    </row>
    <row r="11" spans="1:26" x14ac:dyDescent="0.25">
      <c r="A11" s="18" t="s">
        <v>544</v>
      </c>
      <c r="B11" s="8">
        <f>COUNTIFS(tbl_data[5&amp;9.  Risk Area / Community],A11,tbl_data[12. Consultation Group of],$B$3)</f>
        <v>1</v>
      </c>
      <c r="C11" s="9">
        <f>COUNTIFS(tbl_data[5&amp;9.  Risk Area / Community],$A11,tbl_data[12. Consultation Group of],$C$3)</f>
        <v>0</v>
      </c>
      <c r="D11" s="9">
        <f>COUNTIFS(tbl_data[5&amp;9.  Risk Area / Community],$A11,tbl_data[12. Consultation Group of],$D$3)</f>
        <v>1</v>
      </c>
      <c r="E11" s="9">
        <f>COUNTIFS(tbl_data[5&amp;9.  Risk Area / Community],$A11,tbl_data[12. Consultation Group of],$E$3)</f>
        <v>2</v>
      </c>
      <c r="F11" s="9">
        <f>COUNTIFS(tbl_data[5&amp;9.  Risk Area / Community],$A11,tbl_data[12. Consultation Group of],$F$3)</f>
        <v>1</v>
      </c>
      <c r="G11" s="13">
        <f t="shared" si="0"/>
        <v>5</v>
      </c>
      <c r="H11">
        <v>5</v>
      </c>
      <c r="K11" s="18" t="s">
        <v>544</v>
      </c>
      <c r="L11" s="8">
        <f>COUNTIFS(tbl_data[5&amp;9.  Risk Area / Community],K11,tbl_data[12. Consultation Group of],$B$3)</f>
        <v>1</v>
      </c>
      <c r="M11" s="9">
        <f>COUNTIFS(tbl_data[5&amp;9.  Risk Area / Community],$A11,tbl_data[12. Consultation Group of],$C$3)</f>
        <v>0</v>
      </c>
      <c r="N11" s="9">
        <f>COUNTIFS(tbl_data[5&amp;9.  Risk Area / Community],$A11,tbl_data[12. Consultation Group of],$D$3)</f>
        <v>1</v>
      </c>
      <c r="O11" s="9">
        <f>COUNTIFS(tbl_data[5&amp;9.  Risk Area / Community],$A11,tbl_data[12. Consultation Group of],$E$3)</f>
        <v>2</v>
      </c>
      <c r="P11" s="9">
        <f>COUNTIFS(tbl_data[5&amp;9.  Risk Area / Community],$A11,tbl_data[12. Consultation Group of],$F$3)</f>
        <v>1</v>
      </c>
      <c r="Q11" s="13">
        <f t="shared" si="1"/>
        <v>5</v>
      </c>
      <c r="R11" s="18" t="s">
        <v>544</v>
      </c>
      <c r="S11" s="8">
        <f>SUMIFS(tbl_data[13. Number of Participants in Group],tbl_data[5&amp;9.  Risk Area / Community],$A11,tbl_data[12. Consultation Group of],$B$3)</f>
        <v>24</v>
      </c>
      <c r="T11" s="9">
        <f>SUMIFS(tbl_data[13. Number of Participants in Group],tbl_data[5&amp;9.  Risk Area / Community],$A11,tbl_data[12. Consultation Group of],$C$3)</f>
        <v>0</v>
      </c>
      <c r="U11" s="9">
        <f>SUMIFS(tbl_data[13. Number of Participants in Group],tbl_data[5&amp;9.  Risk Area / Community],$A11,tbl_data[12. Consultation Group of],$D$3)</f>
        <v>24</v>
      </c>
      <c r="V11" s="9">
        <f>SUMIFS(tbl_data[13. Number of Participants in Group],tbl_data[5&amp;9.  Risk Area / Community],$A11,tbl_data[12. Consultation Group of],$E$3)</f>
        <v>57</v>
      </c>
      <c r="W11" s="9">
        <f>SUMIFS(tbl_data[13. Number of Participants in Group],tbl_data[5&amp;9.  Risk Area / Community],$A11,tbl_data[12. Consultation Group of],$F$3)</f>
        <v>24</v>
      </c>
      <c r="X11" s="13">
        <f>SUMIFS(tbl_data[13. Number of Participants in Group],tbl_data[5&amp;9.  Risk Area / Community],$A11)</f>
        <v>129</v>
      </c>
    </row>
    <row r="12" spans="1:26" x14ac:dyDescent="0.25">
      <c r="A12" s="18" t="s">
        <v>573</v>
      </c>
      <c r="B12" s="8">
        <f>COUNTIFS(tbl_data[5&amp;9.  Risk Area / Community],A12,tbl_data[12. Consultation Group of],$B$3)</f>
        <v>1</v>
      </c>
      <c r="C12" s="9">
        <f>COUNTIFS(tbl_data[5&amp;9.  Risk Area / Community],$A12,tbl_data[12. Consultation Group of],$C$3)</f>
        <v>1</v>
      </c>
      <c r="D12" s="9">
        <f>COUNTIFS(tbl_data[5&amp;9.  Risk Area / Community],$A12,tbl_data[12. Consultation Group of],$D$3)</f>
        <v>1</v>
      </c>
      <c r="E12" s="9">
        <f>COUNTIFS(tbl_data[5&amp;9.  Risk Area / Community],$A12,tbl_data[12. Consultation Group of],$E$3)</f>
        <v>2</v>
      </c>
      <c r="F12" s="9">
        <f>COUNTIFS(tbl_data[5&amp;9.  Risk Area / Community],$A12,tbl_data[12. Consultation Group of],$F$3)</f>
        <v>0</v>
      </c>
      <c r="G12" s="13">
        <f t="shared" si="0"/>
        <v>5</v>
      </c>
      <c r="H12">
        <v>5</v>
      </c>
      <c r="K12" s="18" t="s">
        <v>573</v>
      </c>
      <c r="L12" s="8">
        <f>COUNTIFS(tbl_data[5&amp;9.  Risk Area / Community],K12,tbl_data[12. Consultation Group of],$B$3)</f>
        <v>1</v>
      </c>
      <c r="M12" s="9">
        <f>COUNTIFS(tbl_data[5&amp;9.  Risk Area / Community],$A12,tbl_data[12. Consultation Group of],$C$3)</f>
        <v>1</v>
      </c>
      <c r="N12" s="9">
        <f>COUNTIFS(tbl_data[5&amp;9.  Risk Area / Community],$A12,tbl_data[12. Consultation Group of],$D$3)</f>
        <v>1</v>
      </c>
      <c r="O12" s="9">
        <f>COUNTIFS(tbl_data[5&amp;9.  Risk Area / Community],$A12,tbl_data[12. Consultation Group of],$E$3)</f>
        <v>2</v>
      </c>
      <c r="P12" s="9">
        <f>COUNTIFS(tbl_data[5&amp;9.  Risk Area / Community],$A12,tbl_data[12. Consultation Group of],$F$3)</f>
        <v>0</v>
      </c>
      <c r="Q12" s="13">
        <f t="shared" si="1"/>
        <v>5</v>
      </c>
      <c r="R12" s="18" t="s">
        <v>573</v>
      </c>
      <c r="S12" s="8">
        <f>SUMIFS(tbl_data[13. Number of Participants in Group],tbl_data[5&amp;9.  Risk Area / Community],$A12,tbl_data[12. Consultation Group of],$B$3)</f>
        <v>15</v>
      </c>
      <c r="T12" s="9">
        <f>SUMIFS(tbl_data[13. Number of Participants in Group],tbl_data[5&amp;9.  Risk Area / Community],$A12,tbl_data[12. Consultation Group of],$C$3)</f>
        <v>10</v>
      </c>
      <c r="U12" s="9">
        <f>SUMIFS(tbl_data[13. Number of Participants in Group],tbl_data[5&amp;9.  Risk Area / Community],$A12,tbl_data[12. Consultation Group of],$D$3)</f>
        <v>22</v>
      </c>
      <c r="V12" s="9">
        <f>SUMIFS(tbl_data[13. Number of Participants in Group],tbl_data[5&amp;9.  Risk Area / Community],$A12,tbl_data[12. Consultation Group of],$E$3)</f>
        <v>22</v>
      </c>
      <c r="W12" s="9">
        <f>SUMIFS(tbl_data[13. Number of Participants in Group],tbl_data[5&amp;9.  Risk Area / Community],$A12,tbl_data[12. Consultation Group of],$F$3)</f>
        <v>0</v>
      </c>
      <c r="X12" s="13">
        <f>SUMIFS(tbl_data[13. Number of Participants in Group],tbl_data[5&amp;9.  Risk Area / Community],$A12)</f>
        <v>69</v>
      </c>
    </row>
    <row r="13" spans="1:26" x14ac:dyDescent="0.25">
      <c r="A13" s="18" t="s">
        <v>606</v>
      </c>
      <c r="B13" s="8">
        <f>COUNTIFS(tbl_data[5&amp;9.  Risk Area / Community],A13,tbl_data[12. Consultation Group of],$B$3)</f>
        <v>1</v>
      </c>
      <c r="C13" s="9">
        <f>COUNTIFS(tbl_data[5&amp;9.  Risk Area / Community],$A13,tbl_data[12. Consultation Group of],$C$3)</f>
        <v>1</v>
      </c>
      <c r="D13" s="9">
        <f>COUNTIFS(tbl_data[5&amp;9.  Risk Area / Community],$A13,tbl_data[12. Consultation Group of],$D$3)</f>
        <v>0</v>
      </c>
      <c r="E13" s="9">
        <f>COUNTIFS(tbl_data[5&amp;9.  Risk Area / Community],$A13,tbl_data[12. Consultation Group of],$E$3)</f>
        <v>2</v>
      </c>
      <c r="F13" s="9">
        <f>COUNTIFS(tbl_data[5&amp;9.  Risk Area / Community],$A13,tbl_data[12. Consultation Group of],$F$3)</f>
        <v>1</v>
      </c>
      <c r="G13" s="13">
        <f t="shared" si="0"/>
        <v>5</v>
      </c>
      <c r="H13">
        <v>5</v>
      </c>
      <c r="K13" s="18" t="s">
        <v>606</v>
      </c>
      <c r="L13" s="8">
        <f>COUNTIFS(tbl_data[5&amp;9.  Risk Area / Community],K13,tbl_data[12. Consultation Group of],$B$3)</f>
        <v>1</v>
      </c>
      <c r="M13" s="9">
        <f>COUNTIFS(tbl_data[5&amp;9.  Risk Area / Community],$A13,tbl_data[12. Consultation Group of],$C$3)</f>
        <v>1</v>
      </c>
      <c r="N13" s="9">
        <f>COUNTIFS(tbl_data[5&amp;9.  Risk Area / Community],$A13,tbl_data[12. Consultation Group of],$D$3)</f>
        <v>0</v>
      </c>
      <c r="O13" s="9">
        <f>COUNTIFS(tbl_data[5&amp;9.  Risk Area / Community],$A13,tbl_data[12. Consultation Group of],$E$3)</f>
        <v>2</v>
      </c>
      <c r="P13" s="9">
        <f>COUNTIFS(tbl_data[5&amp;9.  Risk Area / Community],$A13,tbl_data[12. Consultation Group of],$F$3)</f>
        <v>1</v>
      </c>
      <c r="Q13" s="13">
        <f t="shared" si="1"/>
        <v>5</v>
      </c>
      <c r="R13" s="18" t="s">
        <v>606</v>
      </c>
      <c r="S13" s="8">
        <f>SUMIFS(tbl_data[13. Number of Participants in Group],tbl_data[5&amp;9.  Risk Area / Community],$A13,tbl_data[12. Consultation Group of],$B$3)</f>
        <v>15</v>
      </c>
      <c r="T13" s="9">
        <f>SUMIFS(tbl_data[13. Number of Participants in Group],tbl_data[5&amp;9.  Risk Area / Community],$A13,tbl_data[12. Consultation Group of],$C$3)</f>
        <v>13</v>
      </c>
      <c r="U13" s="9">
        <f>SUMIFS(tbl_data[13. Number of Participants in Group],tbl_data[5&amp;9.  Risk Area / Community],$A13,tbl_data[12. Consultation Group of],$D$3)</f>
        <v>0</v>
      </c>
      <c r="V13" s="9">
        <f>SUMIFS(tbl_data[13. Number of Participants in Group],tbl_data[5&amp;9.  Risk Area / Community],$A13,tbl_data[12. Consultation Group of],$E$3)</f>
        <v>31</v>
      </c>
      <c r="W13" s="9">
        <f>SUMIFS(tbl_data[13. Number of Participants in Group],tbl_data[5&amp;9.  Risk Area / Community],$A13,tbl_data[12. Consultation Group of],$F$3)</f>
        <v>7</v>
      </c>
      <c r="X13" s="13">
        <f>SUMIFS(tbl_data[13. Number of Participants in Group],tbl_data[5&amp;9.  Risk Area / Community],$A13)</f>
        <v>66</v>
      </c>
    </row>
    <row r="14" spans="1:26" ht="15.75" thickBot="1" x14ac:dyDescent="0.3">
      <c r="A14" s="18" t="s">
        <v>651</v>
      </c>
      <c r="B14" s="19">
        <f>COUNTIFS(tbl_data[5&amp;9.  Risk Area / Community],A14,tbl_data[12. Consultation Group of],$B$3)</f>
        <v>1</v>
      </c>
      <c r="C14" s="20">
        <f>COUNTIFS(tbl_data[5&amp;9.  Risk Area / Community],$A14,tbl_data[12. Consultation Group of],$C$3)</f>
        <v>0</v>
      </c>
      <c r="D14" s="20">
        <f>COUNTIFS(tbl_data[5&amp;9.  Risk Area / Community],$A14,tbl_data[12. Consultation Group of],$D$3)</f>
        <v>1</v>
      </c>
      <c r="E14" s="20">
        <f>COUNTIFS(tbl_data[5&amp;9.  Risk Area / Community],$A14,tbl_data[12. Consultation Group of],$E$3)</f>
        <v>3</v>
      </c>
      <c r="F14" s="20">
        <f>COUNTIFS(tbl_data[5&amp;9.  Risk Area / Community],$A14,tbl_data[12. Consultation Group of],$F$3)</f>
        <v>0</v>
      </c>
      <c r="G14" s="16">
        <f t="shared" si="0"/>
        <v>5</v>
      </c>
      <c r="H14">
        <v>5</v>
      </c>
      <c r="K14" s="18" t="s">
        <v>651</v>
      </c>
      <c r="L14" s="19">
        <f>COUNTIFS(tbl_data[5&amp;9.  Risk Area / Community],K14,tbl_data[12. Consultation Group of],$B$3)</f>
        <v>1</v>
      </c>
      <c r="M14" s="20">
        <f>COUNTIFS(tbl_data[5&amp;9.  Risk Area / Community],$A14,tbl_data[12. Consultation Group of],$C$3)</f>
        <v>0</v>
      </c>
      <c r="N14" s="20">
        <f>COUNTIFS(tbl_data[5&amp;9.  Risk Area / Community],$A14,tbl_data[12. Consultation Group of],$D$3)</f>
        <v>1</v>
      </c>
      <c r="O14" s="20">
        <f>COUNTIFS(tbl_data[5&amp;9.  Risk Area / Community],$A14,tbl_data[12. Consultation Group of],$E$3)</f>
        <v>3</v>
      </c>
      <c r="P14" s="20">
        <f>COUNTIFS(tbl_data[5&amp;9.  Risk Area / Community],$A14,tbl_data[12. Consultation Group of],$F$3)</f>
        <v>0</v>
      </c>
      <c r="Q14" s="16">
        <f t="shared" si="1"/>
        <v>5</v>
      </c>
      <c r="R14" s="18" t="s">
        <v>651</v>
      </c>
      <c r="S14" s="19">
        <f>SUMIFS(tbl_data[13. Number of Participants in Group],tbl_data[5&amp;9.  Risk Area / Community],$A14,tbl_data[12. Consultation Group of],$B$3)</f>
        <v>12</v>
      </c>
      <c r="T14" s="20">
        <f>SUMIFS(tbl_data[13. Number of Participants in Group],tbl_data[5&amp;9.  Risk Area / Community],$A14,tbl_data[12. Consultation Group of],$C$3)</f>
        <v>0</v>
      </c>
      <c r="U14" s="20">
        <f>SUMIFS(tbl_data[13. Number of Participants in Group],tbl_data[5&amp;9.  Risk Area / Community],$A14,tbl_data[12. Consultation Group of],$D$3)</f>
        <v>20</v>
      </c>
      <c r="V14" s="20">
        <f>SUMIFS(tbl_data[13. Number of Participants in Group],tbl_data[5&amp;9.  Risk Area / Community],$A14,tbl_data[12. Consultation Group of],$E$3)</f>
        <v>58</v>
      </c>
      <c r="W14" s="20">
        <f>SUMIFS(tbl_data[13. Number of Participants in Group],tbl_data[5&amp;9.  Risk Area / Community],$A14,tbl_data[12. Consultation Group of],$F$3)</f>
        <v>0</v>
      </c>
      <c r="X14" s="16">
        <f>SUMIFS(tbl_data[13. Number of Participants in Group],tbl_data[5&amp;9.  Risk Area / Community],$A14)</f>
        <v>90</v>
      </c>
    </row>
    <row r="15" spans="1:26" ht="15.75" thickTop="1" x14ac:dyDescent="0.25">
      <c r="A15" s="21" t="s">
        <v>703</v>
      </c>
      <c r="B15" s="63">
        <f t="shared" ref="B15:H15" si="2">SUM(B5:B14)</f>
        <v>15</v>
      </c>
      <c r="C15" s="64">
        <f t="shared" si="2"/>
        <v>8</v>
      </c>
      <c r="D15" s="64">
        <f t="shared" si="2"/>
        <v>8</v>
      </c>
      <c r="E15" s="64">
        <f t="shared" si="2"/>
        <v>15</v>
      </c>
      <c r="F15" s="64">
        <f t="shared" si="2"/>
        <v>5</v>
      </c>
      <c r="G15" s="64">
        <f t="shared" si="2"/>
        <v>51</v>
      </c>
      <c r="H15" s="69">
        <f t="shared" si="2"/>
        <v>51</v>
      </c>
      <c r="K15" s="21" t="s">
        <v>703</v>
      </c>
      <c r="L15" s="63">
        <f t="shared" ref="L15:Q15" si="3">SUM(L5:L14)</f>
        <v>15</v>
      </c>
      <c r="M15" s="64">
        <f t="shared" si="3"/>
        <v>8</v>
      </c>
      <c r="N15" s="64">
        <f t="shared" si="3"/>
        <v>8</v>
      </c>
      <c r="O15" s="64">
        <f t="shared" si="3"/>
        <v>15</v>
      </c>
      <c r="P15" s="64">
        <f t="shared" si="3"/>
        <v>5</v>
      </c>
      <c r="Q15" s="64">
        <f t="shared" si="3"/>
        <v>51</v>
      </c>
      <c r="R15" s="21"/>
      <c r="S15" s="63">
        <f>SUM(S5:S14)</f>
        <v>292</v>
      </c>
      <c r="T15" s="64">
        <f t="shared" ref="T15:X15" si="4">SUM(T5:T14)</f>
        <v>151</v>
      </c>
      <c r="U15" s="64">
        <f t="shared" si="4"/>
        <v>146</v>
      </c>
      <c r="V15" s="64">
        <f t="shared" si="4"/>
        <v>305</v>
      </c>
      <c r="W15" s="64">
        <f t="shared" si="4"/>
        <v>57</v>
      </c>
      <c r="X15" s="64">
        <f t="shared" si="4"/>
        <v>951</v>
      </c>
      <c r="Z15" s="147"/>
    </row>
    <row r="17" spans="1:28" x14ac:dyDescent="0.25">
      <c r="A17" s="46" t="s">
        <v>704</v>
      </c>
      <c r="B17" s="46"/>
      <c r="C17" s="46"/>
      <c r="D17" s="46"/>
      <c r="E17" s="46"/>
      <c r="F17" s="46"/>
      <c r="G17" s="46">
        <f>COUNTBLANK(tbl_data[12. Consultation Group of])</f>
        <v>0</v>
      </c>
    </row>
    <row r="18" spans="1:28" x14ac:dyDescent="0.25">
      <c r="A18" s="46" t="e">
        <v>#NAME?</v>
      </c>
      <c r="B18" s="46">
        <f>COUNTIFS(tbl_data[5&amp;9.  Risk Area / Community],$A18,tbl_data[12. Consultation Group of],$B$3)</f>
        <v>0</v>
      </c>
      <c r="C18" s="46">
        <f>COUNTIFS(tbl_data[5&amp;9.  Risk Area / Community],$A18,tbl_data[12. Consultation Group of],$C$3)</f>
        <v>0</v>
      </c>
      <c r="D18" s="46">
        <f>COUNTIFS(tbl_data[5&amp;9.  Risk Area / Community],$A18,tbl_data[12. Consultation Group of],$D$3)</f>
        <v>0</v>
      </c>
      <c r="E18" s="46">
        <f>COUNTIFS(tbl_data[5&amp;9.  Risk Area / Community],$A18,tbl_data[12. Consultation Group of],$E$3)</f>
        <v>0</v>
      </c>
      <c r="F18" s="46">
        <f>COUNTIFS(tbl_data[5&amp;9.  Risk Area / Community],$A18,tbl_data[12. Consultation Group of],$F$3)</f>
        <v>0</v>
      </c>
      <c r="G18" s="46">
        <f>SUM(B18:F18)</f>
        <v>0</v>
      </c>
    </row>
    <row r="19" spans="1:28" x14ac:dyDescent="0.25">
      <c r="A19" t="s">
        <v>705</v>
      </c>
      <c r="G19" s="47">
        <f>SUM(G17:G18)</f>
        <v>0</v>
      </c>
    </row>
    <row r="20" spans="1:28" x14ac:dyDescent="0.25">
      <c r="A20" s="21" t="s">
        <v>706</v>
      </c>
      <c r="B20" s="21"/>
      <c r="C20" s="21"/>
      <c r="D20" s="21"/>
      <c r="E20" s="21"/>
      <c r="F20" s="21"/>
      <c r="G20" s="21">
        <f>G19+G15</f>
        <v>51</v>
      </c>
    </row>
    <row r="24" spans="1:28" ht="15.75" thickBot="1" x14ac:dyDescent="0.3"/>
    <row r="25" spans="1:28" ht="39" thickBot="1" x14ac:dyDescent="0.3">
      <c r="I25" s="253" t="s">
        <v>707</v>
      </c>
      <c r="J25" s="253" t="s">
        <v>708</v>
      </c>
      <c r="K25" s="255" t="s">
        <v>709</v>
      </c>
      <c r="L25" s="256"/>
      <c r="M25" s="253" t="s">
        <v>710</v>
      </c>
      <c r="N25" s="253" t="s">
        <v>711</v>
      </c>
      <c r="O25" s="253" t="s">
        <v>712</v>
      </c>
      <c r="P25" s="253" t="s">
        <v>713</v>
      </c>
      <c r="R25" s="54" t="s">
        <v>714</v>
      </c>
      <c r="S25" s="55" t="s">
        <v>708</v>
      </c>
      <c r="T25" s="55" t="s">
        <v>715</v>
      </c>
      <c r="U25" s="55" t="s">
        <v>154</v>
      </c>
      <c r="V25" s="55" t="s">
        <v>273</v>
      </c>
      <c r="W25" s="55" t="s">
        <v>716</v>
      </c>
      <c r="X25" s="56" t="s">
        <v>278</v>
      </c>
      <c r="Y25" s="57" t="s">
        <v>717</v>
      </c>
      <c r="Z25" s="57" t="s">
        <v>718</v>
      </c>
    </row>
    <row r="26" spans="1:28" ht="26.25" thickBot="1" x14ac:dyDescent="0.3">
      <c r="I26" s="254"/>
      <c r="J26" s="254"/>
      <c r="K26" s="50" t="s">
        <v>297</v>
      </c>
      <c r="L26" s="50" t="s">
        <v>151</v>
      </c>
      <c r="M26" s="254"/>
      <c r="N26" s="254"/>
      <c r="O26" s="254"/>
      <c r="P26" s="254"/>
      <c r="R26" s="58">
        <v>3</v>
      </c>
      <c r="S26" s="49" t="s">
        <v>719</v>
      </c>
      <c r="T26" s="59"/>
      <c r="U26" s="60" t="s">
        <v>720</v>
      </c>
      <c r="V26" s="59"/>
      <c r="W26" s="59"/>
      <c r="X26" s="59"/>
      <c r="Y26" s="61"/>
      <c r="Z26" s="61">
        <v>5</v>
      </c>
    </row>
    <row r="27" spans="1:28" ht="30.75" thickBot="1" x14ac:dyDescent="0.3">
      <c r="I27" s="51">
        <v>1</v>
      </c>
      <c r="J27" s="65" t="s">
        <v>721</v>
      </c>
      <c r="K27" s="65" t="s">
        <v>722</v>
      </c>
      <c r="L27" s="52"/>
      <c r="M27" s="52">
        <v>1</v>
      </c>
      <c r="N27" s="52" t="s">
        <v>723</v>
      </c>
      <c r="O27" s="52" t="s">
        <v>724</v>
      </c>
      <c r="P27" s="52" t="s">
        <v>725</v>
      </c>
      <c r="Q27" s="4"/>
      <c r="R27" s="58">
        <v>4</v>
      </c>
      <c r="S27" s="49" t="s">
        <v>726</v>
      </c>
      <c r="T27" s="60">
        <v>20</v>
      </c>
      <c r="U27" s="60">
        <v>12</v>
      </c>
      <c r="V27" s="60" t="s">
        <v>727</v>
      </c>
      <c r="W27" s="59"/>
      <c r="X27" s="59"/>
      <c r="Y27" s="61"/>
      <c r="Z27" s="61">
        <v>5</v>
      </c>
      <c r="AA27" s="4"/>
      <c r="AB27" s="4"/>
    </row>
    <row r="28" spans="1:28" ht="30.75" thickBot="1" x14ac:dyDescent="0.3">
      <c r="I28" s="51">
        <v>2</v>
      </c>
      <c r="J28" s="66" t="s">
        <v>728</v>
      </c>
      <c r="K28" s="66" t="s">
        <v>729</v>
      </c>
      <c r="L28" s="52"/>
      <c r="M28" s="52">
        <v>1</v>
      </c>
      <c r="N28" s="52" t="s">
        <v>730</v>
      </c>
      <c r="O28" s="52" t="s">
        <v>731</v>
      </c>
      <c r="P28" s="52" t="s">
        <v>725</v>
      </c>
      <c r="Q28" s="4"/>
      <c r="R28" s="58">
        <v>6</v>
      </c>
      <c r="S28" s="49" t="s">
        <v>732</v>
      </c>
      <c r="T28" s="60">
        <v>22</v>
      </c>
      <c r="U28" s="60">
        <v>15</v>
      </c>
      <c r="V28" s="60" t="s">
        <v>733</v>
      </c>
      <c r="W28" s="60">
        <v>10</v>
      </c>
      <c r="X28" s="59"/>
      <c r="Y28" s="61"/>
      <c r="Z28" s="61">
        <v>5</v>
      </c>
      <c r="AA28" s="4"/>
      <c r="AB28" s="4"/>
    </row>
    <row r="29" spans="1:28" ht="30.75" thickBot="1" x14ac:dyDescent="0.3">
      <c r="I29" s="51">
        <v>3</v>
      </c>
      <c r="J29" s="53" t="s">
        <v>734</v>
      </c>
      <c r="K29" s="53" t="s">
        <v>735</v>
      </c>
      <c r="L29" s="52"/>
      <c r="M29" s="52">
        <v>1</v>
      </c>
      <c r="N29" s="52" t="s">
        <v>736</v>
      </c>
      <c r="O29" s="52" t="s">
        <v>737</v>
      </c>
      <c r="P29" s="52" t="s">
        <v>725</v>
      </c>
      <c r="R29" s="58">
        <v>7</v>
      </c>
      <c r="S29" s="49" t="s">
        <v>738</v>
      </c>
      <c r="T29" s="59"/>
      <c r="U29" s="60">
        <v>15</v>
      </c>
      <c r="V29" s="60" t="s">
        <v>739</v>
      </c>
      <c r="W29" s="60">
        <v>13</v>
      </c>
      <c r="X29" s="60">
        <v>7</v>
      </c>
      <c r="Y29" s="62"/>
      <c r="Z29" s="62">
        <v>5</v>
      </c>
    </row>
    <row r="30" spans="1:28" ht="30.75" thickBot="1" x14ac:dyDescent="0.3">
      <c r="I30" s="51">
        <v>4</v>
      </c>
      <c r="J30" s="53" t="s">
        <v>740</v>
      </c>
      <c r="K30" s="52"/>
      <c r="L30" s="53" t="s">
        <v>741</v>
      </c>
      <c r="M30" s="52">
        <v>1</v>
      </c>
      <c r="N30" s="52" t="s">
        <v>736</v>
      </c>
      <c r="O30" s="52" t="s">
        <v>196</v>
      </c>
      <c r="P30" s="52" t="s">
        <v>742</v>
      </c>
      <c r="R30" s="58">
        <v>8</v>
      </c>
      <c r="S30" s="49" t="s">
        <v>743</v>
      </c>
      <c r="T30" s="60">
        <v>15</v>
      </c>
      <c r="U30" s="60">
        <v>26</v>
      </c>
      <c r="V30" s="60">
        <v>20</v>
      </c>
      <c r="W30" s="60" t="s">
        <v>744</v>
      </c>
      <c r="X30" s="59"/>
      <c r="Y30" s="61"/>
      <c r="Z30" s="61">
        <v>5</v>
      </c>
    </row>
    <row r="31" spans="1:28" ht="30.75" thickBot="1" x14ac:dyDescent="0.3">
      <c r="I31" s="51">
        <v>5</v>
      </c>
      <c r="J31" s="52" t="s">
        <v>745</v>
      </c>
      <c r="K31" s="52" t="s">
        <v>746</v>
      </c>
      <c r="L31" s="52"/>
      <c r="M31" s="52" t="s">
        <v>747</v>
      </c>
      <c r="N31" s="52" t="s">
        <v>730</v>
      </c>
      <c r="O31" s="52" t="s">
        <v>731</v>
      </c>
      <c r="P31" s="52" t="s">
        <v>725</v>
      </c>
      <c r="R31" s="58">
        <v>9</v>
      </c>
      <c r="S31" s="49" t="s">
        <v>748</v>
      </c>
      <c r="T31" s="60">
        <v>11</v>
      </c>
      <c r="U31" s="60" t="s">
        <v>749</v>
      </c>
      <c r="V31" s="60">
        <v>14</v>
      </c>
      <c r="W31" s="60">
        <v>10</v>
      </c>
      <c r="X31" s="60">
        <v>6</v>
      </c>
      <c r="Y31" s="62"/>
      <c r="Z31" s="62">
        <v>6</v>
      </c>
    </row>
    <row r="32" spans="1:28" ht="30.75" thickBot="1" x14ac:dyDescent="0.3">
      <c r="I32" s="51">
        <v>6</v>
      </c>
      <c r="J32" s="53" t="s">
        <v>732</v>
      </c>
      <c r="K32" s="52"/>
      <c r="L32" s="53" t="s">
        <v>750</v>
      </c>
      <c r="M32" s="52" t="s">
        <v>747</v>
      </c>
      <c r="N32" s="52" t="s">
        <v>736</v>
      </c>
      <c r="O32" s="52" t="s">
        <v>196</v>
      </c>
      <c r="P32" s="52" t="s">
        <v>751</v>
      </c>
      <c r="R32" s="58">
        <v>10</v>
      </c>
      <c r="S32" s="49" t="s">
        <v>752</v>
      </c>
      <c r="T32" s="60">
        <v>24</v>
      </c>
      <c r="U32" s="60">
        <v>24</v>
      </c>
      <c r="V32" s="60" t="s">
        <v>753</v>
      </c>
      <c r="W32" s="59"/>
      <c r="X32" s="60">
        <v>24</v>
      </c>
      <c r="Y32" s="62"/>
      <c r="Z32" s="62">
        <v>5</v>
      </c>
    </row>
    <row r="33" spans="9:27" ht="30.75" thickBot="1" x14ac:dyDescent="0.3">
      <c r="I33" s="51">
        <v>7</v>
      </c>
      <c r="J33" s="53" t="s">
        <v>738</v>
      </c>
      <c r="K33" s="52"/>
      <c r="L33" s="53" t="s">
        <v>754</v>
      </c>
      <c r="M33" s="52" t="s">
        <v>747</v>
      </c>
      <c r="N33" s="52" t="s">
        <v>736</v>
      </c>
      <c r="O33" s="52" t="s">
        <v>731</v>
      </c>
      <c r="P33" s="52" t="s">
        <v>742</v>
      </c>
      <c r="R33" s="58">
        <v>11</v>
      </c>
      <c r="S33" s="49" t="s">
        <v>755</v>
      </c>
      <c r="T33" s="60">
        <v>16</v>
      </c>
      <c r="U33" s="60">
        <v>35</v>
      </c>
      <c r="V33" s="60">
        <v>35</v>
      </c>
      <c r="W33" s="60">
        <v>15</v>
      </c>
      <c r="X33" s="60">
        <v>6</v>
      </c>
      <c r="Y33" s="62"/>
      <c r="Z33" s="62">
        <v>5</v>
      </c>
    </row>
    <row r="34" spans="9:27" ht="30.75" thickBot="1" x14ac:dyDescent="0.3">
      <c r="I34" s="51">
        <v>8</v>
      </c>
      <c r="J34" s="53" t="s">
        <v>756</v>
      </c>
      <c r="K34" s="52"/>
      <c r="L34" s="53" t="s">
        <v>757</v>
      </c>
      <c r="M34" s="52" t="s">
        <v>747</v>
      </c>
      <c r="N34" s="52" t="s">
        <v>736</v>
      </c>
      <c r="O34" s="52" t="s">
        <v>731</v>
      </c>
      <c r="P34" s="52" t="s">
        <v>742</v>
      </c>
      <c r="R34" s="58">
        <v>12</v>
      </c>
      <c r="S34" s="49" t="s">
        <v>758</v>
      </c>
      <c r="T34" s="60">
        <v>16</v>
      </c>
      <c r="U34" s="60">
        <v>25</v>
      </c>
      <c r="V34" s="60" t="s">
        <v>759</v>
      </c>
      <c r="W34" s="60">
        <v>30</v>
      </c>
      <c r="X34" s="59"/>
      <c r="Y34" s="61"/>
      <c r="Z34" s="61">
        <v>5</v>
      </c>
    </row>
    <row r="35" spans="9:27" ht="30.75" thickBot="1" x14ac:dyDescent="0.3">
      <c r="I35" s="51">
        <v>9</v>
      </c>
      <c r="J35" s="53" t="s">
        <v>760</v>
      </c>
      <c r="K35" s="52"/>
      <c r="L35" s="53" t="s">
        <v>761</v>
      </c>
      <c r="M35" s="52" t="s">
        <v>762</v>
      </c>
      <c r="N35" s="52" t="s">
        <v>736</v>
      </c>
      <c r="O35" s="52" t="s">
        <v>763</v>
      </c>
      <c r="P35" s="52" t="s">
        <v>751</v>
      </c>
      <c r="R35" s="58">
        <v>13</v>
      </c>
      <c r="S35" s="49" t="s">
        <v>764</v>
      </c>
      <c r="T35" s="60">
        <v>20</v>
      </c>
      <c r="U35" s="60">
        <v>10</v>
      </c>
      <c r="V35" s="60">
        <v>16</v>
      </c>
      <c r="W35" s="60">
        <v>29</v>
      </c>
      <c r="X35" s="60">
        <v>14</v>
      </c>
      <c r="Y35" s="62"/>
      <c r="Z35" s="62">
        <v>5</v>
      </c>
    </row>
    <row r="36" spans="9:27" ht="30.75" thickBot="1" x14ac:dyDescent="0.3">
      <c r="I36" s="51">
        <v>10</v>
      </c>
      <c r="J36" s="53" t="s">
        <v>752</v>
      </c>
      <c r="K36" s="52"/>
      <c r="L36" s="53" t="s">
        <v>765</v>
      </c>
      <c r="M36" s="52" t="s">
        <v>762</v>
      </c>
      <c r="N36" s="52" t="s">
        <v>736</v>
      </c>
      <c r="O36" s="52" t="s">
        <v>766</v>
      </c>
      <c r="P36" s="52" t="s">
        <v>742</v>
      </c>
      <c r="R36" s="251" t="s">
        <v>767</v>
      </c>
      <c r="S36" s="252"/>
      <c r="T36" s="61">
        <v>8</v>
      </c>
      <c r="U36" s="61">
        <v>19</v>
      </c>
      <c r="V36" s="61">
        <v>17</v>
      </c>
      <c r="W36" s="61">
        <v>11</v>
      </c>
      <c r="X36" s="61">
        <v>7</v>
      </c>
      <c r="Y36" s="61"/>
      <c r="Z36" s="61">
        <v>65</v>
      </c>
      <c r="AA36">
        <f>SUM(T36:X36)</f>
        <v>62</v>
      </c>
    </row>
    <row r="37" spans="9:27" ht="30.75" thickBot="1" x14ac:dyDescent="0.3">
      <c r="I37" s="51">
        <v>11</v>
      </c>
      <c r="J37" s="53" t="s">
        <v>768</v>
      </c>
      <c r="K37" s="53" t="s">
        <v>769</v>
      </c>
      <c r="L37" s="52"/>
      <c r="M37" s="52" t="s">
        <v>762</v>
      </c>
      <c r="N37" s="52" t="s">
        <v>736</v>
      </c>
      <c r="O37" s="52" t="s">
        <v>731</v>
      </c>
      <c r="P37" s="52" t="s">
        <v>725</v>
      </c>
      <c r="R37" s="251" t="s">
        <v>770</v>
      </c>
      <c r="S37" s="252"/>
      <c r="T37" s="61"/>
      <c r="U37" s="61"/>
      <c r="V37" s="61"/>
      <c r="W37" s="61"/>
      <c r="X37" s="61"/>
      <c r="Y37" s="61"/>
      <c r="Z37" s="61"/>
    </row>
    <row r="38" spans="9:27" ht="30.75" thickBot="1" x14ac:dyDescent="0.3">
      <c r="I38" s="51">
        <v>12</v>
      </c>
      <c r="J38" s="53" t="s">
        <v>771</v>
      </c>
      <c r="K38" s="52"/>
      <c r="L38" s="53" t="s">
        <v>772</v>
      </c>
      <c r="M38" s="52" t="s">
        <v>773</v>
      </c>
      <c r="N38" s="52" t="s">
        <v>736</v>
      </c>
      <c r="O38" s="52" t="s">
        <v>196</v>
      </c>
      <c r="P38" s="52" t="s">
        <v>742</v>
      </c>
      <c r="Z38">
        <f>SUM(Z26:Z35)</f>
        <v>51</v>
      </c>
    </row>
    <row r="39" spans="9:27" ht="30.75" thickBot="1" x14ac:dyDescent="0.3">
      <c r="I39" s="51">
        <v>13</v>
      </c>
      <c r="J39" s="53" t="s">
        <v>764</v>
      </c>
      <c r="K39" s="53" t="s">
        <v>774</v>
      </c>
      <c r="L39" s="52"/>
      <c r="M39" s="52" t="s">
        <v>773</v>
      </c>
      <c r="N39" s="52" t="s">
        <v>736</v>
      </c>
      <c r="O39" s="52" t="s">
        <v>731</v>
      </c>
      <c r="P39" s="52" t="s">
        <v>725</v>
      </c>
    </row>
    <row r="40" spans="9:27" ht="30.75" thickBot="1" x14ac:dyDescent="0.3">
      <c r="I40" s="51">
        <v>14</v>
      </c>
      <c r="J40" s="66" t="s">
        <v>775</v>
      </c>
      <c r="K40" s="66" t="s">
        <v>776</v>
      </c>
      <c r="L40" s="52"/>
      <c r="M40" s="52" t="s">
        <v>773</v>
      </c>
      <c r="N40" s="52" t="s">
        <v>730</v>
      </c>
      <c r="O40" s="52" t="s">
        <v>731</v>
      </c>
      <c r="P40" s="52" t="s">
        <v>725</v>
      </c>
    </row>
    <row r="41" spans="9:27" ht="30.75" thickBot="1" x14ac:dyDescent="0.3">
      <c r="I41" s="51">
        <v>15</v>
      </c>
      <c r="J41" s="52" t="s">
        <v>777</v>
      </c>
      <c r="K41" s="52"/>
      <c r="L41" s="52" t="s">
        <v>778</v>
      </c>
      <c r="M41" s="52" t="s">
        <v>773</v>
      </c>
      <c r="N41" s="52" t="s">
        <v>730</v>
      </c>
      <c r="O41" s="52" t="s">
        <v>731</v>
      </c>
      <c r="P41" s="52" t="s">
        <v>725</v>
      </c>
    </row>
  </sheetData>
  <mergeCells count="15">
    <mergeCell ref="B1:G1"/>
    <mergeCell ref="B2:G2"/>
    <mergeCell ref="I25:I26"/>
    <mergeCell ref="J25:J26"/>
    <mergeCell ref="K25:L25"/>
    <mergeCell ref="L1:Q1"/>
    <mergeCell ref="L2:Q2"/>
    <mergeCell ref="S1:X1"/>
    <mergeCell ref="S2:X2"/>
    <mergeCell ref="R37:S37"/>
    <mergeCell ref="M25:M26"/>
    <mergeCell ref="N25:N26"/>
    <mergeCell ref="O25:O26"/>
    <mergeCell ref="P25:P26"/>
    <mergeCell ref="R36:S36"/>
  </mergeCells>
  <conditionalFormatting sqref="I7">
    <cfRule type="duplicateValues" dxfId="7" priority="4"/>
  </conditionalFormatting>
  <conditionalFormatting sqref="I8">
    <cfRule type="duplicateValues" dxfId="6" priority="3"/>
  </conditionalFormatting>
  <conditionalFormatting sqref="B5:F14">
    <cfRule type="colorScale" priority="38">
      <colorScale>
        <cfvo type="min"/>
        <cfvo type="max"/>
        <color rgb="FFFCFCFF"/>
        <color rgb="FFF8696B"/>
      </colorScale>
    </cfRule>
  </conditionalFormatting>
  <conditionalFormatting sqref="L5:P14">
    <cfRule type="colorScale" priority="40">
      <colorScale>
        <cfvo type="min"/>
        <cfvo type="max"/>
        <color rgb="FFFCFCFF"/>
        <color rgb="FFF8696B"/>
      </colorScale>
    </cfRule>
  </conditionalFormatting>
  <conditionalFormatting sqref="S5:W14">
    <cfRule type="colorScale" priority="1">
      <colorScale>
        <cfvo type="min"/>
        <cfvo type="max"/>
        <color rgb="FFFCFCFF"/>
        <color rgb="FFF8696B"/>
      </colorScale>
    </cfRule>
  </conditionalFormatting>
  <pageMargins left="0.7" right="0.7" top="0.75" bottom="0.75" header="0.3" footer="0.3"/>
  <pageSetup fitToHeight="0"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Y164"/>
  <sheetViews>
    <sheetView topLeftCell="A61" zoomScale="70" zoomScaleNormal="70" workbookViewId="0">
      <pane xSplit="1" topLeftCell="B1" activePane="topRight" state="frozen"/>
      <selection activeCell="A8" sqref="A8"/>
      <selection pane="topRight" activeCell="B73" sqref="B73"/>
    </sheetView>
  </sheetViews>
  <sheetFormatPr defaultRowHeight="15" x14ac:dyDescent="0.25"/>
  <cols>
    <col min="1" max="1" width="36.140625" bestFit="1" customWidth="1"/>
    <col min="4" max="4" width="10.85546875" customWidth="1"/>
    <col min="6" max="6" width="17" customWidth="1"/>
    <col min="7" max="7" width="13.85546875" customWidth="1"/>
    <col min="8" max="8" width="13.85546875" bestFit="1" customWidth="1"/>
    <col min="10" max="10" width="12" customWidth="1"/>
    <col min="11" max="11" width="15.140625" customWidth="1"/>
    <col min="12" max="13" width="14.7109375" customWidth="1"/>
    <col min="15" max="15" width="14" customWidth="1"/>
    <col min="16" max="16" width="9.7109375" customWidth="1"/>
    <col min="17" max="17" width="6.140625" bestFit="1" customWidth="1"/>
    <col min="18" max="19" width="14" customWidth="1"/>
    <col min="21" max="21" width="15" bestFit="1" customWidth="1"/>
    <col min="24" max="24" width="14.42578125" bestFit="1" customWidth="1"/>
    <col min="28" max="28" width="15.42578125" customWidth="1"/>
    <col min="29" max="29" width="15.28515625" customWidth="1"/>
    <col min="30" max="30" width="15.85546875" customWidth="1"/>
    <col min="31" max="31" width="17.5703125" customWidth="1"/>
    <col min="32" max="32" width="15.28515625" customWidth="1"/>
    <col min="33" max="33" width="18.7109375" customWidth="1"/>
    <col min="35" max="35" width="33.140625" bestFit="1" customWidth="1"/>
    <col min="36" max="36" width="36.28515625" customWidth="1"/>
    <col min="37" max="37" width="9.140625" customWidth="1"/>
    <col min="38" max="38" width="9.7109375" bestFit="1" customWidth="1"/>
    <col min="39" max="39" width="13" bestFit="1" customWidth="1"/>
    <col min="40" max="40" width="10.7109375" bestFit="1" customWidth="1"/>
    <col min="41" max="41" width="9.28515625" bestFit="1" customWidth="1"/>
    <col min="42" max="42" width="30.5703125" bestFit="1" customWidth="1"/>
    <col min="43" max="44" width="26.85546875" bestFit="1" customWidth="1"/>
    <col min="45" max="46" width="25.28515625" bestFit="1" customWidth="1"/>
    <col min="47" max="47" width="24.42578125" bestFit="1" customWidth="1"/>
    <col min="48" max="48" width="28.7109375" bestFit="1" customWidth="1"/>
    <col min="49" max="49" width="9.28515625" bestFit="1" customWidth="1"/>
    <col min="50" max="50" width="11.5703125" bestFit="1" customWidth="1"/>
    <col min="57" max="57" width="14.5703125" bestFit="1" customWidth="1"/>
  </cols>
  <sheetData>
    <row r="1" spans="1:51" ht="15.75" thickBot="1" x14ac:dyDescent="0.3">
      <c r="B1" s="247" t="s">
        <v>779</v>
      </c>
      <c r="C1" s="247"/>
      <c r="D1" s="247"/>
      <c r="E1" s="247"/>
      <c r="F1" s="247"/>
      <c r="G1" s="247"/>
      <c r="H1" s="247"/>
      <c r="I1" s="247"/>
      <c r="J1" s="247"/>
      <c r="K1" s="247"/>
      <c r="L1" s="247"/>
      <c r="M1" s="247"/>
      <c r="N1" s="247"/>
      <c r="O1" s="247"/>
      <c r="P1" s="247"/>
      <c r="Q1" s="247"/>
      <c r="R1" s="247"/>
      <c r="S1" s="247"/>
      <c r="T1" s="247" t="s">
        <v>780</v>
      </c>
      <c r="U1" s="247"/>
      <c r="V1" s="247"/>
      <c r="W1" s="247"/>
      <c r="X1" s="247"/>
      <c r="Y1" s="247"/>
      <c r="Z1" s="29"/>
      <c r="AB1" s="247" t="s">
        <v>781</v>
      </c>
      <c r="AC1" s="247"/>
      <c r="AD1" s="247"/>
      <c r="AE1" s="247"/>
      <c r="AF1" s="247"/>
      <c r="AG1" s="247"/>
      <c r="AK1" s="247" t="s">
        <v>876</v>
      </c>
      <c r="AL1" s="247"/>
      <c r="AM1" s="247"/>
      <c r="AN1" s="247"/>
      <c r="AO1" s="247"/>
      <c r="AP1" s="247"/>
    </row>
    <row r="2" spans="1:51" ht="16.5" thickTop="1" thickBot="1" x14ac:dyDescent="0.3">
      <c r="A2" s="3"/>
      <c r="B2" s="248" t="s">
        <v>782</v>
      </c>
      <c r="C2" s="249"/>
      <c r="D2" s="249"/>
      <c r="E2" s="249"/>
      <c r="F2" s="249"/>
      <c r="G2" s="250"/>
      <c r="H2" s="248" t="s">
        <v>783</v>
      </c>
      <c r="I2" s="249"/>
      <c r="J2" s="249"/>
      <c r="K2" s="249"/>
      <c r="L2" s="249"/>
      <c r="M2" s="250"/>
      <c r="N2" s="257" t="s">
        <v>784</v>
      </c>
      <c r="O2" s="258"/>
      <c r="P2" s="258"/>
      <c r="Q2" s="258"/>
      <c r="R2" s="258"/>
      <c r="S2" s="259"/>
      <c r="T2" s="257" t="s">
        <v>785</v>
      </c>
      <c r="U2" s="258"/>
      <c r="V2" s="258"/>
      <c r="W2" s="258"/>
      <c r="X2" s="258"/>
      <c r="Y2" s="131"/>
      <c r="Z2" s="30"/>
      <c r="AB2" s="257" t="s">
        <v>785</v>
      </c>
      <c r="AC2" s="258"/>
      <c r="AD2" s="258"/>
      <c r="AE2" s="258"/>
      <c r="AF2" s="258"/>
      <c r="AG2" s="131"/>
    </row>
    <row r="3" spans="1:51" s="4" customFormat="1" ht="48.75" customHeight="1" thickBot="1" x14ac:dyDescent="0.3">
      <c r="A3" s="17" t="s">
        <v>786</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c r="AK3" s="6" t="s">
        <v>154</v>
      </c>
      <c r="AL3" s="5" t="s">
        <v>193</v>
      </c>
      <c r="AM3" s="5" t="s">
        <v>251</v>
      </c>
      <c r="AN3" s="5" t="s">
        <v>273</v>
      </c>
      <c r="AO3" s="5" t="s">
        <v>330</v>
      </c>
      <c r="AP3" s="37" t="s">
        <v>700</v>
      </c>
      <c r="AQ3" s="38" t="s">
        <v>787</v>
      </c>
      <c r="AR3"/>
      <c r="AS3" s="6" t="s">
        <v>154</v>
      </c>
      <c r="AT3" s="5" t="s">
        <v>193</v>
      </c>
      <c r="AU3" s="5" t="s">
        <v>251</v>
      </c>
      <c r="AV3" s="5" t="s">
        <v>273</v>
      </c>
      <c r="AW3" s="5" t="s">
        <v>330</v>
      </c>
      <c r="AX3" s="5" t="s">
        <v>888</v>
      </c>
      <c r="AY3"/>
    </row>
    <row r="4" spans="1:51" s="4" customFormat="1" ht="48.75" customHeight="1" thickBot="1" x14ac:dyDescent="0.3">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51" x14ac:dyDescent="0.25">
      <c r="A5" s="18" t="s">
        <v>179</v>
      </c>
      <c r="B5" s="8">
        <f>COUNTIFS(tbl_data[T1],A5,tbl_data[12. Consultation Group of],$B$3)</f>
        <v>0</v>
      </c>
      <c r="C5" s="9">
        <f>COUNTIFS(tbl_data[T1],$A5,tbl_data[12. Consultation Group of],$C$3)</f>
        <v>0</v>
      </c>
      <c r="D5" s="9">
        <f>COUNTIFS(tbl_data[T1],$A5,tbl_data[12. Consultation Group of],$D$3)</f>
        <v>0</v>
      </c>
      <c r="E5" s="9">
        <f>COUNTIFS(tbl_data[T1],$A5,tbl_data[12. Consultation Group of],$E$3)</f>
        <v>0</v>
      </c>
      <c r="F5" s="9">
        <f>COUNTIFS(tbl_data[T1],$A5,tbl_data[12. Consultation Group of],$F$3)</f>
        <v>0</v>
      </c>
      <c r="G5" s="10">
        <f>SUM(B5:F5)</f>
        <v>0</v>
      </c>
      <c r="H5" s="8">
        <f>COUNTIFS(tbl_data[T2],A5,tbl_data[12. Consultation Group of],$H$3)</f>
        <v>1</v>
      </c>
      <c r="I5" s="9">
        <f>COUNTIFS(tbl_data[T2],$A5,tbl_data[12. Consultation Group of],$I$3)</f>
        <v>2</v>
      </c>
      <c r="J5" s="9">
        <f>COUNTIFS(tbl_data[T2],$A5,tbl_data[12. Consultation Group of],$J$3)</f>
        <v>0</v>
      </c>
      <c r="K5" s="9">
        <f>COUNTIFS(tbl_data[T2],$A5,tbl_data[12. Consultation Group of],$K$3)</f>
        <v>2</v>
      </c>
      <c r="L5" s="9">
        <f>COUNTIFS(tbl_data[T2],$A5,tbl_data[12. Consultation Group of],$L$3)</f>
        <v>0</v>
      </c>
      <c r="M5" s="10">
        <f>SUM(H5:L5)</f>
        <v>5</v>
      </c>
      <c r="N5" s="8">
        <f>COUNTIFS(tbl_data[T3],$A5,tbl_data[12. Consultation Group of],$N$3)</f>
        <v>0</v>
      </c>
      <c r="O5" s="9">
        <f>COUNTIFS(tbl_data[T3],$A5,tbl_data[12. Consultation Group of],$O$3)</f>
        <v>0</v>
      </c>
      <c r="P5" s="9">
        <f>COUNTIFS(tbl_data[T3],$A5,tbl_data[12. Consultation Group of],$P$3)</f>
        <v>0</v>
      </c>
      <c r="Q5" s="9">
        <f>COUNTIFS(tbl_data[T3],$A5,tbl_data[12. Consultation Group of],$Q$3)</f>
        <v>1</v>
      </c>
      <c r="R5" s="9">
        <f>COUNTIFS(tbl_data[T3],$A5,tbl_data[12. Consultation Group of],$R$3)</f>
        <v>0</v>
      </c>
      <c r="S5" s="10">
        <f>SUM(N5:R5)</f>
        <v>1</v>
      </c>
      <c r="T5" s="8">
        <f t="shared" ref="T5:T42" si="0">B5*3+H5*2+N5*1</f>
        <v>2</v>
      </c>
      <c r="U5" s="9">
        <f t="shared" ref="U5:U42" si="1">C5*3+I5*2+O5*1</f>
        <v>4</v>
      </c>
      <c r="V5" s="9">
        <f t="shared" ref="V5:V42" si="2">D5*3+J5*2+P5*1</f>
        <v>0</v>
      </c>
      <c r="W5" s="9">
        <f t="shared" ref="W5:W42" si="3">E5*3+K5*2+Q5*1</f>
        <v>5</v>
      </c>
      <c r="X5" s="9">
        <f t="shared" ref="X5:X42" si="4">F5*3+L5*2+R5*1</f>
        <v>0</v>
      </c>
      <c r="Y5" s="10">
        <f>SUM(T5:X5)</f>
        <v>11</v>
      </c>
      <c r="Z5" s="32"/>
      <c r="AB5" s="146">
        <f>T5/T$45</f>
        <v>0.11764705882352941</v>
      </c>
      <c r="AC5" s="146">
        <f t="shared" ref="AC5:AF5" si="5">U5/U$45</f>
        <v>0.5714285714285714</v>
      </c>
      <c r="AD5" s="146">
        <f t="shared" si="5"/>
        <v>0</v>
      </c>
      <c r="AE5" s="146">
        <f t="shared" si="5"/>
        <v>0.26315789473684209</v>
      </c>
      <c r="AF5" s="146">
        <f t="shared" si="5"/>
        <v>0</v>
      </c>
      <c r="AG5" s="146">
        <f>Y5/Y$45</f>
        <v>0.22916666666666666</v>
      </c>
      <c r="AH5" s="32"/>
      <c r="AI5" s="24" t="str">
        <f>A5</f>
        <v>Alcoholism</v>
      </c>
      <c r="AJ5" t="str">
        <f>INDEX(tbl_threat_catg[Category],MATCH(AI5,tbl_threat_catg[Threat],0),1)</f>
        <v>Social</v>
      </c>
      <c r="AK5" s="151">
        <f>(T5-MIN(T$5:T$42))/(MAX(T$5:T$42)-MIN(T$5:T$42))</f>
        <v>0.11764705882352941</v>
      </c>
      <c r="AL5" s="151">
        <f>(U5-MIN(U$5:U$42))/(MAX(U$5:U$42)-MIN(U$5:U$42))</f>
        <v>0.5714285714285714</v>
      </c>
      <c r="AM5" s="151">
        <f t="shared" ref="AM5:AO20" si="6">(V5-MIN(V$5:V$42))/(MAX(V$5:V$42)-MIN(V$5:V$42))</f>
        <v>0</v>
      </c>
      <c r="AN5" s="151">
        <f t="shared" si="6"/>
        <v>0.26315789473684209</v>
      </c>
      <c r="AO5" s="151">
        <f t="shared" si="6"/>
        <v>0</v>
      </c>
      <c r="AP5" s="151">
        <f>SUM(AK5:AO5)</f>
        <v>0.95223352498894287</v>
      </c>
      <c r="AQ5" s="150">
        <f>(AP5-MIN(AP$5:AP$42))/(MAX(AP$5:AP$42)-MIN(AP$5:AP$42))</f>
        <v>0.2474143874971271</v>
      </c>
      <c r="AS5" s="157" t="str">
        <f>IF((T5=$Y5),IF(T5&gt;0,"UNIQUE",""),"")</f>
        <v/>
      </c>
      <c r="AT5" s="158" t="str">
        <f t="shared" ref="AT5:AW5" si="7">IF((U5=$Y5),IF(U5&gt;0,"UNIQUE",""),"")</f>
        <v/>
      </c>
      <c r="AU5" s="158" t="str">
        <f t="shared" si="7"/>
        <v/>
      </c>
      <c r="AV5" s="158" t="str">
        <f t="shared" si="7"/>
        <v/>
      </c>
      <c r="AW5" s="159" t="str">
        <f t="shared" si="7"/>
        <v/>
      </c>
      <c r="AX5" s="166" t="b">
        <f>AND(T5&gt;0,U5&gt;0,V5&gt;0,W5&gt;0,X5&gt;0,Y5&gt;0)</f>
        <v>0</v>
      </c>
    </row>
    <row r="6" spans="1:51" x14ac:dyDescent="0.25">
      <c r="A6" s="18" t="s">
        <v>577</v>
      </c>
      <c r="B6" s="8">
        <f>COUNTIFS(tbl_data[T1],A6,tbl_data[12. Consultation Group of],$B$3)</f>
        <v>0</v>
      </c>
      <c r="C6" s="9">
        <f>COUNTIFS(tbl_data[T1],$A6,tbl_data[12. Consultation Group of],$C$3)</f>
        <v>0</v>
      </c>
      <c r="D6" s="9">
        <f>COUNTIFS(tbl_data[T1],$A6,tbl_data[12. Consultation Group of],$D$3)</f>
        <v>0</v>
      </c>
      <c r="E6" s="9">
        <f>COUNTIFS(tbl_data[T1],$A6,tbl_data[12. Consultation Group of],$E$3)</f>
        <v>0</v>
      </c>
      <c r="F6" s="9">
        <f>COUNTIFS(tbl_data[T1],$A6,tbl_data[12. Consultation Group of],$F$3)</f>
        <v>0</v>
      </c>
      <c r="G6" s="13">
        <f t="shared" ref="G6:G42" si="8">SUM(B6:F6)</f>
        <v>0</v>
      </c>
      <c r="H6" s="8">
        <f>COUNTIFS(tbl_data[T2],A6,tbl_data[12. Consultation Group of],$H$3)</f>
        <v>0</v>
      </c>
      <c r="I6" s="9">
        <f>COUNTIFS(tbl_data[T2],$A6,tbl_data[12. Consultation Group of],$I$3)</f>
        <v>0</v>
      </c>
      <c r="J6" s="9">
        <f>COUNTIFS(tbl_data[T2],$A6,tbl_data[12. Consultation Group of],$J$3)</f>
        <v>0</v>
      </c>
      <c r="K6" s="9">
        <f>COUNTIFS(tbl_data[T2],$A6,tbl_data[12. Consultation Group of],$K$3)</f>
        <v>0</v>
      </c>
      <c r="L6" s="9">
        <f>COUNTIFS(tbl_data[T2],$A6,tbl_data[12. Consultation Group of],$L$3)</f>
        <v>0</v>
      </c>
      <c r="M6" s="13">
        <f t="shared" ref="M6:M42" si="9">SUM(H6:L6)</f>
        <v>0</v>
      </c>
      <c r="N6" s="8">
        <f>COUNTIFS(tbl_data[T3],$A6,tbl_data[12. Consultation Group of],$N$3)</f>
        <v>0</v>
      </c>
      <c r="O6" s="9">
        <f>COUNTIFS(tbl_data[T3],$A6,tbl_data[12. Consultation Group of],$O$3)</f>
        <v>0</v>
      </c>
      <c r="P6" s="9">
        <f>COUNTIFS(tbl_data[T3],$A6,tbl_data[12. Consultation Group of],$P$3)</f>
        <v>0</v>
      </c>
      <c r="Q6" s="9">
        <f>COUNTIFS(tbl_data[T3],$A6,tbl_data[12. Consultation Group of],$Q$3)</f>
        <v>1</v>
      </c>
      <c r="R6" s="9">
        <f>COUNTIFS(tbl_data[T3],$A6,tbl_data[12. Consultation Group of],$R$3)</f>
        <v>0</v>
      </c>
      <c r="S6" s="13">
        <f t="shared" ref="S6:S42" si="10">SUM(N6:R6)</f>
        <v>1</v>
      </c>
      <c r="T6" s="11">
        <f t="shared" si="0"/>
        <v>0</v>
      </c>
      <c r="U6" s="12">
        <f t="shared" si="1"/>
        <v>0</v>
      </c>
      <c r="V6" s="12">
        <f t="shared" si="2"/>
        <v>0</v>
      </c>
      <c r="W6" s="12">
        <f t="shared" si="3"/>
        <v>1</v>
      </c>
      <c r="X6" s="12">
        <f t="shared" si="4"/>
        <v>0</v>
      </c>
      <c r="Y6" s="13">
        <f t="shared" ref="Y6:Y42" si="11">SUM(T6:X6)</f>
        <v>1</v>
      </c>
      <c r="Z6" s="32"/>
      <c r="AB6" s="146">
        <f t="shared" ref="AB6:AB42" si="12">T6/T$45</f>
        <v>0</v>
      </c>
      <c r="AC6" s="146">
        <f t="shared" ref="AC6:AC42" si="13">U6/U$45</f>
        <v>0</v>
      </c>
      <c r="AD6" s="146">
        <f t="shared" ref="AD6:AD42" si="14">V6/V$45</f>
        <v>0</v>
      </c>
      <c r="AE6" s="146">
        <f t="shared" ref="AE6:AE42" si="15">W6/W$45</f>
        <v>5.2631578947368418E-2</v>
      </c>
      <c r="AF6" s="146">
        <f t="shared" ref="AF6:AF42" si="16">X6/X$45</f>
        <v>0</v>
      </c>
      <c r="AG6" s="146">
        <f t="shared" ref="AG6:AG42" si="17">Y6/Y$45</f>
        <v>2.0833333333333332E-2</v>
      </c>
      <c r="AH6" s="32"/>
      <c r="AI6" s="24" t="str">
        <f t="shared" ref="AI6:AI42" si="18">A6</f>
        <v>Child Abuse and Exploitation</v>
      </c>
      <c r="AJ6" t="str">
        <f>INDEX(tbl_threat_catg[Category],MATCH(AI6,tbl_threat_catg[Threat],0),1)</f>
        <v>Social</v>
      </c>
      <c r="AK6" s="151">
        <f t="shared" ref="AK6:AL42" si="19">(T6-MIN(T$5:T$42))/(MAX(T$5:T$42)-MIN(T$5:T$42))</f>
        <v>0</v>
      </c>
      <c r="AL6" s="151">
        <f t="shared" si="19"/>
        <v>0</v>
      </c>
      <c r="AM6" s="151">
        <f t="shared" si="6"/>
        <v>0</v>
      </c>
      <c r="AN6" s="151">
        <f t="shared" si="6"/>
        <v>5.2631578947368418E-2</v>
      </c>
      <c r="AO6" s="151">
        <f t="shared" si="6"/>
        <v>0</v>
      </c>
      <c r="AP6" s="151">
        <f t="shared" ref="AP6:AP42" si="20">SUM(AK6:AO6)</f>
        <v>5.2631578947368418E-2</v>
      </c>
      <c r="AQ6" s="150">
        <f t="shared" ref="AQ6:AQ42" si="21">(AP6-MIN(AP$5:AP$42))/(MAX(AP$5:AP$42)-MIN(AP$5:AP$42))</f>
        <v>1.3675017237416686E-2</v>
      </c>
      <c r="AS6" s="160" t="str">
        <f t="shared" ref="AS6:AS42" si="22">IF((T6=$Y6),IF(T6&gt;0,"UNIQUE",""),"")</f>
        <v/>
      </c>
      <c r="AT6" s="161" t="str">
        <f t="shared" ref="AT6:AT42" si="23">IF((U6=$Y6),IF(U6&gt;0,"UNIQUE",""),"")</f>
        <v/>
      </c>
      <c r="AU6" s="161" t="str">
        <f t="shared" ref="AU6:AU42" si="24">IF((V6=$Y6),IF(V6&gt;0,"UNIQUE",""),"")</f>
        <v/>
      </c>
      <c r="AV6" s="161" t="str">
        <f t="shared" ref="AV6:AV42" si="25">IF((W6=$Y6),IF(W6&gt;0,"UNIQUE",""),"")</f>
        <v>UNIQUE</v>
      </c>
      <c r="AW6" s="162" t="str">
        <f t="shared" ref="AW6:AW42" si="26">IF((X6=$Y6),IF(X6&gt;0,"UNIQUE",""),"")</f>
        <v/>
      </c>
      <c r="AX6" s="167" t="b">
        <f t="shared" ref="AX6:AX42" si="27">AND(T6&gt;0,U6&gt;0,V6&gt;0,W6&gt;0,X6&gt;0,Y6&gt;0)</f>
        <v>0</v>
      </c>
    </row>
    <row r="7" spans="1:51" x14ac:dyDescent="0.25">
      <c r="A7" s="18" t="s">
        <v>216</v>
      </c>
      <c r="B7" s="8">
        <f>COUNTIFS(tbl_data[T1],A7,tbl_data[12. Consultation Group of],$B$3)</f>
        <v>0</v>
      </c>
      <c r="C7" s="9">
        <f>COUNTIFS(tbl_data[T1],$A7,tbl_data[12. Consultation Group of],$C$3)</f>
        <v>0</v>
      </c>
      <c r="D7" s="9">
        <f>COUNTIFS(tbl_data[T1],$A7,tbl_data[12. Consultation Group of],$D$3)</f>
        <v>0</v>
      </c>
      <c r="E7" s="9">
        <f>COUNTIFS(tbl_data[T1],$A7,tbl_data[12. Consultation Group of],$E$3)</f>
        <v>0</v>
      </c>
      <c r="F7" s="9">
        <f>COUNTIFS(tbl_data[T1],$A7,tbl_data[12. Consultation Group of],$F$3)</f>
        <v>0</v>
      </c>
      <c r="G7" s="13">
        <f t="shared" si="8"/>
        <v>0</v>
      </c>
      <c r="H7" s="8">
        <f>COUNTIFS(tbl_data[T2],A7,tbl_data[12. Consultation Group of],$H$3)</f>
        <v>0</v>
      </c>
      <c r="I7" s="9">
        <f>COUNTIFS(tbl_data[T2],$A7,tbl_data[12. Consultation Group of],$I$3)</f>
        <v>0</v>
      </c>
      <c r="J7" s="9">
        <f>COUNTIFS(tbl_data[T2],$A7,tbl_data[12. Consultation Group of],$J$3)</f>
        <v>0</v>
      </c>
      <c r="K7" s="9">
        <f>COUNTIFS(tbl_data[T2],$A7,tbl_data[12. Consultation Group of],$K$3)</f>
        <v>0</v>
      </c>
      <c r="L7" s="9">
        <f>COUNTIFS(tbl_data[T2],$A7,tbl_data[12. Consultation Group of],$L$3)</f>
        <v>0</v>
      </c>
      <c r="M7" s="13">
        <f t="shared" si="9"/>
        <v>0</v>
      </c>
      <c r="N7" s="8">
        <f>COUNTIFS(tbl_data[T3],$A7,tbl_data[12. Consultation Group of],$N$3)</f>
        <v>1</v>
      </c>
      <c r="O7" s="9">
        <f>COUNTIFS(tbl_data[T3],$A7,tbl_data[12. Consultation Group of],$O$3)</f>
        <v>0</v>
      </c>
      <c r="P7" s="9">
        <f>COUNTIFS(tbl_data[T3],$A7,tbl_data[12. Consultation Group of],$P$3)</f>
        <v>0</v>
      </c>
      <c r="Q7" s="9">
        <f>COUNTIFS(tbl_data[T3],$A7,tbl_data[12. Consultation Group of],$Q$3)</f>
        <v>0</v>
      </c>
      <c r="R7" s="9">
        <f>COUNTIFS(tbl_data[T3],$A7,tbl_data[12. Consultation Group of],$R$3)</f>
        <v>0</v>
      </c>
      <c r="S7" s="13">
        <f t="shared" si="10"/>
        <v>1</v>
      </c>
      <c r="T7" s="11">
        <f t="shared" si="0"/>
        <v>1</v>
      </c>
      <c r="U7" s="12">
        <f t="shared" si="1"/>
        <v>0</v>
      </c>
      <c r="V7" s="12">
        <f t="shared" si="2"/>
        <v>0</v>
      </c>
      <c r="W7" s="12">
        <f t="shared" si="3"/>
        <v>0</v>
      </c>
      <c r="X7" s="12">
        <f t="shared" si="4"/>
        <v>0</v>
      </c>
      <c r="Y7" s="13">
        <f t="shared" si="11"/>
        <v>1</v>
      </c>
      <c r="Z7" s="32"/>
      <c r="AB7" s="146">
        <f t="shared" si="12"/>
        <v>5.8823529411764705E-2</v>
      </c>
      <c r="AC7" s="146">
        <f t="shared" si="13"/>
        <v>0</v>
      </c>
      <c r="AD7" s="146">
        <f t="shared" si="14"/>
        <v>0</v>
      </c>
      <c r="AE7" s="146">
        <f t="shared" si="15"/>
        <v>0</v>
      </c>
      <c r="AF7" s="146">
        <f t="shared" si="16"/>
        <v>0</v>
      </c>
      <c r="AG7" s="146">
        <f t="shared" si="17"/>
        <v>2.0833333333333332E-2</v>
      </c>
      <c r="AH7" s="32"/>
      <c r="AI7" s="24" t="str">
        <f t="shared" si="18"/>
        <v>Climate Change</v>
      </c>
      <c r="AJ7" t="str">
        <f>INDEX(tbl_threat_catg[Category],MATCH(AI7,tbl_threat_catg[Threat],0),1)</f>
        <v>Natural</v>
      </c>
      <c r="AK7" s="151">
        <f t="shared" si="19"/>
        <v>5.8823529411764705E-2</v>
      </c>
      <c r="AL7" s="151">
        <f t="shared" si="19"/>
        <v>0</v>
      </c>
      <c r="AM7" s="151">
        <f t="shared" si="6"/>
        <v>0</v>
      </c>
      <c r="AN7" s="151">
        <f t="shared" si="6"/>
        <v>0</v>
      </c>
      <c r="AO7" s="151">
        <f t="shared" si="6"/>
        <v>0</v>
      </c>
      <c r="AP7" s="151">
        <f t="shared" si="20"/>
        <v>5.8823529411764705E-2</v>
      </c>
      <c r="AQ7" s="150">
        <f t="shared" si="21"/>
        <v>1.5283842794759826E-2</v>
      </c>
      <c r="AS7" s="160" t="str">
        <f t="shared" si="22"/>
        <v>UNIQUE</v>
      </c>
      <c r="AT7" s="161" t="str">
        <f t="shared" si="23"/>
        <v/>
      </c>
      <c r="AU7" s="161" t="str">
        <f t="shared" si="24"/>
        <v/>
      </c>
      <c r="AV7" s="161" t="str">
        <f t="shared" si="25"/>
        <v/>
      </c>
      <c r="AW7" s="162" t="str">
        <f t="shared" si="26"/>
        <v/>
      </c>
      <c r="AX7" s="167" t="b">
        <f t="shared" si="27"/>
        <v>0</v>
      </c>
    </row>
    <row r="8" spans="1:51" x14ac:dyDescent="0.25">
      <c r="A8" s="130" t="s">
        <v>243</v>
      </c>
      <c r="B8" s="8">
        <f>COUNTIFS(tbl_data[T1],A8,tbl_data[12. Consultation Group of],$B$3)</f>
        <v>0</v>
      </c>
      <c r="C8" s="9">
        <f>COUNTIFS(tbl_data[T1],$A8,tbl_data[12. Consultation Group of],$C$3)</f>
        <v>0</v>
      </c>
      <c r="D8" s="9">
        <f>COUNTIFS(tbl_data[T1],$A8,tbl_data[12. Consultation Group of],$D$3)</f>
        <v>0</v>
      </c>
      <c r="E8" s="9">
        <f>COUNTIFS(tbl_data[T1],$A8,tbl_data[12. Consultation Group of],$E$3)</f>
        <v>0</v>
      </c>
      <c r="F8" s="9">
        <f>COUNTIFS(tbl_data[T1],$A8,tbl_data[12. Consultation Group of],$F$3)</f>
        <v>0</v>
      </c>
      <c r="G8" s="13">
        <f t="shared" si="8"/>
        <v>0</v>
      </c>
      <c r="H8" s="8">
        <f>COUNTIFS(tbl_data[T2],A8,tbl_data[12. Consultation Group of],$H$3)</f>
        <v>0</v>
      </c>
      <c r="I8" s="9">
        <f>COUNTIFS(tbl_data[T2],$A8,tbl_data[12. Consultation Group of],$I$3)</f>
        <v>0</v>
      </c>
      <c r="J8" s="9">
        <f>COUNTIFS(tbl_data[T2],$A8,tbl_data[12. Consultation Group of],$J$3)</f>
        <v>0</v>
      </c>
      <c r="K8" s="9">
        <f>COUNTIFS(tbl_data[T2],$A8,tbl_data[12. Consultation Group of],$K$3)</f>
        <v>0</v>
      </c>
      <c r="L8" s="9">
        <f>COUNTIFS(tbl_data[T2],$A8,tbl_data[12. Consultation Group of],$L$3)</f>
        <v>0</v>
      </c>
      <c r="M8" s="13">
        <f t="shared" si="9"/>
        <v>0</v>
      </c>
      <c r="N8" s="8">
        <f>COUNTIFS(tbl_data[T3],$A8,tbl_data[12. Consultation Group of],$N$3)</f>
        <v>0</v>
      </c>
      <c r="O8" s="9">
        <f>COUNTIFS(tbl_data[T3],$A8,tbl_data[12. Consultation Group of],$O$3)</f>
        <v>0</v>
      </c>
      <c r="P8" s="9">
        <f>COUNTIFS(tbl_data[T3],$A8,tbl_data[12. Consultation Group of],$P$3)</f>
        <v>0</v>
      </c>
      <c r="Q8" s="9">
        <f>COUNTIFS(tbl_data[T3],$A8,tbl_data[12. Consultation Group of],$Q$3)</f>
        <v>0</v>
      </c>
      <c r="R8" s="9">
        <f>COUNTIFS(tbl_data[T3],$A8,tbl_data[12. Consultation Group of],$R$3)</f>
        <v>0</v>
      </c>
      <c r="S8" s="13">
        <f t="shared" si="10"/>
        <v>0</v>
      </c>
      <c r="T8" s="11">
        <f t="shared" si="0"/>
        <v>0</v>
      </c>
      <c r="U8" s="12">
        <f t="shared" si="1"/>
        <v>0</v>
      </c>
      <c r="V8" s="12">
        <f t="shared" si="2"/>
        <v>0</v>
      </c>
      <c r="W8" s="12">
        <f t="shared" si="3"/>
        <v>0</v>
      </c>
      <c r="X8" s="12">
        <f t="shared" si="4"/>
        <v>0</v>
      </c>
      <c r="Y8" s="13">
        <f t="shared" si="11"/>
        <v>0</v>
      </c>
      <c r="Z8" s="32"/>
      <c r="AB8" s="146">
        <f t="shared" si="12"/>
        <v>0</v>
      </c>
      <c r="AC8" s="146">
        <f t="shared" si="13"/>
        <v>0</v>
      </c>
      <c r="AD8" s="146">
        <f t="shared" si="14"/>
        <v>0</v>
      </c>
      <c r="AE8" s="146">
        <f t="shared" si="15"/>
        <v>0</v>
      </c>
      <c r="AF8" s="146">
        <f t="shared" si="16"/>
        <v>0</v>
      </c>
      <c r="AG8" s="146">
        <f t="shared" si="17"/>
        <v>0</v>
      </c>
      <c r="AH8" s="32"/>
      <c r="AI8" s="24" t="str">
        <f t="shared" si="18"/>
        <v>Conflict/Insecurity</v>
      </c>
      <c r="AJ8" t="str">
        <f>INDEX(tbl_threat_catg[Category],MATCH(AI8,tbl_threat_catg[Threat],0),1)</f>
        <v>Social</v>
      </c>
      <c r="AK8" s="151">
        <f t="shared" si="19"/>
        <v>0</v>
      </c>
      <c r="AL8" s="151">
        <f t="shared" si="19"/>
        <v>0</v>
      </c>
      <c r="AM8" s="151">
        <f t="shared" si="6"/>
        <v>0</v>
      </c>
      <c r="AN8" s="151">
        <f t="shared" si="6"/>
        <v>0</v>
      </c>
      <c r="AO8" s="151">
        <f t="shared" si="6"/>
        <v>0</v>
      </c>
      <c r="AP8" s="151">
        <f t="shared" si="20"/>
        <v>0</v>
      </c>
      <c r="AQ8" s="150">
        <f t="shared" si="21"/>
        <v>0</v>
      </c>
      <c r="AS8" s="160" t="str">
        <f t="shared" si="22"/>
        <v/>
      </c>
      <c r="AT8" s="161" t="str">
        <f t="shared" si="23"/>
        <v/>
      </c>
      <c r="AU8" s="161" t="str">
        <f t="shared" si="24"/>
        <v/>
      </c>
      <c r="AV8" s="161" t="str">
        <f t="shared" si="25"/>
        <v/>
      </c>
      <c r="AW8" s="162" t="str">
        <f t="shared" si="26"/>
        <v/>
      </c>
      <c r="AX8" s="167" t="b">
        <f t="shared" si="27"/>
        <v>0</v>
      </c>
    </row>
    <row r="9" spans="1:51" x14ac:dyDescent="0.25">
      <c r="A9" s="18" t="s">
        <v>287</v>
      </c>
      <c r="B9" s="8">
        <f>COUNTIFS(tbl_data[T1],A9,tbl_data[12. Consultation Group of],$B$3)</f>
        <v>0</v>
      </c>
      <c r="C9" s="9">
        <f>COUNTIFS(tbl_data[T1],$A9,tbl_data[12. Consultation Group of],$C$3)</f>
        <v>1</v>
      </c>
      <c r="D9" s="9">
        <f>COUNTIFS(tbl_data[T1],$A9,tbl_data[12. Consultation Group of],$D$3)</f>
        <v>0</v>
      </c>
      <c r="E9" s="9">
        <f>COUNTIFS(tbl_data[T1],$A9,tbl_data[12. Consultation Group of],$E$3)</f>
        <v>0</v>
      </c>
      <c r="F9" s="9">
        <f>COUNTIFS(tbl_data[T1],$A9,tbl_data[12. Consultation Group of],$F$3)</f>
        <v>0</v>
      </c>
      <c r="G9" s="13">
        <f t="shared" si="8"/>
        <v>1</v>
      </c>
      <c r="H9" s="8">
        <f>COUNTIFS(tbl_data[T2],A9,tbl_data[12. Consultation Group of],$H$3)</f>
        <v>0</v>
      </c>
      <c r="I9" s="9">
        <f>COUNTIFS(tbl_data[T2],$A9,tbl_data[12. Consultation Group of],$I$3)</f>
        <v>0</v>
      </c>
      <c r="J9" s="9">
        <f>COUNTIFS(tbl_data[T2],$A9,tbl_data[12. Consultation Group of],$J$3)</f>
        <v>0</v>
      </c>
      <c r="K9" s="9">
        <f>COUNTIFS(tbl_data[T2],$A9,tbl_data[12. Consultation Group of],$K$3)</f>
        <v>0</v>
      </c>
      <c r="L9" s="9">
        <f>COUNTIFS(tbl_data[T2],$A9,tbl_data[12. Consultation Group of],$L$3)</f>
        <v>0</v>
      </c>
      <c r="M9" s="13">
        <f t="shared" si="9"/>
        <v>0</v>
      </c>
      <c r="N9" s="8">
        <f>COUNTIFS(tbl_data[T3],$A9,tbl_data[12. Consultation Group of],$N$3)</f>
        <v>0</v>
      </c>
      <c r="O9" s="9">
        <f>COUNTIFS(tbl_data[T3],$A9,tbl_data[12. Consultation Group of],$O$3)</f>
        <v>0</v>
      </c>
      <c r="P9" s="9">
        <f>COUNTIFS(tbl_data[T3],$A9,tbl_data[12. Consultation Group of],$P$3)</f>
        <v>0</v>
      </c>
      <c r="Q9" s="9">
        <f>COUNTIFS(tbl_data[T3],$A9,tbl_data[12. Consultation Group of],$Q$3)</f>
        <v>0</v>
      </c>
      <c r="R9" s="9">
        <f>COUNTIFS(tbl_data[T3],$A9,tbl_data[12. Consultation Group of],$R$3)</f>
        <v>0</v>
      </c>
      <c r="S9" s="13">
        <f t="shared" si="10"/>
        <v>0</v>
      </c>
      <c r="T9" s="11">
        <f t="shared" si="0"/>
        <v>0</v>
      </c>
      <c r="U9" s="12">
        <f t="shared" si="1"/>
        <v>3</v>
      </c>
      <c r="V9" s="12">
        <f t="shared" si="2"/>
        <v>0</v>
      </c>
      <c r="W9" s="12">
        <f t="shared" si="3"/>
        <v>0</v>
      </c>
      <c r="X9" s="12">
        <f t="shared" si="4"/>
        <v>0</v>
      </c>
      <c r="Y9" s="13">
        <f t="shared" si="11"/>
        <v>3</v>
      </c>
      <c r="Z9" s="32"/>
      <c r="AB9" s="146">
        <f t="shared" si="12"/>
        <v>0</v>
      </c>
      <c r="AC9" s="146">
        <f t="shared" si="13"/>
        <v>0.42857142857142855</v>
      </c>
      <c r="AD9" s="146">
        <f t="shared" si="14"/>
        <v>0</v>
      </c>
      <c r="AE9" s="146">
        <f t="shared" si="15"/>
        <v>0</v>
      </c>
      <c r="AF9" s="146">
        <f t="shared" si="16"/>
        <v>0</v>
      </c>
      <c r="AG9" s="146">
        <f t="shared" si="17"/>
        <v>6.25E-2</v>
      </c>
      <c r="AH9" s="32"/>
      <c r="AI9" s="24" t="str">
        <f t="shared" si="18"/>
        <v>Crop Damage</v>
      </c>
      <c r="AJ9" t="str">
        <f>INDEX(tbl_threat_catg[Category],MATCH(AI9,tbl_threat_catg[Threat],0),1)</f>
        <v xml:space="preserve">Environmental </v>
      </c>
      <c r="AK9" s="151">
        <f t="shared" si="19"/>
        <v>0</v>
      </c>
      <c r="AL9" s="151">
        <f t="shared" si="19"/>
        <v>0.42857142857142855</v>
      </c>
      <c r="AM9" s="151">
        <f t="shared" si="6"/>
        <v>0</v>
      </c>
      <c r="AN9" s="151">
        <f t="shared" si="6"/>
        <v>0</v>
      </c>
      <c r="AO9" s="151">
        <f t="shared" si="6"/>
        <v>0</v>
      </c>
      <c r="AP9" s="151">
        <f t="shared" si="20"/>
        <v>0.42857142857142855</v>
      </c>
      <c r="AQ9" s="150">
        <f t="shared" si="21"/>
        <v>0.11135371179039302</v>
      </c>
      <c r="AS9" s="160" t="str">
        <f t="shared" si="22"/>
        <v/>
      </c>
      <c r="AT9" s="161" t="str">
        <f t="shared" si="23"/>
        <v>UNIQUE</v>
      </c>
      <c r="AU9" s="161" t="str">
        <f t="shared" si="24"/>
        <v/>
      </c>
      <c r="AV9" s="161" t="str">
        <f t="shared" si="25"/>
        <v/>
      </c>
      <c r="AW9" s="162" t="str">
        <f t="shared" si="26"/>
        <v/>
      </c>
      <c r="AX9" s="167" t="b">
        <f t="shared" si="27"/>
        <v>0</v>
      </c>
    </row>
    <row r="10" spans="1:51" x14ac:dyDescent="0.25">
      <c r="A10" s="18" t="s">
        <v>233</v>
      </c>
      <c r="B10" s="8">
        <f>COUNTIFS(tbl_data[T1],A10,tbl_data[12. Consultation Group of],$B$3)</f>
        <v>0</v>
      </c>
      <c r="C10" s="9">
        <f>COUNTIFS(tbl_data[T1],$A10,tbl_data[12. Consultation Group of],$C$3)</f>
        <v>0</v>
      </c>
      <c r="D10" s="9">
        <f>COUNTIFS(tbl_data[T1],$A10,tbl_data[12. Consultation Group of],$D$3)</f>
        <v>0</v>
      </c>
      <c r="E10" s="9">
        <f>COUNTIFS(tbl_data[T1],$A10,tbl_data[12. Consultation Group of],$E$3)</f>
        <v>0</v>
      </c>
      <c r="F10" s="9">
        <f>COUNTIFS(tbl_data[T1],$A10,tbl_data[12. Consultation Group of],$F$3)</f>
        <v>0</v>
      </c>
      <c r="G10" s="13">
        <f t="shared" si="8"/>
        <v>0</v>
      </c>
      <c r="H10" s="8">
        <f>COUNTIFS(tbl_data[T2],A10,tbl_data[12. Consultation Group of],$H$3)</f>
        <v>1</v>
      </c>
      <c r="I10" s="9">
        <f>COUNTIFS(tbl_data[T2],$A10,tbl_data[12. Consultation Group of],$I$3)</f>
        <v>0</v>
      </c>
      <c r="J10" s="9">
        <f>COUNTIFS(tbl_data[T2],$A10,tbl_data[12. Consultation Group of],$J$3)</f>
        <v>0</v>
      </c>
      <c r="K10" s="9">
        <f>COUNTIFS(tbl_data[T2],$A10,tbl_data[12. Consultation Group of],$K$3)</f>
        <v>0</v>
      </c>
      <c r="L10" s="9">
        <f>COUNTIFS(tbl_data[T2],$A10,tbl_data[12. Consultation Group of],$L$3)</f>
        <v>0</v>
      </c>
      <c r="M10" s="13">
        <f t="shared" si="9"/>
        <v>1</v>
      </c>
      <c r="N10" s="8">
        <f>COUNTIFS(tbl_data[T3],$A10,tbl_data[12. Consultation Group of],$N$3)</f>
        <v>0</v>
      </c>
      <c r="O10" s="9">
        <f>COUNTIFS(tbl_data[T3],$A10,tbl_data[12. Consultation Group of],$O$3)</f>
        <v>0</v>
      </c>
      <c r="P10" s="9">
        <f>COUNTIFS(tbl_data[T3],$A10,tbl_data[12. Consultation Group of],$P$3)</f>
        <v>0</v>
      </c>
      <c r="Q10" s="9">
        <f>COUNTIFS(tbl_data[T3],$A10,tbl_data[12. Consultation Group of],$Q$3)</f>
        <v>0</v>
      </c>
      <c r="R10" s="9">
        <f>COUNTIFS(tbl_data[T3],$A10,tbl_data[12. Consultation Group of],$R$3)</f>
        <v>0</v>
      </c>
      <c r="S10" s="13">
        <f t="shared" si="10"/>
        <v>0</v>
      </c>
      <c r="T10" s="11">
        <f t="shared" si="0"/>
        <v>2</v>
      </c>
      <c r="U10" s="12">
        <f t="shared" si="1"/>
        <v>0</v>
      </c>
      <c r="V10" s="12">
        <f t="shared" si="2"/>
        <v>0</v>
      </c>
      <c r="W10" s="12">
        <f t="shared" si="3"/>
        <v>0</v>
      </c>
      <c r="X10" s="12">
        <f t="shared" si="4"/>
        <v>0</v>
      </c>
      <c r="Y10" s="13">
        <f t="shared" si="11"/>
        <v>2</v>
      </c>
      <c r="Z10" s="32"/>
      <c r="AB10" s="146">
        <f t="shared" si="12"/>
        <v>0.11764705882352941</v>
      </c>
      <c r="AC10" s="146">
        <f t="shared" si="13"/>
        <v>0</v>
      </c>
      <c r="AD10" s="146">
        <f t="shared" si="14"/>
        <v>0</v>
      </c>
      <c r="AE10" s="146">
        <f t="shared" si="15"/>
        <v>0</v>
      </c>
      <c r="AF10" s="146">
        <f t="shared" si="16"/>
        <v>0</v>
      </c>
      <c r="AG10" s="146">
        <f t="shared" si="17"/>
        <v>4.1666666666666664E-2</v>
      </c>
      <c r="AH10" s="32"/>
      <c r="AI10" s="24" t="str">
        <f t="shared" si="18"/>
        <v>Deforestation</v>
      </c>
      <c r="AJ10" t="str">
        <f>INDEX(tbl_threat_catg[Category],MATCH(AI10,tbl_threat_catg[Threat],0),1)</f>
        <v xml:space="preserve">Environmental </v>
      </c>
      <c r="AK10" s="151">
        <f t="shared" si="19"/>
        <v>0.11764705882352941</v>
      </c>
      <c r="AL10" s="151">
        <f t="shared" si="19"/>
        <v>0</v>
      </c>
      <c r="AM10" s="151">
        <f t="shared" si="6"/>
        <v>0</v>
      </c>
      <c r="AN10" s="151">
        <f t="shared" si="6"/>
        <v>0</v>
      </c>
      <c r="AO10" s="151">
        <f t="shared" si="6"/>
        <v>0</v>
      </c>
      <c r="AP10" s="151">
        <f t="shared" si="20"/>
        <v>0.11764705882352941</v>
      </c>
      <c r="AQ10" s="150">
        <f t="shared" si="21"/>
        <v>3.0567685589519653E-2</v>
      </c>
      <c r="AS10" s="160" t="str">
        <f t="shared" si="22"/>
        <v>UNIQUE</v>
      </c>
      <c r="AT10" s="161" t="str">
        <f t="shared" si="23"/>
        <v/>
      </c>
      <c r="AU10" s="161" t="str">
        <f t="shared" si="24"/>
        <v/>
      </c>
      <c r="AV10" s="161" t="str">
        <f t="shared" si="25"/>
        <v/>
      </c>
      <c r="AW10" s="162" t="str">
        <f t="shared" si="26"/>
        <v/>
      </c>
      <c r="AX10" s="167" t="b">
        <f t="shared" si="27"/>
        <v>0</v>
      </c>
    </row>
    <row r="11" spans="1:51" x14ac:dyDescent="0.25">
      <c r="A11" s="18" t="s">
        <v>263</v>
      </c>
      <c r="B11" s="8">
        <f>COUNTIFS(tbl_data[T1],A11,tbl_data[12. Consultation Group of],$B$3)</f>
        <v>1</v>
      </c>
      <c r="C11" s="9">
        <f>COUNTIFS(tbl_data[T1],$A11,tbl_data[12. Consultation Group of],$C$3)</f>
        <v>0</v>
      </c>
      <c r="D11" s="9">
        <f>COUNTIFS(tbl_data[T1],$A11,tbl_data[12. Consultation Group of],$D$3)</f>
        <v>0</v>
      </c>
      <c r="E11" s="9">
        <f>COUNTIFS(tbl_data[T1],$A11,tbl_data[12. Consultation Group of],$E$3)</f>
        <v>1</v>
      </c>
      <c r="F11" s="9">
        <f>COUNTIFS(tbl_data[T1],$A11,tbl_data[12. Consultation Group of],$F$3)</f>
        <v>1</v>
      </c>
      <c r="G11" s="13">
        <f t="shared" si="8"/>
        <v>3</v>
      </c>
      <c r="H11" s="8">
        <f>COUNTIFS(tbl_data[T2],A11,tbl_data[12. Consultation Group of],$H$3)</f>
        <v>2</v>
      </c>
      <c r="I11" s="9">
        <f>COUNTIFS(tbl_data[T2],$A11,tbl_data[12. Consultation Group of],$I$3)</f>
        <v>0</v>
      </c>
      <c r="J11" s="9">
        <f>COUNTIFS(tbl_data[T2],$A11,tbl_data[12. Consultation Group of],$J$3)</f>
        <v>0</v>
      </c>
      <c r="K11" s="9">
        <f>COUNTIFS(tbl_data[T2],$A11,tbl_data[12. Consultation Group of],$K$3)</f>
        <v>0</v>
      </c>
      <c r="L11" s="9">
        <f>COUNTIFS(tbl_data[T2],$A11,tbl_data[12. Consultation Group of],$L$3)</f>
        <v>0</v>
      </c>
      <c r="M11" s="13">
        <f t="shared" si="9"/>
        <v>2</v>
      </c>
      <c r="N11" s="8">
        <f>COUNTIFS(tbl_data[T3],$A11,tbl_data[12. Consultation Group of],$N$3)</f>
        <v>0</v>
      </c>
      <c r="O11" s="9">
        <f>COUNTIFS(tbl_data[T3],$A11,tbl_data[12. Consultation Group of],$O$3)</f>
        <v>0</v>
      </c>
      <c r="P11" s="9">
        <f>COUNTIFS(tbl_data[T3],$A11,tbl_data[12. Consultation Group of],$P$3)</f>
        <v>2</v>
      </c>
      <c r="Q11" s="9">
        <f>COUNTIFS(tbl_data[T3],$A11,tbl_data[12. Consultation Group of],$Q$3)</f>
        <v>0</v>
      </c>
      <c r="R11" s="9">
        <f>COUNTIFS(tbl_data[T3],$A11,tbl_data[12. Consultation Group of],$R$3)</f>
        <v>0</v>
      </c>
      <c r="S11" s="13">
        <f t="shared" si="10"/>
        <v>2</v>
      </c>
      <c r="T11" s="11">
        <f t="shared" si="0"/>
        <v>7</v>
      </c>
      <c r="U11" s="12">
        <f t="shared" si="1"/>
        <v>0</v>
      </c>
      <c r="V11" s="12">
        <f t="shared" si="2"/>
        <v>2</v>
      </c>
      <c r="W11" s="12">
        <f t="shared" si="3"/>
        <v>3</v>
      </c>
      <c r="X11" s="12">
        <f t="shared" si="4"/>
        <v>3</v>
      </c>
      <c r="Y11" s="13">
        <f t="shared" si="11"/>
        <v>15</v>
      </c>
      <c r="Z11" s="32"/>
      <c r="AB11" s="146">
        <f t="shared" si="12"/>
        <v>0.41176470588235292</v>
      </c>
      <c r="AC11" s="146">
        <f t="shared" si="13"/>
        <v>0</v>
      </c>
      <c r="AD11" s="146">
        <f t="shared" si="14"/>
        <v>0.22222222222222221</v>
      </c>
      <c r="AE11" s="146">
        <f t="shared" si="15"/>
        <v>0.15789473684210525</v>
      </c>
      <c r="AF11" s="146">
        <f t="shared" si="16"/>
        <v>0.42857142857142855</v>
      </c>
      <c r="AG11" s="146">
        <f t="shared" si="17"/>
        <v>0.3125</v>
      </c>
      <c r="AH11" s="32"/>
      <c r="AI11" s="24" t="str">
        <f t="shared" si="18"/>
        <v>Disease/Epidemics</v>
      </c>
      <c r="AJ11" t="str">
        <f>INDEX(tbl_threat_catg[Category],MATCH(AI11,tbl_threat_catg[Threat],0),1)</f>
        <v xml:space="preserve">Environmental </v>
      </c>
      <c r="AK11" s="151">
        <f t="shared" si="19"/>
        <v>0.41176470588235292</v>
      </c>
      <c r="AL11" s="151">
        <f t="shared" si="19"/>
        <v>0</v>
      </c>
      <c r="AM11" s="151">
        <f t="shared" si="6"/>
        <v>0.22222222222222221</v>
      </c>
      <c r="AN11" s="151">
        <f t="shared" si="6"/>
        <v>0.15789473684210525</v>
      </c>
      <c r="AO11" s="151">
        <f t="shared" si="6"/>
        <v>0.42857142857142855</v>
      </c>
      <c r="AP11" s="151">
        <f t="shared" si="20"/>
        <v>1.220453093518109</v>
      </c>
      <c r="AQ11" s="150">
        <f t="shared" si="21"/>
        <v>0.31710462473505457</v>
      </c>
      <c r="AS11" s="160" t="str">
        <f t="shared" si="22"/>
        <v/>
      </c>
      <c r="AT11" s="161" t="str">
        <f t="shared" si="23"/>
        <v/>
      </c>
      <c r="AU11" s="161" t="str">
        <f t="shared" si="24"/>
        <v/>
      </c>
      <c r="AV11" s="161" t="str">
        <f t="shared" si="25"/>
        <v/>
      </c>
      <c r="AW11" s="162" t="str">
        <f t="shared" si="26"/>
        <v/>
      </c>
      <c r="AX11" s="167" t="b">
        <f t="shared" si="27"/>
        <v>0</v>
      </c>
    </row>
    <row r="12" spans="1:51" x14ac:dyDescent="0.25">
      <c r="A12" s="18" t="s">
        <v>202</v>
      </c>
      <c r="B12" s="8">
        <f>COUNTIFS(tbl_data[T1],A12,tbl_data[12. Consultation Group of],$B$3)</f>
        <v>0</v>
      </c>
      <c r="C12" s="9">
        <f>COUNTIFS(tbl_data[T1],$A12,tbl_data[12. Consultation Group of],$C$3)</f>
        <v>0</v>
      </c>
      <c r="D12" s="9">
        <f>COUNTIFS(tbl_data[T1],$A12,tbl_data[12. Consultation Group of],$D$3)</f>
        <v>0</v>
      </c>
      <c r="E12" s="9">
        <f>COUNTIFS(tbl_data[T1],$A12,tbl_data[12. Consultation Group of],$E$3)</f>
        <v>1</v>
      </c>
      <c r="F12" s="9">
        <f>COUNTIFS(tbl_data[T1],$A12,tbl_data[12. Consultation Group of],$F$3)</f>
        <v>0</v>
      </c>
      <c r="G12" s="13">
        <f t="shared" si="8"/>
        <v>1</v>
      </c>
      <c r="H12" s="8">
        <f>COUNTIFS(tbl_data[T2],A12,tbl_data[12. Consultation Group of],$H$3)</f>
        <v>1</v>
      </c>
      <c r="I12" s="9">
        <f>COUNTIFS(tbl_data[T2],$A12,tbl_data[12. Consultation Group of],$I$3)</f>
        <v>2</v>
      </c>
      <c r="J12" s="9">
        <f>COUNTIFS(tbl_data[T2],$A12,tbl_data[12. Consultation Group of],$J$3)</f>
        <v>1</v>
      </c>
      <c r="K12" s="9">
        <f>COUNTIFS(tbl_data[T2],$A12,tbl_data[12. Consultation Group of],$K$3)</f>
        <v>0</v>
      </c>
      <c r="L12" s="9">
        <f>COUNTIFS(tbl_data[T2],$A12,tbl_data[12. Consultation Group of],$L$3)</f>
        <v>0</v>
      </c>
      <c r="M12" s="13">
        <f t="shared" si="9"/>
        <v>4</v>
      </c>
      <c r="N12" s="8">
        <f>COUNTIFS(tbl_data[T3],$A12,tbl_data[12. Consultation Group of],$N$3)</f>
        <v>1</v>
      </c>
      <c r="O12" s="9">
        <f>COUNTIFS(tbl_data[T3],$A12,tbl_data[12. Consultation Group of],$O$3)</f>
        <v>0</v>
      </c>
      <c r="P12" s="9">
        <f>COUNTIFS(tbl_data[T3],$A12,tbl_data[12. Consultation Group of],$P$3)</f>
        <v>0</v>
      </c>
      <c r="Q12" s="9">
        <f>COUNTIFS(tbl_data[T3],$A12,tbl_data[12. Consultation Group of],$Q$3)</f>
        <v>1</v>
      </c>
      <c r="R12" s="9">
        <f>COUNTIFS(tbl_data[T3],$A12,tbl_data[12. Consultation Group of],$R$3)</f>
        <v>0</v>
      </c>
      <c r="S12" s="13">
        <f t="shared" si="10"/>
        <v>2</v>
      </c>
      <c r="T12" s="11">
        <f t="shared" si="0"/>
        <v>3</v>
      </c>
      <c r="U12" s="12">
        <f t="shared" si="1"/>
        <v>4</v>
      </c>
      <c r="V12" s="12">
        <f t="shared" si="2"/>
        <v>2</v>
      </c>
      <c r="W12" s="12">
        <f t="shared" si="3"/>
        <v>4</v>
      </c>
      <c r="X12" s="12">
        <f t="shared" si="4"/>
        <v>0</v>
      </c>
      <c r="Y12" s="13">
        <f t="shared" si="11"/>
        <v>13</v>
      </c>
      <c r="Z12" s="32"/>
      <c r="AB12" s="146">
        <f t="shared" si="12"/>
        <v>0.17647058823529413</v>
      </c>
      <c r="AC12" s="146">
        <f t="shared" si="13"/>
        <v>0.5714285714285714</v>
      </c>
      <c r="AD12" s="146">
        <f t="shared" si="14"/>
        <v>0.22222222222222221</v>
      </c>
      <c r="AE12" s="146">
        <f t="shared" si="15"/>
        <v>0.21052631578947367</v>
      </c>
      <c r="AF12" s="146">
        <f t="shared" si="16"/>
        <v>0</v>
      </c>
      <c r="AG12" s="146">
        <f t="shared" si="17"/>
        <v>0.27083333333333331</v>
      </c>
      <c r="AH12" s="32"/>
      <c r="AI12" s="24" t="str">
        <f t="shared" si="18"/>
        <v>Drought</v>
      </c>
      <c r="AJ12" t="str">
        <f>INDEX(tbl_threat_catg[Category],MATCH(AI12,tbl_threat_catg[Threat],0),1)</f>
        <v xml:space="preserve">Environmental </v>
      </c>
      <c r="AK12" s="151">
        <f t="shared" si="19"/>
        <v>0.17647058823529413</v>
      </c>
      <c r="AL12" s="151">
        <f t="shared" si="19"/>
        <v>0.5714285714285714</v>
      </c>
      <c r="AM12" s="151">
        <f t="shared" si="6"/>
        <v>0.22222222222222221</v>
      </c>
      <c r="AN12" s="151">
        <f t="shared" si="6"/>
        <v>0.21052631578947367</v>
      </c>
      <c r="AO12" s="151">
        <f t="shared" si="6"/>
        <v>0</v>
      </c>
      <c r="AP12" s="151">
        <f t="shared" si="20"/>
        <v>1.1806476976755613</v>
      </c>
      <c r="AQ12" s="150">
        <f t="shared" si="21"/>
        <v>0.30676217472356293</v>
      </c>
      <c r="AS12" s="160" t="str">
        <f t="shared" si="22"/>
        <v/>
      </c>
      <c r="AT12" s="161" t="str">
        <f t="shared" si="23"/>
        <v/>
      </c>
      <c r="AU12" s="161" t="str">
        <f t="shared" si="24"/>
        <v/>
      </c>
      <c r="AV12" s="161" t="str">
        <f t="shared" si="25"/>
        <v/>
      </c>
      <c r="AW12" s="162" t="str">
        <f t="shared" si="26"/>
        <v/>
      </c>
      <c r="AX12" s="167" t="b">
        <f t="shared" si="27"/>
        <v>0</v>
      </c>
    </row>
    <row r="13" spans="1:51" x14ac:dyDescent="0.25">
      <c r="A13" s="18" t="s">
        <v>488</v>
      </c>
      <c r="B13" s="8">
        <f>COUNTIFS(tbl_data[T1],A13,tbl_data[12. Consultation Group of],$B$3)</f>
        <v>0</v>
      </c>
      <c r="C13" s="9">
        <f>COUNTIFS(tbl_data[T1],$A13,tbl_data[12. Consultation Group of],$C$3)</f>
        <v>0</v>
      </c>
      <c r="D13" s="9">
        <f>COUNTIFS(tbl_data[T1],$A13,tbl_data[12. Consultation Group of],$D$3)</f>
        <v>1</v>
      </c>
      <c r="E13" s="9">
        <f>COUNTIFS(tbl_data[T1],$A13,tbl_data[12. Consultation Group of],$E$3)</f>
        <v>0</v>
      </c>
      <c r="F13" s="9">
        <f>COUNTIFS(tbl_data[T1],$A13,tbl_data[12. Consultation Group of],$F$3)</f>
        <v>0</v>
      </c>
      <c r="G13" s="13">
        <f t="shared" si="8"/>
        <v>1</v>
      </c>
      <c r="H13" s="8">
        <f>COUNTIFS(tbl_data[T2],A13,tbl_data[12. Consultation Group of],$H$3)</f>
        <v>0</v>
      </c>
      <c r="I13" s="9">
        <f>COUNTIFS(tbl_data[T2],$A13,tbl_data[12. Consultation Group of],$I$3)</f>
        <v>0</v>
      </c>
      <c r="J13" s="9">
        <f>COUNTIFS(tbl_data[T2],$A13,tbl_data[12. Consultation Group of],$J$3)</f>
        <v>0</v>
      </c>
      <c r="K13" s="9">
        <f>COUNTIFS(tbl_data[T2],$A13,tbl_data[12. Consultation Group of],$K$3)</f>
        <v>0</v>
      </c>
      <c r="L13" s="9">
        <f>COUNTIFS(tbl_data[T2],$A13,tbl_data[12. Consultation Group of],$L$3)</f>
        <v>0</v>
      </c>
      <c r="M13" s="13">
        <f t="shared" si="9"/>
        <v>0</v>
      </c>
      <c r="N13" s="8">
        <f>COUNTIFS(tbl_data[T3],$A13,tbl_data[12. Consultation Group of],$N$3)</f>
        <v>0</v>
      </c>
      <c r="O13" s="9">
        <f>COUNTIFS(tbl_data[T3],$A13,tbl_data[12. Consultation Group of],$O$3)</f>
        <v>0</v>
      </c>
      <c r="P13" s="9">
        <f>COUNTIFS(tbl_data[T3],$A13,tbl_data[12. Consultation Group of],$P$3)</f>
        <v>0</v>
      </c>
      <c r="Q13" s="9">
        <f>COUNTIFS(tbl_data[T3],$A13,tbl_data[12. Consultation Group of],$Q$3)</f>
        <v>0</v>
      </c>
      <c r="R13" s="9">
        <f>COUNTIFS(tbl_data[T3],$A13,tbl_data[12. Consultation Group of],$R$3)</f>
        <v>0</v>
      </c>
      <c r="S13" s="13">
        <f t="shared" si="10"/>
        <v>0</v>
      </c>
      <c r="T13" s="11">
        <f t="shared" si="0"/>
        <v>0</v>
      </c>
      <c r="U13" s="12">
        <f t="shared" si="1"/>
        <v>0</v>
      </c>
      <c r="V13" s="12">
        <f t="shared" si="2"/>
        <v>3</v>
      </c>
      <c r="W13" s="12">
        <f t="shared" si="3"/>
        <v>0</v>
      </c>
      <c r="X13" s="12">
        <f t="shared" si="4"/>
        <v>0</v>
      </c>
      <c r="Y13" s="13">
        <f t="shared" si="11"/>
        <v>3</v>
      </c>
      <c r="Z13" s="32"/>
      <c r="AB13" s="146">
        <f t="shared" si="12"/>
        <v>0</v>
      </c>
      <c r="AC13" s="146">
        <f t="shared" si="13"/>
        <v>0</v>
      </c>
      <c r="AD13" s="146">
        <f t="shared" si="14"/>
        <v>0.33333333333333331</v>
      </c>
      <c r="AE13" s="146">
        <f t="shared" si="15"/>
        <v>0</v>
      </c>
      <c r="AF13" s="146">
        <f t="shared" si="16"/>
        <v>0</v>
      </c>
      <c r="AG13" s="146">
        <f t="shared" si="17"/>
        <v>6.25E-2</v>
      </c>
      <c r="AH13" s="32"/>
      <c r="AI13" s="24" t="str">
        <f t="shared" si="18"/>
        <v>Drug Addiction</v>
      </c>
      <c r="AJ13" t="str">
        <f>INDEX(tbl_threat_catg[Category],MATCH(AI13,tbl_threat_catg[Threat],0),1)</f>
        <v>Social</v>
      </c>
      <c r="AK13" s="151">
        <f t="shared" si="19"/>
        <v>0</v>
      </c>
      <c r="AL13" s="151">
        <f t="shared" si="19"/>
        <v>0</v>
      </c>
      <c r="AM13" s="151">
        <f t="shared" si="6"/>
        <v>0.33333333333333331</v>
      </c>
      <c r="AN13" s="151">
        <f t="shared" si="6"/>
        <v>0</v>
      </c>
      <c r="AO13" s="151">
        <f t="shared" si="6"/>
        <v>0</v>
      </c>
      <c r="AP13" s="151">
        <f t="shared" si="20"/>
        <v>0.33333333333333331</v>
      </c>
      <c r="AQ13" s="150">
        <f t="shared" si="21"/>
        <v>8.6608442503639013E-2</v>
      </c>
      <c r="AS13" s="160" t="str">
        <f t="shared" si="22"/>
        <v/>
      </c>
      <c r="AT13" s="161" t="str">
        <f t="shared" si="23"/>
        <v/>
      </c>
      <c r="AU13" s="161" t="str">
        <f t="shared" si="24"/>
        <v>UNIQUE</v>
      </c>
      <c r="AV13" s="161" t="str">
        <f t="shared" si="25"/>
        <v/>
      </c>
      <c r="AW13" s="162" t="str">
        <f t="shared" si="26"/>
        <v/>
      </c>
      <c r="AX13" s="167" t="b">
        <f t="shared" si="27"/>
        <v>0</v>
      </c>
    </row>
    <row r="14" spans="1:51" x14ac:dyDescent="0.25">
      <c r="A14" s="18" t="s">
        <v>538</v>
      </c>
      <c r="B14" s="8">
        <f>COUNTIFS(tbl_data[T1],A14,tbl_data[12. Consultation Group of],$B$3)</f>
        <v>0</v>
      </c>
      <c r="C14" s="9">
        <f>COUNTIFS(tbl_data[T1],$A14,tbl_data[12. Consultation Group of],$C$3)</f>
        <v>0</v>
      </c>
      <c r="D14" s="9">
        <f>COUNTIFS(tbl_data[T1],$A14,tbl_data[12. Consultation Group of],$D$3)</f>
        <v>0</v>
      </c>
      <c r="E14" s="9">
        <f>COUNTIFS(tbl_data[T1],$A14,tbl_data[12. Consultation Group of],$E$3)</f>
        <v>0</v>
      </c>
      <c r="F14" s="9">
        <f>COUNTIFS(tbl_data[T1],$A14,tbl_data[12. Consultation Group of],$F$3)</f>
        <v>0</v>
      </c>
      <c r="G14" s="13">
        <f t="shared" si="8"/>
        <v>0</v>
      </c>
      <c r="H14" s="8">
        <f>COUNTIFS(tbl_data[T2],A14,tbl_data[12. Consultation Group of],$H$3)</f>
        <v>0</v>
      </c>
      <c r="I14" s="9">
        <f>COUNTIFS(tbl_data[T2],$A14,tbl_data[12. Consultation Group of],$I$3)</f>
        <v>0</v>
      </c>
      <c r="J14" s="9">
        <f>COUNTIFS(tbl_data[T2],$A14,tbl_data[12. Consultation Group of],$J$3)</f>
        <v>0</v>
      </c>
      <c r="K14" s="9">
        <f>COUNTIFS(tbl_data[T2],$A14,tbl_data[12. Consultation Group of],$K$3)</f>
        <v>0</v>
      </c>
      <c r="L14" s="9">
        <f>COUNTIFS(tbl_data[T2],$A14,tbl_data[12. Consultation Group of],$L$3)</f>
        <v>0</v>
      </c>
      <c r="M14" s="13">
        <f t="shared" si="9"/>
        <v>0</v>
      </c>
      <c r="N14" s="8">
        <f>COUNTIFS(tbl_data[T3],$A14,tbl_data[12. Consultation Group of],$N$3)</f>
        <v>1</v>
      </c>
      <c r="O14" s="9">
        <f>COUNTIFS(tbl_data[T3],$A14,tbl_data[12. Consultation Group of],$O$3)</f>
        <v>0</v>
      </c>
      <c r="P14" s="9">
        <f>COUNTIFS(tbl_data[T3],$A14,tbl_data[12. Consultation Group of],$P$3)</f>
        <v>0</v>
      </c>
      <c r="Q14" s="9">
        <f>COUNTIFS(tbl_data[T3],$A14,tbl_data[12. Consultation Group of],$Q$3)</f>
        <v>0</v>
      </c>
      <c r="R14" s="9">
        <f>COUNTIFS(tbl_data[T3],$A14,tbl_data[12. Consultation Group of],$R$3)</f>
        <v>0</v>
      </c>
      <c r="S14" s="13">
        <f t="shared" si="10"/>
        <v>1</v>
      </c>
      <c r="T14" s="11">
        <f t="shared" si="0"/>
        <v>1</v>
      </c>
      <c r="U14" s="12">
        <f t="shared" si="1"/>
        <v>0</v>
      </c>
      <c r="V14" s="12">
        <f t="shared" si="2"/>
        <v>0</v>
      </c>
      <c r="W14" s="12">
        <f t="shared" si="3"/>
        <v>0</v>
      </c>
      <c r="X14" s="12">
        <f t="shared" si="4"/>
        <v>0</v>
      </c>
      <c r="Y14" s="13">
        <f t="shared" si="11"/>
        <v>1</v>
      </c>
      <c r="Z14" s="32"/>
      <c r="AB14" s="146">
        <f t="shared" si="12"/>
        <v>5.8823529411764705E-2</v>
      </c>
      <c r="AC14" s="146">
        <f t="shared" si="13"/>
        <v>0</v>
      </c>
      <c r="AD14" s="146">
        <f t="shared" si="14"/>
        <v>0</v>
      </c>
      <c r="AE14" s="146">
        <f t="shared" si="15"/>
        <v>0</v>
      </c>
      <c r="AF14" s="146">
        <f t="shared" si="16"/>
        <v>0</v>
      </c>
      <c r="AG14" s="146">
        <f t="shared" si="17"/>
        <v>2.0833333333333332E-2</v>
      </c>
      <c r="AH14" s="32"/>
      <c r="AI14" s="24" t="str">
        <f t="shared" si="18"/>
        <v>Early marriage</v>
      </c>
      <c r="AJ14" t="str">
        <f>INDEX(tbl_threat_catg[Category],MATCH(AI14,tbl_threat_catg[Threat],0),1)</f>
        <v>Social</v>
      </c>
      <c r="AK14" s="151">
        <f t="shared" si="19"/>
        <v>5.8823529411764705E-2</v>
      </c>
      <c r="AL14" s="151">
        <f t="shared" si="19"/>
        <v>0</v>
      </c>
      <c r="AM14" s="151">
        <f t="shared" si="6"/>
        <v>0</v>
      </c>
      <c r="AN14" s="151">
        <f t="shared" si="6"/>
        <v>0</v>
      </c>
      <c r="AO14" s="151">
        <f t="shared" si="6"/>
        <v>0</v>
      </c>
      <c r="AP14" s="151">
        <f t="shared" si="20"/>
        <v>5.8823529411764705E-2</v>
      </c>
      <c r="AQ14" s="150">
        <f t="shared" si="21"/>
        <v>1.5283842794759826E-2</v>
      </c>
      <c r="AS14" s="160" t="str">
        <f t="shared" si="22"/>
        <v>UNIQUE</v>
      </c>
      <c r="AT14" s="161" t="str">
        <f t="shared" si="23"/>
        <v/>
      </c>
      <c r="AU14" s="161" t="str">
        <f t="shared" si="24"/>
        <v/>
      </c>
      <c r="AV14" s="161" t="str">
        <f t="shared" si="25"/>
        <v/>
      </c>
      <c r="AW14" s="162" t="str">
        <f t="shared" si="26"/>
        <v/>
      </c>
      <c r="AX14" s="167" t="b">
        <f t="shared" si="27"/>
        <v>0</v>
      </c>
    </row>
    <row r="15" spans="1:51" x14ac:dyDescent="0.25">
      <c r="A15" s="18" t="s">
        <v>274</v>
      </c>
      <c r="B15" s="8">
        <f>COUNTIFS(tbl_data[T1],A15,tbl_data[12. Consultation Group of],$B$3)</f>
        <v>0</v>
      </c>
      <c r="C15" s="9">
        <f>COUNTIFS(tbl_data[T1],$A15,tbl_data[12. Consultation Group of],$C$3)</f>
        <v>2</v>
      </c>
      <c r="D15" s="9">
        <f>COUNTIFS(tbl_data[T1],$A15,tbl_data[12. Consultation Group of],$D$3)</f>
        <v>2</v>
      </c>
      <c r="E15" s="9">
        <f>COUNTIFS(tbl_data[T1],$A15,tbl_data[12. Consultation Group of],$E$3)</f>
        <v>2</v>
      </c>
      <c r="F15" s="9">
        <f>COUNTIFS(tbl_data[T1],$A15,tbl_data[12. Consultation Group of],$F$3)</f>
        <v>0</v>
      </c>
      <c r="G15" s="13">
        <f t="shared" si="8"/>
        <v>6</v>
      </c>
      <c r="H15" s="8">
        <f>COUNTIFS(tbl_data[T2],A15,tbl_data[12. Consultation Group of],$H$3)</f>
        <v>1</v>
      </c>
      <c r="I15" s="9">
        <f>COUNTIFS(tbl_data[T2],$A15,tbl_data[12. Consultation Group of],$I$3)</f>
        <v>0</v>
      </c>
      <c r="J15" s="9">
        <f>COUNTIFS(tbl_data[T2],$A15,tbl_data[12. Consultation Group of],$J$3)</f>
        <v>0</v>
      </c>
      <c r="K15" s="9">
        <f>COUNTIFS(tbl_data[T2],$A15,tbl_data[12. Consultation Group of],$K$3)</f>
        <v>1</v>
      </c>
      <c r="L15" s="9">
        <f>COUNTIFS(tbl_data[T2],$A15,tbl_data[12. Consultation Group of],$L$3)</f>
        <v>1</v>
      </c>
      <c r="M15" s="13">
        <f t="shared" si="9"/>
        <v>3</v>
      </c>
      <c r="N15" s="8">
        <f>COUNTIFS(tbl_data[T3],$A15,tbl_data[12. Consultation Group of],$N$3)</f>
        <v>0</v>
      </c>
      <c r="O15" s="9">
        <f>COUNTIFS(tbl_data[T3],$A15,tbl_data[12. Consultation Group of],$O$3)</f>
        <v>1</v>
      </c>
      <c r="P15" s="9">
        <f>COUNTIFS(tbl_data[T3],$A15,tbl_data[12. Consultation Group of],$P$3)</f>
        <v>1</v>
      </c>
      <c r="Q15" s="9">
        <f>COUNTIFS(tbl_data[T3],$A15,tbl_data[12. Consultation Group of],$Q$3)</f>
        <v>2</v>
      </c>
      <c r="R15" s="9">
        <f>COUNTIFS(tbl_data[T3],$A15,tbl_data[12. Consultation Group of],$R$3)</f>
        <v>0</v>
      </c>
      <c r="S15" s="13">
        <f t="shared" si="10"/>
        <v>4</v>
      </c>
      <c r="T15" s="11">
        <f t="shared" si="0"/>
        <v>2</v>
      </c>
      <c r="U15" s="12">
        <f t="shared" si="1"/>
        <v>7</v>
      </c>
      <c r="V15" s="12">
        <f t="shared" si="2"/>
        <v>7</v>
      </c>
      <c r="W15" s="12">
        <f t="shared" si="3"/>
        <v>10</v>
      </c>
      <c r="X15" s="12">
        <f t="shared" si="4"/>
        <v>2</v>
      </c>
      <c r="Y15" s="13">
        <f t="shared" si="11"/>
        <v>28</v>
      </c>
      <c r="Z15" s="32"/>
      <c r="AB15" s="146">
        <f t="shared" si="12"/>
        <v>0.11764705882352941</v>
      </c>
      <c r="AC15" s="146">
        <f t="shared" si="13"/>
        <v>1</v>
      </c>
      <c r="AD15" s="146">
        <f t="shared" si="14"/>
        <v>0.77777777777777779</v>
      </c>
      <c r="AE15" s="146">
        <f t="shared" si="15"/>
        <v>0.52631578947368418</v>
      </c>
      <c r="AF15" s="146">
        <f t="shared" si="16"/>
        <v>0.2857142857142857</v>
      </c>
      <c r="AG15" s="146">
        <f t="shared" si="17"/>
        <v>0.58333333333333337</v>
      </c>
      <c r="AH15" s="32"/>
      <c r="AI15" s="24" t="str">
        <f t="shared" si="18"/>
        <v>Earthquakes</v>
      </c>
      <c r="AJ15" t="str">
        <f>INDEX(tbl_threat_catg[Category],MATCH(AI15,tbl_threat_catg[Threat],0),1)</f>
        <v>Natural Common</v>
      </c>
      <c r="AK15" s="151">
        <f t="shared" si="19"/>
        <v>0.11764705882352941</v>
      </c>
      <c r="AL15" s="151">
        <f t="shared" si="19"/>
        <v>1</v>
      </c>
      <c r="AM15" s="151">
        <f t="shared" si="6"/>
        <v>0.77777777777777779</v>
      </c>
      <c r="AN15" s="151">
        <f t="shared" si="6"/>
        <v>0.52631578947368418</v>
      </c>
      <c r="AO15" s="151">
        <f t="shared" si="6"/>
        <v>0.2857142857142857</v>
      </c>
      <c r="AP15" s="151">
        <f t="shared" si="20"/>
        <v>2.7074549117892768</v>
      </c>
      <c r="AQ15" s="150">
        <f t="shared" si="21"/>
        <v>0.70346535917668984</v>
      </c>
      <c r="AS15" s="160" t="str">
        <f t="shared" si="22"/>
        <v/>
      </c>
      <c r="AT15" s="161" t="str">
        <f t="shared" si="23"/>
        <v/>
      </c>
      <c r="AU15" s="161" t="str">
        <f t="shared" si="24"/>
        <v/>
      </c>
      <c r="AV15" s="161" t="str">
        <f t="shared" si="25"/>
        <v/>
      </c>
      <c r="AW15" s="162" t="str">
        <f t="shared" si="26"/>
        <v/>
      </c>
      <c r="AX15" s="167" t="b">
        <f t="shared" si="27"/>
        <v>1</v>
      </c>
    </row>
    <row r="16" spans="1:51" x14ac:dyDescent="0.25">
      <c r="A16" s="130" t="s">
        <v>495</v>
      </c>
      <c r="B16" s="8">
        <f>COUNTIFS(tbl_data[T1],A16,tbl_data[12. Consultation Group of],$B$3)</f>
        <v>0</v>
      </c>
      <c r="C16" s="9">
        <f>COUNTIFS(tbl_data[T1],$A16,tbl_data[12. Consultation Group of],$C$3)</f>
        <v>0</v>
      </c>
      <c r="D16" s="9">
        <f>COUNTIFS(tbl_data[T1],$A16,tbl_data[12. Consultation Group of],$D$3)</f>
        <v>0</v>
      </c>
      <c r="E16" s="9">
        <f>COUNTIFS(tbl_data[T1],$A16,tbl_data[12. Consultation Group of],$E$3)</f>
        <v>0</v>
      </c>
      <c r="F16" s="9">
        <f>COUNTIFS(tbl_data[T1],$A16,tbl_data[12. Consultation Group of],$F$3)</f>
        <v>0</v>
      </c>
      <c r="G16" s="13">
        <f t="shared" si="8"/>
        <v>0</v>
      </c>
      <c r="H16" s="8">
        <f>COUNTIFS(tbl_data[T2],A16,tbl_data[12. Consultation Group of],$H$3)</f>
        <v>0</v>
      </c>
      <c r="I16" s="9">
        <f>COUNTIFS(tbl_data[T2],$A16,tbl_data[12. Consultation Group of],$I$3)</f>
        <v>0</v>
      </c>
      <c r="J16" s="9">
        <f>COUNTIFS(tbl_data[T2],$A16,tbl_data[12. Consultation Group of],$J$3)</f>
        <v>0</v>
      </c>
      <c r="K16" s="9">
        <f>COUNTIFS(tbl_data[T2],$A16,tbl_data[12. Consultation Group of],$K$3)</f>
        <v>0</v>
      </c>
      <c r="L16" s="9">
        <f>COUNTIFS(tbl_data[T2],$A16,tbl_data[12. Consultation Group of],$L$3)</f>
        <v>0</v>
      </c>
      <c r="M16" s="13">
        <f t="shared" si="9"/>
        <v>0</v>
      </c>
      <c r="N16" s="8">
        <f>COUNTIFS(tbl_data[T3],$A16,tbl_data[12. Consultation Group of],$N$3)</f>
        <v>0</v>
      </c>
      <c r="O16" s="9">
        <f>COUNTIFS(tbl_data[T3],$A16,tbl_data[12. Consultation Group of],$O$3)</f>
        <v>0</v>
      </c>
      <c r="P16" s="9">
        <f>COUNTIFS(tbl_data[T3],$A16,tbl_data[12. Consultation Group of],$P$3)</f>
        <v>0</v>
      </c>
      <c r="Q16" s="9">
        <f>COUNTIFS(tbl_data[T3],$A16,tbl_data[12. Consultation Group of],$Q$3)</f>
        <v>0</v>
      </c>
      <c r="R16" s="9">
        <f>COUNTIFS(tbl_data[T3],$A16,tbl_data[12. Consultation Group of],$R$3)</f>
        <v>0</v>
      </c>
      <c r="S16" s="13">
        <f t="shared" si="10"/>
        <v>0</v>
      </c>
      <c r="T16" s="11">
        <f t="shared" si="0"/>
        <v>0</v>
      </c>
      <c r="U16" s="12">
        <f t="shared" si="1"/>
        <v>0</v>
      </c>
      <c r="V16" s="12">
        <f t="shared" si="2"/>
        <v>0</v>
      </c>
      <c r="W16" s="12">
        <f t="shared" si="3"/>
        <v>0</v>
      </c>
      <c r="X16" s="12">
        <f t="shared" si="4"/>
        <v>0</v>
      </c>
      <c r="Y16" s="13">
        <f t="shared" si="11"/>
        <v>0</v>
      </c>
      <c r="Z16" s="32"/>
      <c r="AB16" s="146">
        <f t="shared" si="12"/>
        <v>0</v>
      </c>
      <c r="AC16" s="146">
        <f t="shared" si="13"/>
        <v>0</v>
      </c>
      <c r="AD16" s="146">
        <f t="shared" si="14"/>
        <v>0</v>
      </c>
      <c r="AE16" s="146">
        <f t="shared" si="15"/>
        <v>0</v>
      </c>
      <c r="AF16" s="146">
        <f t="shared" si="16"/>
        <v>0</v>
      </c>
      <c r="AG16" s="146">
        <f t="shared" si="17"/>
        <v>0</v>
      </c>
      <c r="AH16" s="32"/>
      <c r="AI16" s="24" t="str">
        <f t="shared" si="18"/>
        <v>Famine</v>
      </c>
      <c r="AJ16" t="str">
        <f>INDEX(tbl_threat_catg[Category],MATCH(AI16,tbl_threat_catg[Threat],0),1)</f>
        <v xml:space="preserve">Environmental </v>
      </c>
      <c r="AK16" s="151">
        <f t="shared" si="19"/>
        <v>0</v>
      </c>
      <c r="AL16" s="151">
        <f t="shared" si="19"/>
        <v>0</v>
      </c>
      <c r="AM16" s="151">
        <f t="shared" si="6"/>
        <v>0</v>
      </c>
      <c r="AN16" s="151">
        <f t="shared" si="6"/>
        <v>0</v>
      </c>
      <c r="AO16" s="151">
        <f t="shared" si="6"/>
        <v>0</v>
      </c>
      <c r="AP16" s="151">
        <f t="shared" si="20"/>
        <v>0</v>
      </c>
      <c r="AQ16" s="150">
        <f t="shared" si="21"/>
        <v>0</v>
      </c>
      <c r="AS16" s="160" t="str">
        <f t="shared" si="22"/>
        <v/>
      </c>
      <c r="AT16" s="161" t="str">
        <f t="shared" si="23"/>
        <v/>
      </c>
      <c r="AU16" s="161" t="str">
        <f t="shared" si="24"/>
        <v/>
      </c>
      <c r="AV16" s="161" t="str">
        <f t="shared" si="25"/>
        <v/>
      </c>
      <c r="AW16" s="162" t="str">
        <f t="shared" si="26"/>
        <v/>
      </c>
      <c r="AX16" s="167" t="b">
        <f t="shared" si="27"/>
        <v>0</v>
      </c>
    </row>
    <row r="17" spans="1:50" x14ac:dyDescent="0.25">
      <c r="A17" s="18" t="s">
        <v>196</v>
      </c>
      <c r="B17" s="8">
        <f>COUNTIFS(tbl_data[T1],A17,tbl_data[12. Consultation Group of],$B$3)</f>
        <v>0</v>
      </c>
      <c r="C17" s="9">
        <f>COUNTIFS(tbl_data[T1],$A17,tbl_data[12. Consultation Group of],$C$3)</f>
        <v>1</v>
      </c>
      <c r="D17" s="9">
        <f>COUNTIFS(tbl_data[T1],$A17,tbl_data[12. Consultation Group of],$D$3)</f>
        <v>0</v>
      </c>
      <c r="E17" s="9">
        <f>COUNTIFS(tbl_data[T1],$A17,tbl_data[12. Consultation Group of],$E$3)</f>
        <v>0</v>
      </c>
      <c r="F17" s="9">
        <f>COUNTIFS(tbl_data[T1],$A17,tbl_data[12. Consultation Group of],$F$3)</f>
        <v>0</v>
      </c>
      <c r="G17" s="13">
        <f t="shared" si="8"/>
        <v>1</v>
      </c>
      <c r="H17" s="8">
        <f>COUNTIFS(tbl_data[T2],A17,tbl_data[12. Consultation Group of],$H$3)</f>
        <v>0</v>
      </c>
      <c r="I17" s="9">
        <f>COUNTIFS(tbl_data[T2],$A17,tbl_data[12. Consultation Group of],$I$3)</f>
        <v>1</v>
      </c>
      <c r="J17" s="9">
        <f>COUNTIFS(tbl_data[T2],$A17,tbl_data[12. Consultation Group of],$J$3)</f>
        <v>2</v>
      </c>
      <c r="K17" s="9">
        <f>COUNTIFS(tbl_data[T2],$A17,tbl_data[12. Consultation Group of],$K$3)</f>
        <v>4</v>
      </c>
      <c r="L17" s="9">
        <f>COUNTIFS(tbl_data[T2],$A17,tbl_data[12. Consultation Group of],$L$3)</f>
        <v>0</v>
      </c>
      <c r="M17" s="13">
        <f t="shared" si="9"/>
        <v>7</v>
      </c>
      <c r="N17" s="8">
        <f>COUNTIFS(tbl_data[T3],$A17,tbl_data[12. Consultation Group of],$N$3)</f>
        <v>4</v>
      </c>
      <c r="O17" s="9">
        <f>COUNTIFS(tbl_data[T3],$A17,tbl_data[12. Consultation Group of],$O$3)</f>
        <v>0</v>
      </c>
      <c r="P17" s="9">
        <f>COUNTIFS(tbl_data[T3],$A17,tbl_data[12. Consultation Group of],$P$3)</f>
        <v>1</v>
      </c>
      <c r="Q17" s="9">
        <f>COUNTIFS(tbl_data[T3],$A17,tbl_data[12. Consultation Group of],$Q$3)</f>
        <v>2</v>
      </c>
      <c r="R17" s="9">
        <f>COUNTIFS(tbl_data[T3],$A17,tbl_data[12. Consultation Group of],$R$3)</f>
        <v>0</v>
      </c>
      <c r="S17" s="13">
        <f t="shared" si="10"/>
        <v>7</v>
      </c>
      <c r="T17" s="11">
        <f t="shared" si="0"/>
        <v>4</v>
      </c>
      <c r="U17" s="12">
        <f t="shared" si="1"/>
        <v>5</v>
      </c>
      <c r="V17" s="12">
        <f t="shared" si="2"/>
        <v>5</v>
      </c>
      <c r="W17" s="12">
        <f t="shared" si="3"/>
        <v>10</v>
      </c>
      <c r="X17" s="12">
        <f t="shared" si="4"/>
        <v>0</v>
      </c>
      <c r="Y17" s="13">
        <f t="shared" si="11"/>
        <v>24</v>
      </c>
      <c r="Z17" s="32"/>
      <c r="AB17" s="146">
        <f t="shared" si="12"/>
        <v>0.23529411764705882</v>
      </c>
      <c r="AC17" s="146">
        <f t="shared" si="13"/>
        <v>0.7142857142857143</v>
      </c>
      <c r="AD17" s="146">
        <f t="shared" si="14"/>
        <v>0.55555555555555558</v>
      </c>
      <c r="AE17" s="146">
        <f t="shared" si="15"/>
        <v>0.52631578947368418</v>
      </c>
      <c r="AF17" s="146">
        <f t="shared" si="16"/>
        <v>0</v>
      </c>
      <c r="AG17" s="146">
        <f t="shared" si="17"/>
        <v>0.5</v>
      </c>
      <c r="AH17" s="32"/>
      <c r="AI17" s="24" t="str">
        <f t="shared" si="18"/>
        <v>Fire</v>
      </c>
      <c r="AJ17" t="str">
        <f>INDEX(tbl_threat_catg[Category],MATCH(AI17,tbl_threat_catg[Threat],0),1)</f>
        <v>Natural Common</v>
      </c>
      <c r="AK17" s="151">
        <f t="shared" si="19"/>
        <v>0.23529411764705882</v>
      </c>
      <c r="AL17" s="151">
        <f t="shared" si="19"/>
        <v>0.7142857142857143</v>
      </c>
      <c r="AM17" s="151">
        <f t="shared" si="6"/>
        <v>0.55555555555555558</v>
      </c>
      <c r="AN17" s="151">
        <f t="shared" si="6"/>
        <v>0.52631578947368418</v>
      </c>
      <c r="AO17" s="151">
        <f t="shared" si="6"/>
        <v>0</v>
      </c>
      <c r="AP17" s="151">
        <f t="shared" si="20"/>
        <v>2.0314511769620127</v>
      </c>
      <c r="AQ17" s="150">
        <f t="shared" si="21"/>
        <v>0.52782246737659289</v>
      </c>
      <c r="AS17" s="160" t="str">
        <f t="shared" si="22"/>
        <v/>
      </c>
      <c r="AT17" s="161" t="str">
        <f t="shared" si="23"/>
        <v/>
      </c>
      <c r="AU17" s="161" t="str">
        <f t="shared" si="24"/>
        <v/>
      </c>
      <c r="AV17" s="161" t="str">
        <f t="shared" si="25"/>
        <v/>
      </c>
      <c r="AW17" s="162" t="str">
        <f t="shared" si="26"/>
        <v/>
      </c>
      <c r="AX17" s="167" t="b">
        <f t="shared" si="27"/>
        <v>0</v>
      </c>
    </row>
    <row r="18" spans="1:50" x14ac:dyDescent="0.25">
      <c r="A18" s="18" t="s">
        <v>302</v>
      </c>
      <c r="B18" s="8">
        <f>COUNTIFS(tbl_data[T1],A18,tbl_data[12. Consultation Group of],$B$3)</f>
        <v>4</v>
      </c>
      <c r="C18" s="9">
        <f>COUNTIFS(tbl_data[T1],$A18,tbl_data[12. Consultation Group of],$C$3)</f>
        <v>2</v>
      </c>
      <c r="D18" s="9">
        <f>COUNTIFS(tbl_data[T1],$A18,tbl_data[12. Consultation Group of],$D$3)</f>
        <v>3</v>
      </c>
      <c r="E18" s="9">
        <f>COUNTIFS(tbl_data[T1],$A18,tbl_data[12. Consultation Group of],$E$3)</f>
        <v>6</v>
      </c>
      <c r="F18" s="9">
        <f>COUNTIFS(tbl_data[T1],$A18,tbl_data[12. Consultation Group of],$F$3)</f>
        <v>0</v>
      </c>
      <c r="G18" s="13">
        <f>SUM(B18:F18)</f>
        <v>15</v>
      </c>
      <c r="H18" s="8">
        <f>COUNTIFS(tbl_data[T2],A18,tbl_data[12. Consultation Group of],$H$3)</f>
        <v>0</v>
      </c>
      <c r="I18" s="9">
        <f>COUNTIFS(tbl_data[T2],$A18,tbl_data[12. Consultation Group of],$I$3)</f>
        <v>0</v>
      </c>
      <c r="J18" s="9">
        <f>COUNTIFS(tbl_data[T2],$A18,tbl_data[12. Consultation Group of],$J$3)</f>
        <v>0</v>
      </c>
      <c r="K18" s="9">
        <f>COUNTIFS(tbl_data[T2],$A18,tbl_data[12. Consultation Group of],$K$3)</f>
        <v>0</v>
      </c>
      <c r="L18" s="9">
        <f>COUNTIFS(tbl_data[T2],$A18,tbl_data[12. Consultation Group of],$L$3)</f>
        <v>1</v>
      </c>
      <c r="M18" s="13">
        <f t="shared" si="9"/>
        <v>1</v>
      </c>
      <c r="N18" s="8">
        <f>COUNTIFS(tbl_data[T3],$A18,tbl_data[12. Consultation Group of],$N$3)</f>
        <v>0</v>
      </c>
      <c r="O18" s="9">
        <f>COUNTIFS(tbl_data[T3],$A18,tbl_data[12. Consultation Group of],$O$3)</f>
        <v>0</v>
      </c>
      <c r="P18" s="9">
        <f>COUNTIFS(tbl_data[T3],$A18,tbl_data[12. Consultation Group of],$P$3)</f>
        <v>0</v>
      </c>
      <c r="Q18" s="9">
        <f>COUNTIFS(tbl_data[T3],$A18,tbl_data[12. Consultation Group of],$Q$3)</f>
        <v>1</v>
      </c>
      <c r="R18" s="9">
        <f>COUNTIFS(tbl_data[T3],$A18,tbl_data[12. Consultation Group of],$R$3)</f>
        <v>0</v>
      </c>
      <c r="S18" s="13">
        <f t="shared" si="10"/>
        <v>1</v>
      </c>
      <c r="T18" s="11">
        <f>B18*3+H18*2+N18*1</f>
        <v>12</v>
      </c>
      <c r="U18" s="12">
        <f t="shared" si="1"/>
        <v>6</v>
      </c>
      <c r="V18" s="12">
        <f t="shared" si="2"/>
        <v>9</v>
      </c>
      <c r="W18" s="12">
        <f t="shared" si="3"/>
        <v>19</v>
      </c>
      <c r="X18" s="12">
        <f t="shared" si="4"/>
        <v>2</v>
      </c>
      <c r="Y18" s="13">
        <f t="shared" si="11"/>
        <v>48</v>
      </c>
      <c r="Z18" s="32"/>
      <c r="AB18" s="146">
        <f t="shared" si="12"/>
        <v>0.70588235294117652</v>
      </c>
      <c r="AC18" s="146">
        <f t="shared" si="13"/>
        <v>0.8571428571428571</v>
      </c>
      <c r="AD18" s="146">
        <f t="shared" si="14"/>
        <v>1</v>
      </c>
      <c r="AE18" s="146">
        <f t="shared" si="15"/>
        <v>1</v>
      </c>
      <c r="AF18" s="146">
        <f t="shared" si="16"/>
        <v>0.2857142857142857</v>
      </c>
      <c r="AG18" s="146">
        <f t="shared" si="17"/>
        <v>1</v>
      </c>
      <c r="AH18" s="32"/>
      <c r="AI18" s="24" t="str">
        <f t="shared" si="18"/>
        <v>Floods</v>
      </c>
      <c r="AJ18" t="str">
        <f>INDEX(tbl_threat_catg[Category],MATCH(AI18,tbl_threat_catg[Threat],0),1)</f>
        <v>Natural Common</v>
      </c>
      <c r="AK18" s="151">
        <f t="shared" si="19"/>
        <v>0.70588235294117652</v>
      </c>
      <c r="AL18" s="151">
        <f t="shared" si="19"/>
        <v>0.8571428571428571</v>
      </c>
      <c r="AM18" s="151">
        <f t="shared" si="6"/>
        <v>1</v>
      </c>
      <c r="AN18" s="151">
        <f t="shared" si="6"/>
        <v>1</v>
      </c>
      <c r="AO18" s="151">
        <f t="shared" si="6"/>
        <v>0.2857142857142857</v>
      </c>
      <c r="AP18" s="151">
        <f t="shared" si="20"/>
        <v>3.848739495798319</v>
      </c>
      <c r="AQ18" s="150">
        <f t="shared" si="21"/>
        <v>1</v>
      </c>
      <c r="AS18" s="160" t="str">
        <f t="shared" si="22"/>
        <v/>
      </c>
      <c r="AT18" s="161" t="str">
        <f t="shared" si="23"/>
        <v/>
      </c>
      <c r="AU18" s="161" t="str">
        <f t="shared" si="24"/>
        <v/>
      </c>
      <c r="AV18" s="161" t="str">
        <f t="shared" si="25"/>
        <v/>
      </c>
      <c r="AW18" s="162" t="str">
        <f t="shared" si="26"/>
        <v/>
      </c>
      <c r="AX18" s="167" t="b">
        <f t="shared" si="27"/>
        <v>1</v>
      </c>
    </row>
    <row r="19" spans="1:50" x14ac:dyDescent="0.25">
      <c r="A19" s="18" t="s">
        <v>253</v>
      </c>
      <c r="B19" s="8">
        <f>COUNTIFS(tbl_data[T1],A19,tbl_data[12. Consultation Group of],$B$3)</f>
        <v>0</v>
      </c>
      <c r="C19" s="9">
        <f>COUNTIFS(tbl_data[T1],$A19,tbl_data[12. Consultation Group of],$C$3)</f>
        <v>0</v>
      </c>
      <c r="D19" s="9">
        <f>COUNTIFS(tbl_data[T1],$A19,tbl_data[12. Consultation Group of],$D$3)</f>
        <v>0</v>
      </c>
      <c r="E19" s="9">
        <f>COUNTIFS(tbl_data[T1],$A19,tbl_data[12. Consultation Group of],$E$3)</f>
        <v>0</v>
      </c>
      <c r="F19" s="9">
        <f>COUNTIFS(tbl_data[T1],$A19,tbl_data[12. Consultation Group of],$F$3)</f>
        <v>0</v>
      </c>
      <c r="G19" s="13">
        <f t="shared" si="8"/>
        <v>0</v>
      </c>
      <c r="H19" s="8">
        <f>COUNTIFS(tbl_data[T2],A19,tbl_data[12. Consultation Group of],$H$3)</f>
        <v>1</v>
      </c>
      <c r="I19" s="9">
        <f>COUNTIFS(tbl_data[T2],$A19,tbl_data[12. Consultation Group of],$I$3)</f>
        <v>0</v>
      </c>
      <c r="J19" s="9">
        <f>COUNTIFS(tbl_data[T2],$A19,tbl_data[12. Consultation Group of],$J$3)</f>
        <v>0</v>
      </c>
      <c r="K19" s="9">
        <f>COUNTIFS(tbl_data[T2],$A19,tbl_data[12. Consultation Group of],$K$3)</f>
        <v>0</v>
      </c>
      <c r="L19" s="9">
        <f>COUNTIFS(tbl_data[T2],$A19,tbl_data[12. Consultation Group of],$L$3)</f>
        <v>0</v>
      </c>
      <c r="M19" s="13">
        <f t="shared" si="9"/>
        <v>1</v>
      </c>
      <c r="N19" s="8">
        <f>COUNTIFS(tbl_data[T3],$A19,tbl_data[12. Consultation Group of],$N$3)</f>
        <v>0</v>
      </c>
      <c r="O19" s="9">
        <f>COUNTIFS(tbl_data[T3],$A19,tbl_data[12. Consultation Group of],$O$3)</f>
        <v>0</v>
      </c>
      <c r="P19" s="9">
        <f>COUNTIFS(tbl_data[T3],$A19,tbl_data[12. Consultation Group of],$P$3)</f>
        <v>0</v>
      </c>
      <c r="Q19" s="9">
        <f>COUNTIFS(tbl_data[T3],$A19,tbl_data[12. Consultation Group of],$Q$3)</f>
        <v>0</v>
      </c>
      <c r="R19" s="9">
        <f>COUNTIFS(tbl_data[T3],$A19,tbl_data[12. Consultation Group of],$R$3)</f>
        <v>0</v>
      </c>
      <c r="S19" s="13">
        <f t="shared" si="10"/>
        <v>0</v>
      </c>
      <c r="T19" s="11">
        <f t="shared" si="0"/>
        <v>2</v>
      </c>
      <c r="U19" s="12">
        <f t="shared" si="1"/>
        <v>0</v>
      </c>
      <c r="V19" s="12">
        <f t="shared" si="2"/>
        <v>0</v>
      </c>
      <c r="W19" s="12">
        <f t="shared" si="3"/>
        <v>0</v>
      </c>
      <c r="X19" s="12">
        <f t="shared" si="4"/>
        <v>0</v>
      </c>
      <c r="Y19" s="13">
        <f t="shared" si="11"/>
        <v>2</v>
      </c>
      <c r="Z19" s="32"/>
      <c r="AB19" s="146">
        <f t="shared" si="12"/>
        <v>0.11764705882352941</v>
      </c>
      <c r="AC19" s="146">
        <f t="shared" si="13"/>
        <v>0</v>
      </c>
      <c r="AD19" s="146">
        <f t="shared" si="14"/>
        <v>0</v>
      </c>
      <c r="AE19" s="146">
        <f t="shared" si="15"/>
        <v>0</v>
      </c>
      <c r="AF19" s="146">
        <f t="shared" si="16"/>
        <v>0</v>
      </c>
      <c r="AG19" s="146">
        <f t="shared" si="17"/>
        <v>4.1666666666666664E-2</v>
      </c>
      <c r="AH19" s="32"/>
      <c r="AI19" s="24" t="str">
        <f t="shared" si="18"/>
        <v>Food Insecurity</v>
      </c>
      <c r="AJ19" t="str">
        <f>INDEX(tbl_threat_catg[Category],MATCH(AI19,tbl_threat_catg[Threat],0),1)</f>
        <v>Social</v>
      </c>
      <c r="AK19" s="151">
        <f t="shared" si="19"/>
        <v>0.11764705882352941</v>
      </c>
      <c r="AL19" s="151">
        <f t="shared" si="19"/>
        <v>0</v>
      </c>
      <c r="AM19" s="151">
        <f t="shared" si="6"/>
        <v>0</v>
      </c>
      <c r="AN19" s="151">
        <f t="shared" si="6"/>
        <v>0</v>
      </c>
      <c r="AO19" s="151">
        <f t="shared" si="6"/>
        <v>0</v>
      </c>
      <c r="AP19" s="151">
        <f t="shared" si="20"/>
        <v>0.11764705882352941</v>
      </c>
      <c r="AQ19" s="150">
        <f t="shared" si="21"/>
        <v>3.0567685589519653E-2</v>
      </c>
      <c r="AS19" s="160" t="str">
        <f t="shared" si="22"/>
        <v>UNIQUE</v>
      </c>
      <c r="AT19" s="161" t="str">
        <f t="shared" si="23"/>
        <v/>
      </c>
      <c r="AU19" s="161" t="str">
        <f t="shared" si="24"/>
        <v/>
      </c>
      <c r="AV19" s="161" t="str">
        <f t="shared" si="25"/>
        <v/>
      </c>
      <c r="AW19" s="162" t="str">
        <f t="shared" si="26"/>
        <v/>
      </c>
      <c r="AX19" s="167" t="b">
        <f t="shared" si="27"/>
        <v>0</v>
      </c>
    </row>
    <row r="20" spans="1:50" x14ac:dyDescent="0.25">
      <c r="A20" s="18" t="s">
        <v>354</v>
      </c>
      <c r="B20" s="8">
        <f>COUNTIFS(tbl_data[T1],A20,tbl_data[12. Consultation Group of],$B$3)</f>
        <v>0</v>
      </c>
      <c r="C20" s="9">
        <f>COUNTIFS(tbl_data[T1],$A20,tbl_data[12. Consultation Group of],$C$3)</f>
        <v>0</v>
      </c>
      <c r="D20" s="9">
        <f>COUNTIFS(tbl_data[T1],$A20,tbl_data[12. Consultation Group of],$D$3)</f>
        <v>0</v>
      </c>
      <c r="E20" s="9">
        <f>COUNTIFS(tbl_data[T1],$A20,tbl_data[12. Consultation Group of],$E$3)</f>
        <v>0</v>
      </c>
      <c r="F20" s="9">
        <f>COUNTIFS(tbl_data[T1],$A20,tbl_data[12. Consultation Group of],$F$3)</f>
        <v>0</v>
      </c>
      <c r="G20" s="13">
        <f t="shared" si="8"/>
        <v>0</v>
      </c>
      <c r="H20" s="8">
        <f>COUNTIFS(tbl_data[T2],A20,tbl_data[12. Consultation Group of],$H$3)</f>
        <v>0</v>
      </c>
      <c r="I20" s="9">
        <f>COUNTIFS(tbl_data[T2],$A20,tbl_data[12. Consultation Group of],$I$3)</f>
        <v>0</v>
      </c>
      <c r="J20" s="9">
        <f>COUNTIFS(tbl_data[T2],$A20,tbl_data[12. Consultation Group of],$J$3)</f>
        <v>0</v>
      </c>
      <c r="K20" s="9">
        <f>COUNTIFS(tbl_data[T2],$A20,tbl_data[12. Consultation Group of],$K$3)</f>
        <v>0</v>
      </c>
      <c r="L20" s="9">
        <f>COUNTIFS(tbl_data[T2],$A20,tbl_data[12. Consultation Group of],$L$3)</f>
        <v>0</v>
      </c>
      <c r="M20" s="13">
        <f t="shared" si="9"/>
        <v>0</v>
      </c>
      <c r="N20" s="8">
        <f>COUNTIFS(tbl_data[T3],$A20,tbl_data[12. Consultation Group of],$N$3)</f>
        <v>0</v>
      </c>
      <c r="O20" s="9">
        <f>COUNTIFS(tbl_data[T3],$A20,tbl_data[12. Consultation Group of],$O$3)</f>
        <v>1</v>
      </c>
      <c r="P20" s="9">
        <f>COUNTIFS(tbl_data[T3],$A20,tbl_data[12. Consultation Group of],$P$3)</f>
        <v>1</v>
      </c>
      <c r="Q20" s="9">
        <f>COUNTIFS(tbl_data[T3],$A20,tbl_data[12. Consultation Group of],$Q$3)</f>
        <v>0</v>
      </c>
      <c r="R20" s="9">
        <f>COUNTIFS(tbl_data[T3],$A20,tbl_data[12. Consultation Group of],$R$3)</f>
        <v>0</v>
      </c>
      <c r="S20" s="13">
        <f t="shared" si="10"/>
        <v>2</v>
      </c>
      <c r="T20" s="11">
        <f t="shared" si="0"/>
        <v>0</v>
      </c>
      <c r="U20" s="12">
        <f t="shared" si="1"/>
        <v>1</v>
      </c>
      <c r="V20" s="12">
        <f t="shared" si="2"/>
        <v>1</v>
      </c>
      <c r="W20" s="12">
        <f t="shared" si="3"/>
        <v>0</v>
      </c>
      <c r="X20" s="12">
        <f t="shared" si="4"/>
        <v>0</v>
      </c>
      <c r="Y20" s="13">
        <f t="shared" si="11"/>
        <v>2</v>
      </c>
      <c r="Z20" s="32"/>
      <c r="AB20" s="146">
        <f t="shared" si="12"/>
        <v>0</v>
      </c>
      <c r="AC20" s="146">
        <f t="shared" si="13"/>
        <v>0.14285714285714285</v>
      </c>
      <c r="AD20" s="146">
        <f t="shared" si="14"/>
        <v>0.1111111111111111</v>
      </c>
      <c r="AE20" s="146">
        <f t="shared" si="15"/>
        <v>0</v>
      </c>
      <c r="AF20" s="146">
        <f t="shared" si="16"/>
        <v>0</v>
      </c>
      <c r="AG20" s="146">
        <f t="shared" si="17"/>
        <v>4.1666666666666664E-2</v>
      </c>
      <c r="AH20" s="32"/>
      <c r="AI20" s="24" t="str">
        <f t="shared" si="18"/>
        <v>Hail</v>
      </c>
      <c r="AJ20" t="str">
        <f>INDEX(tbl_threat_catg[Category],MATCH(AI20,tbl_threat_catg[Threat],0),1)</f>
        <v>Natural</v>
      </c>
      <c r="AK20" s="151">
        <f t="shared" si="19"/>
        <v>0</v>
      </c>
      <c r="AL20" s="151">
        <f t="shared" si="19"/>
        <v>0.14285714285714285</v>
      </c>
      <c r="AM20" s="151">
        <f t="shared" si="6"/>
        <v>0.1111111111111111</v>
      </c>
      <c r="AN20" s="151">
        <f t="shared" si="6"/>
        <v>0</v>
      </c>
      <c r="AO20" s="151">
        <f t="shared" si="6"/>
        <v>0</v>
      </c>
      <c r="AP20" s="151">
        <f t="shared" si="20"/>
        <v>0.25396825396825395</v>
      </c>
      <c r="AQ20" s="150">
        <f t="shared" si="21"/>
        <v>6.5987384764677345E-2</v>
      </c>
      <c r="AS20" s="160" t="str">
        <f t="shared" si="22"/>
        <v/>
      </c>
      <c r="AT20" s="161" t="str">
        <f t="shared" si="23"/>
        <v/>
      </c>
      <c r="AU20" s="161" t="str">
        <f t="shared" si="24"/>
        <v/>
      </c>
      <c r="AV20" s="161" t="str">
        <f t="shared" si="25"/>
        <v/>
      </c>
      <c r="AW20" s="162" t="str">
        <f t="shared" si="26"/>
        <v/>
      </c>
      <c r="AX20" s="167" t="b">
        <f t="shared" si="27"/>
        <v>0</v>
      </c>
    </row>
    <row r="21" spans="1:50" x14ac:dyDescent="0.25">
      <c r="A21" s="18" t="s">
        <v>608</v>
      </c>
      <c r="B21" s="8">
        <f>COUNTIFS(tbl_data[T1],A21,tbl_data[12. Consultation Group of],$B$3)</f>
        <v>0</v>
      </c>
      <c r="C21" s="9">
        <f>COUNTIFS(tbl_data[T1],$A21,tbl_data[12. Consultation Group of],$C$3)</f>
        <v>0</v>
      </c>
      <c r="D21" s="9">
        <f>COUNTIFS(tbl_data[T1],$A21,tbl_data[12. Consultation Group of],$D$3)</f>
        <v>0</v>
      </c>
      <c r="E21" s="9">
        <f>COUNTIFS(tbl_data[T1],$A21,tbl_data[12. Consultation Group of],$E$3)</f>
        <v>0</v>
      </c>
      <c r="F21" s="9">
        <f>COUNTIFS(tbl_data[T1],$A21,tbl_data[12. Consultation Group of],$F$3)</f>
        <v>0</v>
      </c>
      <c r="G21" s="13">
        <f t="shared" si="8"/>
        <v>0</v>
      </c>
      <c r="H21" s="8">
        <f>COUNTIFS(tbl_data[T2],A21,tbl_data[12. Consultation Group of],$H$3)</f>
        <v>0</v>
      </c>
      <c r="I21" s="9">
        <f>COUNTIFS(tbl_data[T2],$A21,tbl_data[12. Consultation Group of],$I$3)</f>
        <v>0</v>
      </c>
      <c r="J21" s="9">
        <f>COUNTIFS(tbl_data[T2],$A21,tbl_data[12. Consultation Group of],$J$3)</f>
        <v>0</v>
      </c>
      <c r="K21" s="9">
        <f>COUNTIFS(tbl_data[T2],$A21,tbl_data[12. Consultation Group of],$K$3)</f>
        <v>0</v>
      </c>
      <c r="L21" s="9">
        <f>COUNTIFS(tbl_data[T2],$A21,tbl_data[12. Consultation Group of],$L$3)</f>
        <v>0</v>
      </c>
      <c r="M21" s="13">
        <f t="shared" si="9"/>
        <v>0</v>
      </c>
      <c r="N21" s="8">
        <f>COUNTIFS(tbl_data[T3],$A21,tbl_data[12. Consultation Group of],$N$3)</f>
        <v>0</v>
      </c>
      <c r="O21" s="9">
        <f>COUNTIFS(tbl_data[T3],$A21,tbl_data[12. Consultation Group of],$O$3)</f>
        <v>0</v>
      </c>
      <c r="P21" s="9">
        <f>COUNTIFS(tbl_data[T3],$A21,tbl_data[12. Consultation Group of],$P$3)</f>
        <v>0</v>
      </c>
      <c r="Q21" s="9">
        <f>COUNTIFS(tbl_data[T3],$A21,tbl_data[12. Consultation Group of],$Q$3)</f>
        <v>1</v>
      </c>
      <c r="R21" s="9">
        <f>COUNTIFS(tbl_data[T3],$A21,tbl_data[12. Consultation Group of],$R$3)</f>
        <v>0</v>
      </c>
      <c r="S21" s="13">
        <f t="shared" si="10"/>
        <v>1</v>
      </c>
      <c r="T21" s="11">
        <f t="shared" si="0"/>
        <v>0</v>
      </c>
      <c r="U21" s="12">
        <f t="shared" si="1"/>
        <v>0</v>
      </c>
      <c r="V21" s="12">
        <f t="shared" si="2"/>
        <v>0</v>
      </c>
      <c r="W21" s="12">
        <f t="shared" si="3"/>
        <v>1</v>
      </c>
      <c r="X21" s="12">
        <f t="shared" si="4"/>
        <v>0</v>
      </c>
      <c r="Y21" s="13">
        <f t="shared" si="11"/>
        <v>1</v>
      </c>
      <c r="Z21" s="32"/>
      <c r="AB21" s="146">
        <f t="shared" si="12"/>
        <v>0</v>
      </c>
      <c r="AC21" s="146">
        <f t="shared" si="13"/>
        <v>0</v>
      </c>
      <c r="AD21" s="146">
        <f t="shared" si="14"/>
        <v>0</v>
      </c>
      <c r="AE21" s="146">
        <f t="shared" si="15"/>
        <v>5.2631578947368418E-2</v>
      </c>
      <c r="AF21" s="146">
        <f t="shared" si="16"/>
        <v>0</v>
      </c>
      <c r="AG21" s="146">
        <f t="shared" si="17"/>
        <v>2.0833333333333332E-2</v>
      </c>
      <c r="AH21" s="32"/>
      <c r="AI21" s="24" t="str">
        <f t="shared" si="18"/>
        <v>Heavy Rainfall</v>
      </c>
      <c r="AJ21" t="str">
        <f>INDEX(tbl_threat_catg[Category],MATCH(AI21,tbl_threat_catg[Threat],0),1)</f>
        <v>Natural Common</v>
      </c>
      <c r="AK21" s="151">
        <f t="shared" si="19"/>
        <v>0</v>
      </c>
      <c r="AL21" s="151">
        <f t="shared" si="19"/>
        <v>0</v>
      </c>
      <c r="AM21" s="151">
        <f t="shared" ref="AM21:AM42" si="28">(V21-MIN(V$5:V$42))/(MAX(V$5:V$42)-MIN(V$5:V$42))</f>
        <v>0</v>
      </c>
      <c r="AN21" s="151">
        <f t="shared" ref="AN21:AN42" si="29">(W21-MIN(W$5:W$42))/(MAX(W$5:W$42)-MIN(W$5:W$42))</f>
        <v>5.2631578947368418E-2</v>
      </c>
      <c r="AO21" s="151">
        <f t="shared" ref="AO21:AO42" si="30">(X21-MIN(X$5:X$42))/(MAX(X$5:X$42)-MIN(X$5:X$42))</f>
        <v>0</v>
      </c>
      <c r="AP21" s="151">
        <f t="shared" si="20"/>
        <v>5.2631578947368418E-2</v>
      </c>
      <c r="AQ21" s="150">
        <f t="shared" si="21"/>
        <v>1.3675017237416686E-2</v>
      </c>
      <c r="AS21" s="160" t="str">
        <f t="shared" si="22"/>
        <v/>
      </c>
      <c r="AT21" s="161" t="str">
        <f t="shared" si="23"/>
        <v/>
      </c>
      <c r="AU21" s="161" t="str">
        <f t="shared" si="24"/>
        <v/>
      </c>
      <c r="AV21" s="161" t="str">
        <f t="shared" si="25"/>
        <v>UNIQUE</v>
      </c>
      <c r="AW21" s="162" t="str">
        <f t="shared" si="26"/>
        <v/>
      </c>
      <c r="AX21" s="167" t="b">
        <f t="shared" si="27"/>
        <v>0</v>
      </c>
    </row>
    <row r="22" spans="1:50" x14ac:dyDescent="0.25">
      <c r="A22" s="18" t="s">
        <v>258</v>
      </c>
      <c r="B22" s="8">
        <f>COUNTIFS(tbl_data[T1],A22,tbl_data[12. Consultation Group of],$B$3)</f>
        <v>0</v>
      </c>
      <c r="C22" s="9">
        <f>COUNTIFS(tbl_data[T1],$A22,tbl_data[12. Consultation Group of],$C$3)</f>
        <v>0</v>
      </c>
      <c r="D22" s="9">
        <f>COUNTIFS(tbl_data[T1],$A22,tbl_data[12. Consultation Group of],$D$3)</f>
        <v>0</v>
      </c>
      <c r="E22" s="9">
        <f>COUNTIFS(tbl_data[T1],$A22,tbl_data[12. Consultation Group of],$E$3)</f>
        <v>1</v>
      </c>
      <c r="F22" s="9">
        <f>COUNTIFS(tbl_data[T1],$A22,tbl_data[12. Consultation Group of],$F$3)</f>
        <v>0</v>
      </c>
      <c r="G22" s="13">
        <f t="shared" si="8"/>
        <v>1</v>
      </c>
      <c r="H22" s="8">
        <f>COUNTIFS(tbl_data[T2],A22,tbl_data[12. Consultation Group of],$H$3)</f>
        <v>0</v>
      </c>
      <c r="I22" s="9">
        <f>COUNTIFS(tbl_data[T2],$A22,tbl_data[12. Consultation Group of],$I$3)</f>
        <v>0</v>
      </c>
      <c r="J22" s="9">
        <f>COUNTIFS(tbl_data[T2],$A22,tbl_data[12. Consultation Group of],$J$3)</f>
        <v>1</v>
      </c>
      <c r="K22" s="9">
        <f>COUNTIFS(tbl_data[T2],$A22,tbl_data[12. Consultation Group of],$K$3)</f>
        <v>0</v>
      </c>
      <c r="L22" s="9">
        <f>COUNTIFS(tbl_data[T2],$A22,tbl_data[12. Consultation Group of],$L$3)</f>
        <v>0</v>
      </c>
      <c r="M22" s="13">
        <f t="shared" si="9"/>
        <v>1</v>
      </c>
      <c r="N22" s="8">
        <f>COUNTIFS(tbl_data[T3],$A22,tbl_data[12. Consultation Group of],$N$3)</f>
        <v>0</v>
      </c>
      <c r="O22" s="9">
        <f>COUNTIFS(tbl_data[T3],$A22,tbl_data[12. Consultation Group of],$O$3)</f>
        <v>0</v>
      </c>
      <c r="P22" s="9">
        <f>COUNTIFS(tbl_data[T3],$A22,tbl_data[12. Consultation Group of],$P$3)</f>
        <v>0</v>
      </c>
      <c r="Q22" s="9">
        <f>COUNTIFS(tbl_data[T3],$A22,tbl_data[12. Consultation Group of],$Q$3)</f>
        <v>0</v>
      </c>
      <c r="R22" s="9">
        <f>COUNTIFS(tbl_data[T3],$A22,tbl_data[12. Consultation Group of],$R$3)</f>
        <v>0</v>
      </c>
      <c r="S22" s="13">
        <f t="shared" si="10"/>
        <v>0</v>
      </c>
      <c r="T22" s="11">
        <f t="shared" si="0"/>
        <v>0</v>
      </c>
      <c r="U22" s="12">
        <f t="shared" si="1"/>
        <v>0</v>
      </c>
      <c r="V22" s="12">
        <f t="shared" si="2"/>
        <v>2</v>
      </c>
      <c r="W22" s="12">
        <f t="shared" si="3"/>
        <v>3</v>
      </c>
      <c r="X22" s="12">
        <f t="shared" si="4"/>
        <v>0</v>
      </c>
      <c r="Y22" s="13">
        <f t="shared" si="11"/>
        <v>5</v>
      </c>
      <c r="Z22" s="32"/>
      <c r="AB22" s="146">
        <f t="shared" si="12"/>
        <v>0</v>
      </c>
      <c r="AC22" s="146">
        <f t="shared" si="13"/>
        <v>0</v>
      </c>
      <c r="AD22" s="146">
        <f t="shared" si="14"/>
        <v>0.22222222222222221</v>
      </c>
      <c r="AE22" s="146">
        <f t="shared" si="15"/>
        <v>0.15789473684210525</v>
      </c>
      <c r="AF22" s="146">
        <f t="shared" si="16"/>
        <v>0</v>
      </c>
      <c r="AG22" s="146">
        <f t="shared" si="17"/>
        <v>0.10416666666666667</v>
      </c>
      <c r="AH22" s="32"/>
      <c r="AI22" s="24" t="str">
        <f t="shared" si="18"/>
        <v>High Cost of Living</v>
      </c>
      <c r="AJ22" t="str">
        <f>INDEX(tbl_threat_catg[Category],MATCH(AI22,tbl_threat_catg[Threat],0),1)</f>
        <v>Social</v>
      </c>
      <c r="AK22" s="151">
        <f t="shared" si="19"/>
        <v>0</v>
      </c>
      <c r="AL22" s="151">
        <f t="shared" si="19"/>
        <v>0</v>
      </c>
      <c r="AM22" s="151">
        <f t="shared" si="28"/>
        <v>0.22222222222222221</v>
      </c>
      <c r="AN22" s="151">
        <f t="shared" si="29"/>
        <v>0.15789473684210525</v>
      </c>
      <c r="AO22" s="151">
        <f t="shared" si="30"/>
        <v>0</v>
      </c>
      <c r="AP22" s="151">
        <f t="shared" si="20"/>
        <v>0.38011695906432746</v>
      </c>
      <c r="AQ22" s="150">
        <f t="shared" si="21"/>
        <v>9.8764013381342733E-2</v>
      </c>
      <c r="AS22" s="160" t="str">
        <f t="shared" si="22"/>
        <v/>
      </c>
      <c r="AT22" s="161" t="str">
        <f t="shared" si="23"/>
        <v/>
      </c>
      <c r="AU22" s="161" t="str">
        <f t="shared" si="24"/>
        <v/>
      </c>
      <c r="AV22" s="161" t="str">
        <f t="shared" si="25"/>
        <v/>
      </c>
      <c r="AW22" s="162" t="str">
        <f t="shared" si="26"/>
        <v/>
      </c>
      <c r="AX22" s="167" t="b">
        <f t="shared" si="27"/>
        <v>0</v>
      </c>
    </row>
    <row r="23" spans="1:50" x14ac:dyDescent="0.25">
      <c r="A23" s="18" t="s">
        <v>616</v>
      </c>
      <c r="B23" s="8">
        <f>COUNTIFS(tbl_data[T1],A23,tbl_data[12. Consultation Group of],$B$3)</f>
        <v>0</v>
      </c>
      <c r="C23" s="9">
        <f>COUNTIFS(tbl_data[T1],$A23,tbl_data[12. Consultation Group of],$C$3)</f>
        <v>1</v>
      </c>
      <c r="D23" s="9">
        <f>COUNTIFS(tbl_data[T1],$A23,tbl_data[12. Consultation Group of],$D$3)</f>
        <v>0</v>
      </c>
      <c r="E23" s="9">
        <f>COUNTIFS(tbl_data[T1],$A23,tbl_data[12. Consultation Group of],$E$3)</f>
        <v>0</v>
      </c>
      <c r="F23" s="9">
        <f>COUNTIFS(tbl_data[T1],$A23,tbl_data[12. Consultation Group of],$F$3)</f>
        <v>0</v>
      </c>
      <c r="G23" s="13">
        <f t="shared" si="8"/>
        <v>1</v>
      </c>
      <c r="H23" s="8">
        <f>COUNTIFS(tbl_data[T2],A23,tbl_data[12. Consultation Group of],$H$3)</f>
        <v>0</v>
      </c>
      <c r="I23" s="9">
        <f>COUNTIFS(tbl_data[T2],$A23,tbl_data[12. Consultation Group of],$I$3)</f>
        <v>0</v>
      </c>
      <c r="J23" s="9">
        <f>COUNTIFS(tbl_data[T2],$A23,tbl_data[12. Consultation Group of],$J$3)</f>
        <v>0</v>
      </c>
      <c r="K23" s="9">
        <f>COUNTIFS(tbl_data[T2],$A23,tbl_data[12. Consultation Group of],$K$3)</f>
        <v>0</v>
      </c>
      <c r="L23" s="9">
        <f>COUNTIFS(tbl_data[T2],$A23,tbl_data[12. Consultation Group of],$L$3)</f>
        <v>0</v>
      </c>
      <c r="M23" s="13">
        <f t="shared" si="9"/>
        <v>0</v>
      </c>
      <c r="N23" s="8">
        <f>COUNTIFS(tbl_data[T3],$A23,tbl_data[12. Consultation Group of],$N$3)</f>
        <v>0</v>
      </c>
      <c r="O23" s="9">
        <f>COUNTIFS(tbl_data[T3],$A23,tbl_data[12. Consultation Group of],$O$3)</f>
        <v>0</v>
      </c>
      <c r="P23" s="9">
        <f>COUNTIFS(tbl_data[T3],$A23,tbl_data[12. Consultation Group of],$P$3)</f>
        <v>0</v>
      </c>
      <c r="Q23" s="9">
        <f>COUNTIFS(tbl_data[T3],$A23,tbl_data[12. Consultation Group of],$Q$3)</f>
        <v>0</v>
      </c>
      <c r="R23" s="9">
        <f>COUNTIFS(tbl_data[T3],$A23,tbl_data[12. Consultation Group of],$R$3)</f>
        <v>0</v>
      </c>
      <c r="S23" s="13">
        <f t="shared" si="10"/>
        <v>0</v>
      </c>
      <c r="T23" s="11">
        <f t="shared" si="0"/>
        <v>0</v>
      </c>
      <c r="U23" s="12">
        <f t="shared" si="1"/>
        <v>3</v>
      </c>
      <c r="V23" s="12">
        <f t="shared" si="2"/>
        <v>0</v>
      </c>
      <c r="W23" s="12">
        <f t="shared" si="3"/>
        <v>0</v>
      </c>
      <c r="X23" s="12">
        <f t="shared" si="4"/>
        <v>0</v>
      </c>
      <c r="Y23" s="13">
        <f t="shared" si="11"/>
        <v>3</v>
      </c>
      <c r="Z23" s="32"/>
      <c r="AB23" s="146">
        <f t="shared" si="12"/>
        <v>0</v>
      </c>
      <c r="AC23" s="146">
        <f t="shared" si="13"/>
        <v>0.42857142857142855</v>
      </c>
      <c r="AD23" s="146">
        <f t="shared" si="14"/>
        <v>0</v>
      </c>
      <c r="AE23" s="146">
        <f t="shared" si="15"/>
        <v>0</v>
      </c>
      <c r="AF23" s="146">
        <f t="shared" si="16"/>
        <v>0</v>
      </c>
      <c r="AG23" s="146">
        <f t="shared" si="17"/>
        <v>6.25E-2</v>
      </c>
      <c r="AH23" s="32"/>
      <c r="AI23" s="24" t="str">
        <f t="shared" si="18"/>
        <v>Hurricanes</v>
      </c>
      <c r="AJ23" t="str">
        <f>INDEX(tbl_threat_catg[Category],MATCH(AI23,tbl_threat_catg[Threat],0),1)</f>
        <v>Natural</v>
      </c>
      <c r="AK23" s="151">
        <f t="shared" si="19"/>
        <v>0</v>
      </c>
      <c r="AL23" s="151">
        <f t="shared" si="19"/>
        <v>0.42857142857142855</v>
      </c>
      <c r="AM23" s="151">
        <f t="shared" si="28"/>
        <v>0</v>
      </c>
      <c r="AN23" s="151">
        <f t="shared" si="29"/>
        <v>0</v>
      </c>
      <c r="AO23" s="151">
        <f t="shared" si="30"/>
        <v>0</v>
      </c>
      <c r="AP23" s="151">
        <f t="shared" si="20"/>
        <v>0.42857142857142855</v>
      </c>
      <c r="AQ23" s="150">
        <f t="shared" si="21"/>
        <v>0.11135371179039302</v>
      </c>
      <c r="AS23" s="160" t="str">
        <f t="shared" si="22"/>
        <v/>
      </c>
      <c r="AT23" s="161" t="str">
        <f t="shared" si="23"/>
        <v>UNIQUE</v>
      </c>
      <c r="AU23" s="161" t="str">
        <f t="shared" si="24"/>
        <v/>
      </c>
      <c r="AV23" s="161" t="str">
        <f t="shared" si="25"/>
        <v/>
      </c>
      <c r="AW23" s="162" t="str">
        <f t="shared" si="26"/>
        <v/>
      </c>
      <c r="AX23" s="167" t="b">
        <f t="shared" si="27"/>
        <v>0</v>
      </c>
    </row>
    <row r="24" spans="1:50" x14ac:dyDescent="0.25">
      <c r="A24" s="130" t="s">
        <v>327</v>
      </c>
      <c r="B24" s="8">
        <f>COUNTIFS(tbl_data[T1],A24,tbl_data[12. Consultation Group of],$B$3)</f>
        <v>0</v>
      </c>
      <c r="C24" s="9">
        <f>COUNTIFS(tbl_data[T1],$A24,tbl_data[12. Consultation Group of],$C$3)</f>
        <v>0</v>
      </c>
      <c r="D24" s="9">
        <f>COUNTIFS(tbl_data[T1],$A24,tbl_data[12. Consultation Group of],$D$3)</f>
        <v>0</v>
      </c>
      <c r="E24" s="9">
        <f>COUNTIFS(tbl_data[T1],$A24,tbl_data[12. Consultation Group of],$E$3)</f>
        <v>0</v>
      </c>
      <c r="F24" s="9">
        <f>COUNTIFS(tbl_data[T1],$A24,tbl_data[12. Consultation Group of],$F$3)</f>
        <v>0</v>
      </c>
      <c r="G24" s="13">
        <f t="shared" si="8"/>
        <v>0</v>
      </c>
      <c r="H24" s="8">
        <f>COUNTIFS(tbl_data[T2],A24,tbl_data[12. Consultation Group of],$H$3)</f>
        <v>0</v>
      </c>
      <c r="I24" s="9">
        <f>COUNTIFS(tbl_data[T2],$A24,tbl_data[12. Consultation Group of],$I$3)</f>
        <v>0</v>
      </c>
      <c r="J24" s="9">
        <f>COUNTIFS(tbl_data[T2],$A24,tbl_data[12. Consultation Group of],$J$3)</f>
        <v>0</v>
      </c>
      <c r="K24" s="9">
        <f>COUNTIFS(tbl_data[T2],$A24,tbl_data[12. Consultation Group of],$K$3)</f>
        <v>0</v>
      </c>
      <c r="L24" s="9">
        <f>COUNTIFS(tbl_data[T2],$A24,tbl_data[12. Consultation Group of],$L$3)</f>
        <v>0</v>
      </c>
      <c r="M24" s="13">
        <f t="shared" si="9"/>
        <v>0</v>
      </c>
      <c r="N24" s="8">
        <f>COUNTIFS(tbl_data[T3],$A24,tbl_data[12. Consultation Group of],$N$3)</f>
        <v>0</v>
      </c>
      <c r="O24" s="9">
        <f>COUNTIFS(tbl_data[T3],$A24,tbl_data[12. Consultation Group of],$O$3)</f>
        <v>0</v>
      </c>
      <c r="P24" s="9">
        <f>COUNTIFS(tbl_data[T3],$A24,tbl_data[12. Consultation Group of],$P$3)</f>
        <v>0</v>
      </c>
      <c r="Q24" s="9">
        <f>COUNTIFS(tbl_data[T3],$A24,tbl_data[12. Consultation Group of],$Q$3)</f>
        <v>0</v>
      </c>
      <c r="R24" s="9">
        <f>COUNTIFS(tbl_data[T3],$A24,tbl_data[12. Consultation Group of],$R$3)</f>
        <v>0</v>
      </c>
      <c r="S24" s="13">
        <f t="shared" si="10"/>
        <v>0</v>
      </c>
      <c r="T24" s="11">
        <f t="shared" si="0"/>
        <v>0</v>
      </c>
      <c r="U24" s="12">
        <f t="shared" si="1"/>
        <v>0</v>
      </c>
      <c r="V24" s="12">
        <f t="shared" si="2"/>
        <v>0</v>
      </c>
      <c r="W24" s="12">
        <f t="shared" si="3"/>
        <v>0</v>
      </c>
      <c r="X24" s="12">
        <f t="shared" si="4"/>
        <v>0</v>
      </c>
      <c r="Y24" s="13">
        <f t="shared" si="11"/>
        <v>0</v>
      </c>
      <c r="Z24" s="32"/>
      <c r="AB24" s="146">
        <f t="shared" si="12"/>
        <v>0</v>
      </c>
      <c r="AC24" s="146">
        <f t="shared" si="13"/>
        <v>0</v>
      </c>
      <c r="AD24" s="146">
        <f t="shared" si="14"/>
        <v>0</v>
      </c>
      <c r="AE24" s="146">
        <f t="shared" si="15"/>
        <v>0</v>
      </c>
      <c r="AF24" s="146">
        <f t="shared" si="16"/>
        <v>0</v>
      </c>
      <c r="AG24" s="146">
        <f t="shared" si="17"/>
        <v>0</v>
      </c>
      <c r="AH24" s="32"/>
      <c r="AI24" s="24" t="str">
        <f t="shared" si="18"/>
        <v>Illegal/Poor Construction</v>
      </c>
      <c r="AJ24" t="str">
        <f>INDEX(tbl_threat_catg[Category],MATCH(AI24,tbl_threat_catg[Threat],0),1)</f>
        <v>Legal</v>
      </c>
      <c r="AK24" s="151">
        <f t="shared" si="19"/>
        <v>0</v>
      </c>
      <c r="AL24" s="151">
        <f t="shared" si="19"/>
        <v>0</v>
      </c>
      <c r="AM24" s="151">
        <f t="shared" si="28"/>
        <v>0</v>
      </c>
      <c r="AN24" s="151">
        <f t="shared" si="29"/>
        <v>0</v>
      </c>
      <c r="AO24" s="151">
        <f t="shared" si="30"/>
        <v>0</v>
      </c>
      <c r="AP24" s="151">
        <f t="shared" si="20"/>
        <v>0</v>
      </c>
      <c r="AQ24" s="150">
        <f t="shared" si="21"/>
        <v>0</v>
      </c>
      <c r="AS24" s="160" t="str">
        <f t="shared" si="22"/>
        <v/>
      </c>
      <c r="AT24" s="161" t="str">
        <f t="shared" si="23"/>
        <v/>
      </c>
      <c r="AU24" s="161" t="str">
        <f t="shared" si="24"/>
        <v/>
      </c>
      <c r="AV24" s="161" t="str">
        <f t="shared" si="25"/>
        <v/>
      </c>
      <c r="AW24" s="162" t="str">
        <f t="shared" si="26"/>
        <v/>
      </c>
      <c r="AX24" s="167" t="b">
        <f t="shared" si="27"/>
        <v>0</v>
      </c>
    </row>
    <row r="25" spans="1:50" x14ac:dyDescent="0.25">
      <c r="A25" s="18" t="s">
        <v>536</v>
      </c>
      <c r="B25" s="8">
        <f>COUNTIFS(tbl_data[T1],A25,tbl_data[12. Consultation Group of],$B$3)</f>
        <v>0</v>
      </c>
      <c r="C25" s="9">
        <f>COUNTIFS(tbl_data[T1],$A25,tbl_data[12. Consultation Group of],$C$3)</f>
        <v>0</v>
      </c>
      <c r="D25" s="9">
        <f>COUNTIFS(tbl_data[T1],$A25,tbl_data[12. Consultation Group of],$D$3)</f>
        <v>0</v>
      </c>
      <c r="E25" s="9">
        <f>COUNTIFS(tbl_data[T1],$A25,tbl_data[12. Consultation Group of],$E$3)</f>
        <v>0</v>
      </c>
      <c r="F25" s="9">
        <f>COUNTIFS(tbl_data[T1],$A25,tbl_data[12. Consultation Group of],$F$3)</f>
        <v>2</v>
      </c>
      <c r="G25" s="13">
        <f t="shared" si="8"/>
        <v>2</v>
      </c>
      <c r="H25" s="8">
        <f>COUNTIFS(tbl_data[T2],A25,tbl_data[12. Consultation Group of],$H$3)</f>
        <v>1</v>
      </c>
      <c r="I25" s="9">
        <f>COUNTIFS(tbl_data[T2],$A25,tbl_data[12. Consultation Group of],$I$3)</f>
        <v>0</v>
      </c>
      <c r="J25" s="9">
        <f>COUNTIFS(tbl_data[T2],$A25,tbl_data[12. Consultation Group of],$J$3)</f>
        <v>1</v>
      </c>
      <c r="K25" s="9">
        <f>COUNTIFS(tbl_data[T2],$A25,tbl_data[12. Consultation Group of],$K$3)</f>
        <v>0</v>
      </c>
      <c r="L25" s="9">
        <f>COUNTIFS(tbl_data[T2],$A25,tbl_data[12. Consultation Group of],$L$3)</f>
        <v>0</v>
      </c>
      <c r="M25" s="13">
        <f t="shared" si="9"/>
        <v>2</v>
      </c>
      <c r="N25" s="8">
        <f>COUNTIFS(tbl_data[T3],$A25,tbl_data[12. Consultation Group of],$N$3)</f>
        <v>0</v>
      </c>
      <c r="O25" s="9">
        <f>COUNTIFS(tbl_data[T3],$A25,tbl_data[12. Consultation Group of],$O$3)</f>
        <v>0</v>
      </c>
      <c r="P25" s="9">
        <f>COUNTIFS(tbl_data[T3],$A25,tbl_data[12. Consultation Group of],$P$3)</f>
        <v>0</v>
      </c>
      <c r="Q25" s="9">
        <f>COUNTIFS(tbl_data[T3],$A25,tbl_data[12. Consultation Group of],$Q$3)</f>
        <v>0</v>
      </c>
      <c r="R25" s="9">
        <f>COUNTIFS(tbl_data[T3],$A25,tbl_data[12. Consultation Group of],$R$3)</f>
        <v>1</v>
      </c>
      <c r="S25" s="13">
        <f t="shared" si="10"/>
        <v>1</v>
      </c>
      <c r="T25" s="11">
        <f t="shared" si="0"/>
        <v>2</v>
      </c>
      <c r="U25" s="12">
        <f t="shared" si="1"/>
        <v>0</v>
      </c>
      <c r="V25" s="12">
        <f t="shared" si="2"/>
        <v>2</v>
      </c>
      <c r="W25" s="12">
        <f t="shared" si="3"/>
        <v>0</v>
      </c>
      <c r="X25" s="12">
        <f t="shared" si="4"/>
        <v>7</v>
      </c>
      <c r="Y25" s="13">
        <f t="shared" si="11"/>
        <v>11</v>
      </c>
      <c r="Z25" s="32"/>
      <c r="AB25" s="146">
        <f t="shared" si="12"/>
        <v>0.11764705882352941</v>
      </c>
      <c r="AC25" s="146">
        <f t="shared" si="13"/>
        <v>0</v>
      </c>
      <c r="AD25" s="146">
        <f t="shared" si="14"/>
        <v>0.22222222222222221</v>
      </c>
      <c r="AE25" s="146">
        <f t="shared" si="15"/>
        <v>0</v>
      </c>
      <c r="AF25" s="146">
        <f t="shared" si="16"/>
        <v>1</v>
      </c>
      <c r="AG25" s="146">
        <f t="shared" si="17"/>
        <v>0.22916666666666666</v>
      </c>
      <c r="AH25" s="32"/>
      <c r="AI25" s="24" t="str">
        <f t="shared" si="18"/>
        <v>Lack of Access to Basic Services</v>
      </c>
      <c r="AJ25" t="str">
        <f>INDEX(tbl_threat_catg[Category],MATCH(AI25,tbl_threat_catg[Threat],0),1)</f>
        <v>Infrastructure</v>
      </c>
      <c r="AK25" s="151">
        <f t="shared" si="19"/>
        <v>0.11764705882352941</v>
      </c>
      <c r="AL25" s="151">
        <f t="shared" si="19"/>
        <v>0</v>
      </c>
      <c r="AM25" s="151">
        <f t="shared" si="28"/>
        <v>0.22222222222222221</v>
      </c>
      <c r="AN25" s="151">
        <f t="shared" si="29"/>
        <v>0</v>
      </c>
      <c r="AO25" s="151">
        <f t="shared" si="30"/>
        <v>1</v>
      </c>
      <c r="AP25" s="151">
        <f t="shared" si="20"/>
        <v>1.3398692810457518</v>
      </c>
      <c r="AQ25" s="150">
        <f t="shared" si="21"/>
        <v>0.3481319747695294</v>
      </c>
      <c r="AS25" s="160" t="str">
        <f t="shared" si="22"/>
        <v/>
      </c>
      <c r="AT25" s="161" t="str">
        <f t="shared" si="23"/>
        <v/>
      </c>
      <c r="AU25" s="161" t="str">
        <f t="shared" si="24"/>
        <v/>
      </c>
      <c r="AV25" s="161" t="str">
        <f t="shared" si="25"/>
        <v/>
      </c>
      <c r="AW25" s="162" t="str">
        <f t="shared" si="26"/>
        <v/>
      </c>
      <c r="AX25" s="167" t="b">
        <f t="shared" si="27"/>
        <v>0</v>
      </c>
    </row>
    <row r="26" spans="1:50" x14ac:dyDescent="0.25">
      <c r="A26" s="18" t="s">
        <v>156</v>
      </c>
      <c r="B26" s="8">
        <f>COUNTIFS(tbl_data[T1],A26,tbl_data[12. Consultation Group of],$B$3)</f>
        <v>5</v>
      </c>
      <c r="C26" s="9">
        <f>COUNTIFS(tbl_data[T1],$A26,tbl_data[12. Consultation Group of],$C$3)</f>
        <v>0</v>
      </c>
      <c r="D26" s="9">
        <f>COUNTIFS(tbl_data[T1],$A26,tbl_data[12. Consultation Group of],$D$3)</f>
        <v>0</v>
      </c>
      <c r="E26" s="9">
        <f>COUNTIFS(tbl_data[T1],$A26,tbl_data[12. Consultation Group of],$E$3)</f>
        <v>1</v>
      </c>
      <c r="F26" s="9">
        <f>COUNTIFS(tbl_data[T1],$A26,tbl_data[12. Consultation Group of],$F$3)</f>
        <v>1</v>
      </c>
      <c r="G26" s="13">
        <f t="shared" si="8"/>
        <v>7</v>
      </c>
      <c r="H26" s="8">
        <f>COUNTIFS(tbl_data[T2],A26,tbl_data[12. Consultation Group of],$H$3)</f>
        <v>1</v>
      </c>
      <c r="I26" s="9">
        <f>COUNTIFS(tbl_data[T2],$A26,tbl_data[12. Consultation Group of],$I$3)</f>
        <v>2</v>
      </c>
      <c r="J26" s="9">
        <f>COUNTIFS(tbl_data[T2],$A26,tbl_data[12. Consultation Group of],$J$3)</f>
        <v>2</v>
      </c>
      <c r="K26" s="9">
        <f>COUNTIFS(tbl_data[T2],$A26,tbl_data[12. Consultation Group of],$K$3)</f>
        <v>0</v>
      </c>
      <c r="L26" s="9">
        <f>COUNTIFS(tbl_data[T2],$A26,tbl_data[12. Consultation Group of],$L$3)</f>
        <v>0</v>
      </c>
      <c r="M26" s="13">
        <f t="shared" si="9"/>
        <v>5</v>
      </c>
      <c r="N26" s="8">
        <f>COUNTIFS(tbl_data[T3],$A26,tbl_data[12. Consultation Group of],$N$3)</f>
        <v>0</v>
      </c>
      <c r="O26" s="9">
        <f>COUNTIFS(tbl_data[T3],$A26,tbl_data[12. Consultation Group of],$O$3)</f>
        <v>1</v>
      </c>
      <c r="P26" s="9">
        <f>COUNTIFS(tbl_data[T3],$A26,tbl_data[12. Consultation Group of],$P$3)</f>
        <v>0</v>
      </c>
      <c r="Q26" s="9">
        <f>COUNTIFS(tbl_data[T3],$A26,tbl_data[12. Consultation Group of],$Q$3)</f>
        <v>2</v>
      </c>
      <c r="R26" s="9">
        <f>COUNTIFS(tbl_data[T3],$A26,tbl_data[12. Consultation Group of],$R$3)</f>
        <v>1</v>
      </c>
      <c r="S26" s="13">
        <f t="shared" si="10"/>
        <v>4</v>
      </c>
      <c r="T26" s="11">
        <f t="shared" si="0"/>
        <v>17</v>
      </c>
      <c r="U26" s="12">
        <f t="shared" si="1"/>
        <v>5</v>
      </c>
      <c r="V26" s="12">
        <f t="shared" si="2"/>
        <v>4</v>
      </c>
      <c r="W26" s="12">
        <f t="shared" si="3"/>
        <v>5</v>
      </c>
      <c r="X26" s="12">
        <f t="shared" si="4"/>
        <v>4</v>
      </c>
      <c r="Y26" s="13">
        <f t="shared" si="11"/>
        <v>35</v>
      </c>
      <c r="Z26" s="32"/>
      <c r="AB26" s="146">
        <f t="shared" si="12"/>
        <v>1</v>
      </c>
      <c r="AC26" s="146">
        <f t="shared" si="13"/>
        <v>0.7142857142857143</v>
      </c>
      <c r="AD26" s="146">
        <f t="shared" si="14"/>
        <v>0.44444444444444442</v>
      </c>
      <c r="AE26" s="146">
        <f t="shared" si="15"/>
        <v>0.26315789473684209</v>
      </c>
      <c r="AF26" s="146">
        <f t="shared" si="16"/>
        <v>0.5714285714285714</v>
      </c>
      <c r="AG26" s="146">
        <f t="shared" si="17"/>
        <v>0.72916666666666663</v>
      </c>
      <c r="AH26" s="32"/>
      <c r="AI26" s="24" t="str">
        <f t="shared" si="18"/>
        <v>Lack of Access to Water</v>
      </c>
      <c r="AJ26" t="str">
        <f>INDEX(tbl_threat_catg[Category],MATCH(AI26,tbl_threat_catg[Threat],0),1)</f>
        <v>Infrastructure</v>
      </c>
      <c r="AK26" s="151">
        <f t="shared" si="19"/>
        <v>1</v>
      </c>
      <c r="AL26" s="151">
        <f t="shared" si="19"/>
        <v>0.7142857142857143</v>
      </c>
      <c r="AM26" s="151">
        <f t="shared" si="28"/>
        <v>0.44444444444444442</v>
      </c>
      <c r="AN26" s="151">
        <f t="shared" si="29"/>
        <v>0.26315789473684209</v>
      </c>
      <c r="AO26" s="151">
        <f t="shared" si="30"/>
        <v>0.5714285714285714</v>
      </c>
      <c r="AP26" s="151">
        <f t="shared" si="20"/>
        <v>2.9933166248955727</v>
      </c>
      <c r="AQ26" s="150">
        <f t="shared" si="21"/>
        <v>0.77773947240736507</v>
      </c>
      <c r="AS26" s="160" t="str">
        <f t="shared" si="22"/>
        <v/>
      </c>
      <c r="AT26" s="161" t="str">
        <f t="shared" si="23"/>
        <v/>
      </c>
      <c r="AU26" s="161" t="str">
        <f t="shared" si="24"/>
        <v/>
      </c>
      <c r="AV26" s="161" t="str">
        <f t="shared" si="25"/>
        <v/>
      </c>
      <c r="AW26" s="162" t="str">
        <f t="shared" si="26"/>
        <v/>
      </c>
      <c r="AX26" s="167" t="b">
        <f t="shared" si="27"/>
        <v>1</v>
      </c>
    </row>
    <row r="27" spans="1:50" x14ac:dyDescent="0.25">
      <c r="A27" s="18" t="s">
        <v>568</v>
      </c>
      <c r="B27" s="8">
        <f>COUNTIFS(tbl_data[T1],A27,tbl_data[12. Consultation Group of],$B$3)</f>
        <v>0</v>
      </c>
      <c r="C27" s="9">
        <f>COUNTIFS(tbl_data[T1],$A27,tbl_data[12. Consultation Group of],$C$3)</f>
        <v>0</v>
      </c>
      <c r="D27" s="9">
        <f>COUNTIFS(tbl_data[T1],$A27,tbl_data[12. Consultation Group of],$D$3)</f>
        <v>0</v>
      </c>
      <c r="E27" s="9">
        <f>COUNTIFS(tbl_data[T1],$A27,tbl_data[12. Consultation Group of],$E$3)</f>
        <v>0</v>
      </c>
      <c r="F27" s="9">
        <f>COUNTIFS(tbl_data[T1],$A27,tbl_data[12. Consultation Group of],$F$3)</f>
        <v>0</v>
      </c>
      <c r="G27" s="13">
        <f t="shared" si="8"/>
        <v>0</v>
      </c>
      <c r="H27" s="8">
        <f>COUNTIFS(tbl_data[T2],A27,tbl_data[12. Consultation Group of],$H$3)</f>
        <v>0</v>
      </c>
      <c r="I27" s="9">
        <f>COUNTIFS(tbl_data[T2],$A27,tbl_data[12. Consultation Group of],$I$3)</f>
        <v>0</v>
      </c>
      <c r="J27" s="9">
        <f>COUNTIFS(tbl_data[T2],$A27,tbl_data[12. Consultation Group of],$J$3)</f>
        <v>0</v>
      </c>
      <c r="K27" s="9">
        <f>COUNTIFS(tbl_data[T2],$A27,tbl_data[12. Consultation Group of],$K$3)</f>
        <v>0</v>
      </c>
      <c r="L27" s="9">
        <f>COUNTIFS(tbl_data[T2],$A27,tbl_data[12. Consultation Group of],$L$3)</f>
        <v>0</v>
      </c>
      <c r="M27" s="13">
        <f t="shared" si="9"/>
        <v>0</v>
      </c>
      <c r="N27" s="8">
        <f>COUNTIFS(tbl_data[T3],$A27,tbl_data[12. Consultation Group of],$N$3)</f>
        <v>0</v>
      </c>
      <c r="O27" s="9">
        <f>COUNTIFS(tbl_data[T3],$A27,tbl_data[12. Consultation Group of],$O$3)</f>
        <v>0</v>
      </c>
      <c r="P27" s="9">
        <f>COUNTIFS(tbl_data[T3],$A27,tbl_data[12. Consultation Group of],$P$3)</f>
        <v>0</v>
      </c>
      <c r="Q27" s="9">
        <f>COUNTIFS(tbl_data[T3],$A27,tbl_data[12. Consultation Group of],$Q$3)</f>
        <v>1</v>
      </c>
      <c r="R27" s="9">
        <f>COUNTIFS(tbl_data[T3],$A27,tbl_data[12. Consultation Group of],$R$3)</f>
        <v>0</v>
      </c>
      <c r="S27" s="13">
        <f t="shared" si="10"/>
        <v>1</v>
      </c>
      <c r="T27" s="11">
        <f t="shared" si="0"/>
        <v>0</v>
      </c>
      <c r="U27" s="12">
        <f t="shared" si="1"/>
        <v>0</v>
      </c>
      <c r="V27" s="12">
        <f t="shared" si="2"/>
        <v>0</v>
      </c>
      <c r="W27" s="12">
        <f t="shared" si="3"/>
        <v>1</v>
      </c>
      <c r="X27" s="12">
        <f t="shared" si="4"/>
        <v>0</v>
      </c>
      <c r="Y27" s="13">
        <f t="shared" si="11"/>
        <v>1</v>
      </c>
      <c r="Z27" s="32"/>
      <c r="AB27" s="146">
        <f t="shared" si="12"/>
        <v>0</v>
      </c>
      <c r="AC27" s="146">
        <f t="shared" si="13"/>
        <v>0</v>
      </c>
      <c r="AD27" s="146">
        <f t="shared" si="14"/>
        <v>0</v>
      </c>
      <c r="AE27" s="146">
        <f t="shared" si="15"/>
        <v>5.2631578947368418E-2</v>
      </c>
      <c r="AF27" s="146">
        <f t="shared" si="16"/>
        <v>0</v>
      </c>
      <c r="AG27" s="146">
        <f t="shared" si="17"/>
        <v>2.0833333333333332E-2</v>
      </c>
      <c r="AH27" s="32"/>
      <c r="AI27" s="24" t="str">
        <f t="shared" si="18"/>
        <v>Lack of Preparedness</v>
      </c>
      <c r="AJ27" t="str">
        <f>INDEX(tbl_threat_catg[Category],MATCH(AI27,tbl_threat_catg[Threat],0),1)</f>
        <v>Legal</v>
      </c>
      <c r="AK27" s="151">
        <f t="shared" si="19"/>
        <v>0</v>
      </c>
      <c r="AL27" s="151">
        <f t="shared" si="19"/>
        <v>0</v>
      </c>
      <c r="AM27" s="151">
        <f t="shared" si="28"/>
        <v>0</v>
      </c>
      <c r="AN27" s="151">
        <f t="shared" si="29"/>
        <v>5.2631578947368418E-2</v>
      </c>
      <c r="AO27" s="151">
        <f t="shared" si="30"/>
        <v>0</v>
      </c>
      <c r="AP27" s="151">
        <f t="shared" si="20"/>
        <v>5.2631578947368418E-2</v>
      </c>
      <c r="AQ27" s="150">
        <f t="shared" si="21"/>
        <v>1.3675017237416686E-2</v>
      </c>
      <c r="AS27" s="160" t="str">
        <f t="shared" si="22"/>
        <v/>
      </c>
      <c r="AT27" s="161" t="str">
        <f t="shared" si="23"/>
        <v/>
      </c>
      <c r="AU27" s="161" t="str">
        <f t="shared" si="24"/>
        <v/>
      </c>
      <c r="AV27" s="161" t="str">
        <f t="shared" si="25"/>
        <v>UNIQUE</v>
      </c>
      <c r="AW27" s="162" t="str">
        <f t="shared" si="26"/>
        <v/>
      </c>
      <c r="AX27" s="167" t="b">
        <f t="shared" si="27"/>
        <v>0</v>
      </c>
    </row>
    <row r="28" spans="1:50" x14ac:dyDescent="0.25">
      <c r="A28" s="18" t="s">
        <v>458</v>
      </c>
      <c r="B28" s="8">
        <f>COUNTIFS(tbl_data[T1],A28,tbl_data[12. Consultation Group of],$B$3)</f>
        <v>1</v>
      </c>
      <c r="C28" s="9">
        <f>COUNTIFS(tbl_data[T1],$A28,tbl_data[12. Consultation Group of],$C$3)</f>
        <v>0</v>
      </c>
      <c r="D28" s="9">
        <f>COUNTIFS(tbl_data[T1],$A28,tbl_data[12. Consultation Group of],$D$3)</f>
        <v>0</v>
      </c>
      <c r="E28" s="9">
        <f>COUNTIFS(tbl_data[T1],$A28,tbl_data[12. Consultation Group of],$E$3)</f>
        <v>0</v>
      </c>
      <c r="F28" s="9">
        <f>COUNTIFS(tbl_data[T1],$A28,tbl_data[12. Consultation Group of],$F$3)</f>
        <v>0</v>
      </c>
      <c r="G28" s="13">
        <f t="shared" si="8"/>
        <v>1</v>
      </c>
      <c r="H28" s="8">
        <f>COUNTIFS(tbl_data[T2],A28,tbl_data[12. Consultation Group of],$H$3)</f>
        <v>1</v>
      </c>
      <c r="I28" s="9">
        <f>COUNTIFS(tbl_data[T2],$A28,tbl_data[12. Consultation Group of],$I$3)</f>
        <v>0</v>
      </c>
      <c r="J28" s="9">
        <f>COUNTIFS(tbl_data[T2],$A28,tbl_data[12. Consultation Group of],$J$3)</f>
        <v>1</v>
      </c>
      <c r="K28" s="9">
        <f>COUNTIFS(tbl_data[T2],$A28,tbl_data[12. Consultation Group of],$K$3)</f>
        <v>1</v>
      </c>
      <c r="L28" s="9">
        <f>COUNTIFS(tbl_data[T2],$A28,tbl_data[12. Consultation Group of],$L$3)</f>
        <v>0</v>
      </c>
      <c r="M28" s="13">
        <f t="shared" si="9"/>
        <v>3</v>
      </c>
      <c r="N28" s="8">
        <f>COUNTIFS(tbl_data[T3],$A28,tbl_data[12. Consultation Group of],$N$3)</f>
        <v>1</v>
      </c>
      <c r="O28" s="9">
        <f>COUNTIFS(tbl_data[T3],$A28,tbl_data[12. Consultation Group of],$O$3)</f>
        <v>1</v>
      </c>
      <c r="P28" s="9">
        <f>COUNTIFS(tbl_data[T3],$A28,tbl_data[12. Consultation Group of],$P$3)</f>
        <v>0</v>
      </c>
      <c r="Q28" s="9">
        <f>COUNTIFS(tbl_data[T3],$A28,tbl_data[12. Consultation Group of],$Q$3)</f>
        <v>0</v>
      </c>
      <c r="R28" s="9">
        <f>COUNTIFS(tbl_data[T3],$A28,tbl_data[12. Consultation Group of],$R$3)</f>
        <v>0</v>
      </c>
      <c r="S28" s="13">
        <f t="shared" si="10"/>
        <v>2</v>
      </c>
      <c r="T28" s="11">
        <f t="shared" si="0"/>
        <v>6</v>
      </c>
      <c r="U28" s="12">
        <f t="shared" si="1"/>
        <v>1</v>
      </c>
      <c r="V28" s="12">
        <f t="shared" si="2"/>
        <v>2</v>
      </c>
      <c r="W28" s="12">
        <f t="shared" si="3"/>
        <v>2</v>
      </c>
      <c r="X28" s="12">
        <f t="shared" si="4"/>
        <v>0</v>
      </c>
      <c r="Y28" s="13">
        <f t="shared" si="11"/>
        <v>11</v>
      </c>
      <c r="Z28" s="32"/>
      <c r="AB28" s="146">
        <f t="shared" si="12"/>
        <v>0.35294117647058826</v>
      </c>
      <c r="AC28" s="146">
        <f t="shared" si="13"/>
        <v>0.14285714285714285</v>
      </c>
      <c r="AD28" s="146">
        <f t="shared" si="14"/>
        <v>0.22222222222222221</v>
      </c>
      <c r="AE28" s="146">
        <f t="shared" si="15"/>
        <v>0.10526315789473684</v>
      </c>
      <c r="AF28" s="146">
        <f t="shared" si="16"/>
        <v>0</v>
      </c>
      <c r="AG28" s="146">
        <f t="shared" si="17"/>
        <v>0.22916666666666666</v>
      </c>
      <c r="AH28" s="32"/>
      <c r="AI28" s="24" t="str">
        <f t="shared" si="18"/>
        <v>Landslides</v>
      </c>
      <c r="AJ28" t="str">
        <f>INDEX(tbl_threat_catg[Category],MATCH(AI28,tbl_threat_catg[Threat],0),1)</f>
        <v>Natural Common</v>
      </c>
      <c r="AK28" s="151">
        <f t="shared" si="19"/>
        <v>0.35294117647058826</v>
      </c>
      <c r="AL28" s="151">
        <f t="shared" si="19"/>
        <v>0.14285714285714285</v>
      </c>
      <c r="AM28" s="151">
        <f t="shared" si="28"/>
        <v>0.22222222222222221</v>
      </c>
      <c r="AN28" s="151">
        <f t="shared" si="29"/>
        <v>0.10526315789473684</v>
      </c>
      <c r="AO28" s="151">
        <f t="shared" si="30"/>
        <v>0</v>
      </c>
      <c r="AP28" s="151">
        <f t="shared" si="20"/>
        <v>0.82328369944469015</v>
      </c>
      <c r="AQ28" s="150">
        <f t="shared" si="21"/>
        <v>0.21390995684261602</v>
      </c>
      <c r="AS28" s="160" t="str">
        <f t="shared" si="22"/>
        <v/>
      </c>
      <c r="AT28" s="161" t="str">
        <f t="shared" si="23"/>
        <v/>
      </c>
      <c r="AU28" s="161" t="str">
        <f t="shared" si="24"/>
        <v/>
      </c>
      <c r="AV28" s="161" t="str">
        <f t="shared" si="25"/>
        <v/>
      </c>
      <c r="AW28" s="162" t="str">
        <f t="shared" si="26"/>
        <v/>
      </c>
      <c r="AX28" s="167" t="b">
        <f t="shared" si="27"/>
        <v>0</v>
      </c>
    </row>
    <row r="29" spans="1:50" x14ac:dyDescent="0.25">
      <c r="A29" s="18" t="s">
        <v>622</v>
      </c>
      <c r="B29" s="8">
        <f>COUNTIFS(tbl_data[T1],A29,tbl_data[12. Consultation Group of],$B$3)</f>
        <v>1</v>
      </c>
      <c r="C29" s="9">
        <f>COUNTIFS(tbl_data[T1],$A29,tbl_data[12. Consultation Group of],$C$3)</f>
        <v>0</v>
      </c>
      <c r="D29" s="9">
        <f>COUNTIFS(tbl_data[T1],$A29,tbl_data[12. Consultation Group of],$D$3)</f>
        <v>0</v>
      </c>
      <c r="E29" s="9">
        <f>COUNTIFS(tbl_data[T1],$A29,tbl_data[12. Consultation Group of],$E$3)</f>
        <v>0</v>
      </c>
      <c r="F29" s="9">
        <f>COUNTIFS(tbl_data[T1],$A29,tbl_data[12. Consultation Group of],$F$3)</f>
        <v>0</v>
      </c>
      <c r="G29" s="13">
        <f t="shared" si="8"/>
        <v>1</v>
      </c>
      <c r="H29" s="8">
        <f>COUNTIFS(tbl_data[T2],A29,tbl_data[12. Consultation Group of],$H$3)</f>
        <v>0</v>
      </c>
      <c r="I29" s="9">
        <f>COUNTIFS(tbl_data[T2],$A29,tbl_data[12. Consultation Group of],$I$3)</f>
        <v>0</v>
      </c>
      <c r="J29" s="9">
        <f>COUNTIFS(tbl_data[T2],$A29,tbl_data[12. Consultation Group of],$J$3)</f>
        <v>0</v>
      </c>
      <c r="K29" s="9">
        <f>COUNTIFS(tbl_data[T2],$A29,tbl_data[12. Consultation Group of],$K$3)</f>
        <v>0</v>
      </c>
      <c r="L29" s="9">
        <f>COUNTIFS(tbl_data[T2],$A29,tbl_data[12. Consultation Group of],$L$3)</f>
        <v>0</v>
      </c>
      <c r="M29" s="13">
        <f t="shared" si="9"/>
        <v>0</v>
      </c>
      <c r="N29" s="8">
        <f>COUNTIFS(tbl_data[T3],$A29,tbl_data[12. Consultation Group of],$N$3)</f>
        <v>0</v>
      </c>
      <c r="O29" s="9">
        <f>COUNTIFS(tbl_data[T3],$A29,tbl_data[12. Consultation Group of],$O$3)</f>
        <v>0</v>
      </c>
      <c r="P29" s="9">
        <f>COUNTIFS(tbl_data[T3],$A29,tbl_data[12. Consultation Group of],$P$3)</f>
        <v>0</v>
      </c>
      <c r="Q29" s="9">
        <f>COUNTIFS(tbl_data[T3],$A29,tbl_data[12. Consultation Group of],$Q$3)</f>
        <v>0</v>
      </c>
      <c r="R29" s="9">
        <f>COUNTIFS(tbl_data[T3],$A29,tbl_data[12. Consultation Group of],$R$3)</f>
        <v>0</v>
      </c>
      <c r="S29" s="13">
        <f t="shared" si="10"/>
        <v>0</v>
      </c>
      <c r="T29" s="11">
        <f t="shared" si="0"/>
        <v>3</v>
      </c>
      <c r="U29" s="12">
        <f t="shared" si="1"/>
        <v>0</v>
      </c>
      <c r="V29" s="12">
        <f t="shared" si="2"/>
        <v>0</v>
      </c>
      <c r="W29" s="12">
        <f t="shared" si="3"/>
        <v>0</v>
      </c>
      <c r="X29" s="12">
        <f t="shared" si="4"/>
        <v>0</v>
      </c>
      <c r="Y29" s="13">
        <f t="shared" si="11"/>
        <v>3</v>
      </c>
      <c r="Z29" s="32"/>
      <c r="AB29" s="146">
        <f t="shared" si="12"/>
        <v>0.17647058823529413</v>
      </c>
      <c r="AC29" s="146">
        <f t="shared" si="13"/>
        <v>0</v>
      </c>
      <c r="AD29" s="146">
        <f t="shared" si="14"/>
        <v>0</v>
      </c>
      <c r="AE29" s="146">
        <f t="shared" si="15"/>
        <v>0</v>
      </c>
      <c r="AF29" s="146">
        <f t="shared" si="16"/>
        <v>0</v>
      </c>
      <c r="AG29" s="146">
        <f t="shared" si="17"/>
        <v>6.25E-2</v>
      </c>
      <c r="AH29" s="32"/>
      <c r="AI29" s="24" t="str">
        <f t="shared" si="18"/>
        <v>Migration</v>
      </c>
      <c r="AJ29" t="str">
        <f>INDEX(tbl_threat_catg[Category],MATCH(AI29,tbl_threat_catg[Threat],0),1)</f>
        <v>Social</v>
      </c>
      <c r="AK29" s="151">
        <f t="shared" si="19"/>
        <v>0.17647058823529413</v>
      </c>
      <c r="AL29" s="151">
        <f t="shared" si="19"/>
        <v>0</v>
      </c>
      <c r="AM29" s="151">
        <f t="shared" si="28"/>
        <v>0</v>
      </c>
      <c r="AN29" s="151">
        <f t="shared" si="29"/>
        <v>0</v>
      </c>
      <c r="AO29" s="151">
        <f t="shared" si="30"/>
        <v>0</v>
      </c>
      <c r="AP29" s="151">
        <f t="shared" si="20"/>
        <v>0.17647058823529413</v>
      </c>
      <c r="AQ29" s="150">
        <f t="shared" si="21"/>
        <v>4.5851528384279486E-2</v>
      </c>
      <c r="AS29" s="160" t="str">
        <f t="shared" si="22"/>
        <v>UNIQUE</v>
      </c>
      <c r="AT29" s="161" t="str">
        <f t="shared" si="23"/>
        <v/>
      </c>
      <c r="AU29" s="161" t="str">
        <f t="shared" si="24"/>
        <v/>
      </c>
      <c r="AV29" s="161" t="str">
        <f t="shared" si="25"/>
        <v/>
      </c>
      <c r="AW29" s="162" t="str">
        <f t="shared" si="26"/>
        <v/>
      </c>
      <c r="AX29" s="167" t="b">
        <f t="shared" si="27"/>
        <v>0</v>
      </c>
    </row>
    <row r="30" spans="1:50" x14ac:dyDescent="0.25">
      <c r="A30" s="18" t="s">
        <v>242</v>
      </c>
      <c r="B30" s="8">
        <f>COUNTIFS(tbl_data[T1],A30,tbl_data[12. Consultation Group of],$B$3)</f>
        <v>0</v>
      </c>
      <c r="C30" s="9">
        <f>COUNTIFS(tbl_data[T1],$A30,tbl_data[12. Consultation Group of],$C$3)</f>
        <v>0</v>
      </c>
      <c r="D30" s="9">
        <f>COUNTIFS(tbl_data[T1],$A30,tbl_data[12. Consultation Group of],$D$3)</f>
        <v>0</v>
      </c>
      <c r="E30" s="9">
        <f>COUNTIFS(tbl_data[T1],$A30,tbl_data[12. Consultation Group of],$E$3)</f>
        <v>0</v>
      </c>
      <c r="F30" s="9">
        <f>COUNTIFS(tbl_data[T1],$A30,tbl_data[12. Consultation Group of],$F$3)</f>
        <v>0</v>
      </c>
      <c r="G30" s="13">
        <f t="shared" si="8"/>
        <v>0</v>
      </c>
      <c r="H30" s="8">
        <f>COUNTIFS(tbl_data[T2],A30,tbl_data[12. Consultation Group of],$H$3)</f>
        <v>0</v>
      </c>
      <c r="I30" s="9">
        <f>COUNTIFS(tbl_data[T2],$A30,tbl_data[12. Consultation Group of],$I$3)</f>
        <v>0</v>
      </c>
      <c r="J30" s="9">
        <f>COUNTIFS(tbl_data[T2],$A30,tbl_data[12. Consultation Group of],$J$3)</f>
        <v>0</v>
      </c>
      <c r="K30" s="9">
        <f>COUNTIFS(tbl_data[T2],$A30,tbl_data[12. Consultation Group of],$K$3)</f>
        <v>0</v>
      </c>
      <c r="L30" s="9">
        <f>COUNTIFS(tbl_data[T2],$A30,tbl_data[12. Consultation Group of],$L$3)</f>
        <v>0</v>
      </c>
      <c r="M30" s="13">
        <f t="shared" si="9"/>
        <v>0</v>
      </c>
      <c r="N30" s="8">
        <f>COUNTIFS(tbl_data[T3],$A30,tbl_data[12. Consultation Group of],$N$3)</f>
        <v>1</v>
      </c>
      <c r="O30" s="9">
        <f>COUNTIFS(tbl_data[T3],$A30,tbl_data[12. Consultation Group of],$O$3)</f>
        <v>0</v>
      </c>
      <c r="P30" s="9">
        <f>COUNTIFS(tbl_data[T3],$A30,tbl_data[12. Consultation Group of],$P$3)</f>
        <v>0</v>
      </c>
      <c r="Q30" s="9">
        <f>COUNTIFS(tbl_data[T3],$A30,tbl_data[12. Consultation Group of],$Q$3)</f>
        <v>0</v>
      </c>
      <c r="R30" s="9">
        <f>COUNTIFS(tbl_data[T3],$A30,tbl_data[12. Consultation Group of],$R$3)</f>
        <v>0</v>
      </c>
      <c r="S30" s="13">
        <f t="shared" si="10"/>
        <v>1</v>
      </c>
      <c r="T30" s="11">
        <f t="shared" si="0"/>
        <v>1</v>
      </c>
      <c r="U30" s="12">
        <f t="shared" si="1"/>
        <v>0</v>
      </c>
      <c r="V30" s="12">
        <f t="shared" si="2"/>
        <v>0</v>
      </c>
      <c r="W30" s="12">
        <f t="shared" si="3"/>
        <v>0</v>
      </c>
      <c r="X30" s="12">
        <f t="shared" si="4"/>
        <v>0</v>
      </c>
      <c r="Y30" s="13">
        <f t="shared" si="11"/>
        <v>1</v>
      </c>
      <c r="Z30" s="32"/>
      <c r="AB30" s="146">
        <f t="shared" si="12"/>
        <v>5.8823529411764705E-2</v>
      </c>
      <c r="AC30" s="146">
        <f t="shared" si="13"/>
        <v>0</v>
      </c>
      <c r="AD30" s="146">
        <f t="shared" si="14"/>
        <v>0</v>
      </c>
      <c r="AE30" s="146">
        <f t="shared" si="15"/>
        <v>0</v>
      </c>
      <c r="AF30" s="146">
        <f t="shared" si="16"/>
        <v>0</v>
      </c>
      <c r="AG30" s="146">
        <f t="shared" si="17"/>
        <v>2.0833333333333332E-2</v>
      </c>
      <c r="AH30" s="32"/>
      <c r="AI30" s="24" t="str">
        <f t="shared" si="18"/>
        <v>Pollution</v>
      </c>
      <c r="AJ30" t="str">
        <f>INDEX(tbl_threat_catg[Category],MATCH(AI30,tbl_threat_catg[Threat],0),1)</f>
        <v xml:space="preserve">Environmental </v>
      </c>
      <c r="AK30" s="151">
        <f t="shared" si="19"/>
        <v>5.8823529411764705E-2</v>
      </c>
      <c r="AL30" s="151">
        <f t="shared" si="19"/>
        <v>0</v>
      </c>
      <c r="AM30" s="151">
        <f t="shared" si="28"/>
        <v>0</v>
      </c>
      <c r="AN30" s="151">
        <f t="shared" si="29"/>
        <v>0</v>
      </c>
      <c r="AO30" s="151">
        <f t="shared" si="30"/>
        <v>0</v>
      </c>
      <c r="AP30" s="151">
        <f t="shared" si="20"/>
        <v>5.8823529411764705E-2</v>
      </c>
      <c r="AQ30" s="150">
        <f t="shared" si="21"/>
        <v>1.5283842794759826E-2</v>
      </c>
      <c r="AS30" s="160" t="str">
        <f t="shared" si="22"/>
        <v>UNIQUE</v>
      </c>
      <c r="AT30" s="161" t="str">
        <f t="shared" si="23"/>
        <v/>
      </c>
      <c r="AU30" s="161" t="str">
        <f t="shared" si="24"/>
        <v/>
      </c>
      <c r="AV30" s="161" t="str">
        <f t="shared" si="25"/>
        <v/>
      </c>
      <c r="AW30" s="162" t="str">
        <f t="shared" si="26"/>
        <v/>
      </c>
      <c r="AX30" s="167" t="b">
        <f t="shared" si="27"/>
        <v>0</v>
      </c>
    </row>
    <row r="31" spans="1:50" x14ac:dyDescent="0.25">
      <c r="A31" s="18" t="s">
        <v>252</v>
      </c>
      <c r="B31" s="8">
        <f>COUNTIFS(tbl_data[T1],A31,tbl_data[12. Consultation Group of],$B$3)</f>
        <v>0</v>
      </c>
      <c r="C31" s="9">
        <f>COUNTIFS(tbl_data[T1],$A31,tbl_data[12. Consultation Group of],$C$3)</f>
        <v>0</v>
      </c>
      <c r="D31" s="9">
        <f>COUNTIFS(tbl_data[T1],$A31,tbl_data[12. Consultation Group of],$D$3)</f>
        <v>1</v>
      </c>
      <c r="E31" s="9">
        <f>COUNTIFS(tbl_data[T1],$A31,tbl_data[12. Consultation Group of],$E$3)</f>
        <v>0</v>
      </c>
      <c r="F31" s="9">
        <f>COUNTIFS(tbl_data[T1],$A31,tbl_data[12. Consultation Group of],$F$3)</f>
        <v>0</v>
      </c>
      <c r="G31" s="13">
        <f t="shared" si="8"/>
        <v>1</v>
      </c>
      <c r="H31" s="8">
        <f>COUNTIFS(tbl_data[T2],A31,tbl_data[12. Consultation Group of],$H$3)</f>
        <v>0</v>
      </c>
      <c r="I31" s="9">
        <f>COUNTIFS(tbl_data[T2],$A31,tbl_data[12. Consultation Group of],$I$3)</f>
        <v>0</v>
      </c>
      <c r="J31" s="9">
        <f>COUNTIFS(tbl_data[T2],$A31,tbl_data[12. Consultation Group of],$J$3)</f>
        <v>0</v>
      </c>
      <c r="K31" s="9">
        <f>COUNTIFS(tbl_data[T2],$A31,tbl_data[12. Consultation Group of],$K$3)</f>
        <v>0</v>
      </c>
      <c r="L31" s="9">
        <f>COUNTIFS(tbl_data[T2],$A31,tbl_data[12. Consultation Group of],$L$3)</f>
        <v>0</v>
      </c>
      <c r="M31" s="13">
        <f t="shared" si="9"/>
        <v>0</v>
      </c>
      <c r="N31" s="8">
        <f>COUNTIFS(tbl_data[T3],$A31,tbl_data[12. Consultation Group of],$N$3)</f>
        <v>0</v>
      </c>
      <c r="O31" s="9">
        <f>COUNTIFS(tbl_data[T3],$A31,tbl_data[12. Consultation Group of],$O$3)</f>
        <v>0</v>
      </c>
      <c r="P31" s="9">
        <f>COUNTIFS(tbl_data[T3],$A31,tbl_data[12. Consultation Group of],$P$3)</f>
        <v>0</v>
      </c>
      <c r="Q31" s="9">
        <f>COUNTIFS(tbl_data[T3],$A31,tbl_data[12. Consultation Group of],$Q$3)</f>
        <v>0</v>
      </c>
      <c r="R31" s="9">
        <f>COUNTIFS(tbl_data[T3],$A31,tbl_data[12. Consultation Group of],$R$3)</f>
        <v>0</v>
      </c>
      <c r="S31" s="13">
        <f t="shared" si="10"/>
        <v>0</v>
      </c>
      <c r="T31" s="11">
        <f t="shared" si="0"/>
        <v>0</v>
      </c>
      <c r="U31" s="12">
        <f t="shared" si="1"/>
        <v>0</v>
      </c>
      <c r="V31" s="12">
        <f t="shared" si="2"/>
        <v>3</v>
      </c>
      <c r="W31" s="12">
        <f t="shared" si="3"/>
        <v>0</v>
      </c>
      <c r="X31" s="12">
        <f t="shared" si="4"/>
        <v>0</v>
      </c>
      <c r="Y31" s="13">
        <f t="shared" si="11"/>
        <v>3</v>
      </c>
      <c r="Z31" s="32"/>
      <c r="AB31" s="146">
        <f t="shared" si="12"/>
        <v>0</v>
      </c>
      <c r="AC31" s="146">
        <f t="shared" si="13"/>
        <v>0</v>
      </c>
      <c r="AD31" s="146">
        <f t="shared" si="14"/>
        <v>0.33333333333333331</v>
      </c>
      <c r="AE31" s="146">
        <f t="shared" si="15"/>
        <v>0</v>
      </c>
      <c r="AF31" s="146">
        <f t="shared" si="16"/>
        <v>0</v>
      </c>
      <c r="AG31" s="146">
        <f t="shared" si="17"/>
        <v>6.25E-2</v>
      </c>
      <c r="AH31" s="32"/>
      <c r="AI31" s="24" t="str">
        <f t="shared" si="18"/>
        <v>Poverty</v>
      </c>
      <c r="AJ31" t="str">
        <f>INDEX(tbl_threat_catg[Category],MATCH(AI31,tbl_threat_catg[Threat],0),1)</f>
        <v>Social</v>
      </c>
      <c r="AK31" s="151">
        <f t="shared" si="19"/>
        <v>0</v>
      </c>
      <c r="AL31" s="151">
        <f t="shared" si="19"/>
        <v>0</v>
      </c>
      <c r="AM31" s="151">
        <f t="shared" si="28"/>
        <v>0.33333333333333331</v>
      </c>
      <c r="AN31" s="151">
        <f t="shared" si="29"/>
        <v>0</v>
      </c>
      <c r="AO31" s="151">
        <f t="shared" si="30"/>
        <v>0</v>
      </c>
      <c r="AP31" s="151">
        <f t="shared" si="20"/>
        <v>0.33333333333333331</v>
      </c>
      <c r="AQ31" s="150">
        <f t="shared" si="21"/>
        <v>8.6608442503639013E-2</v>
      </c>
      <c r="AS31" s="160" t="str">
        <f t="shared" si="22"/>
        <v/>
      </c>
      <c r="AT31" s="161" t="str">
        <f t="shared" si="23"/>
        <v/>
      </c>
      <c r="AU31" s="161" t="str">
        <f t="shared" si="24"/>
        <v>UNIQUE</v>
      </c>
      <c r="AV31" s="161" t="str">
        <f t="shared" si="25"/>
        <v/>
      </c>
      <c r="AW31" s="162" t="str">
        <f t="shared" si="26"/>
        <v/>
      </c>
      <c r="AX31" s="167" t="b">
        <f t="shared" si="27"/>
        <v>0</v>
      </c>
    </row>
    <row r="32" spans="1:50" x14ac:dyDescent="0.25">
      <c r="A32" s="18" t="s">
        <v>215</v>
      </c>
      <c r="B32" s="8">
        <f>COUNTIFS(tbl_data[T1],A32,tbl_data[12. Consultation Group of],$B$3)</f>
        <v>0</v>
      </c>
      <c r="C32" s="9">
        <f>COUNTIFS(tbl_data[T1],$A32,tbl_data[12. Consultation Group of],$C$3)</f>
        <v>0</v>
      </c>
      <c r="D32" s="9">
        <f>COUNTIFS(tbl_data[T1],$A32,tbl_data[12. Consultation Group of],$D$3)</f>
        <v>0</v>
      </c>
      <c r="E32" s="9">
        <f>COUNTIFS(tbl_data[T1],$A32,tbl_data[12. Consultation Group of],$E$3)</f>
        <v>0</v>
      </c>
      <c r="F32" s="9">
        <f>COUNTIFS(tbl_data[T1],$A32,tbl_data[12. Consultation Group of],$F$3)</f>
        <v>0</v>
      </c>
      <c r="G32" s="13">
        <f t="shared" si="8"/>
        <v>0</v>
      </c>
      <c r="H32" s="8">
        <f>COUNTIFS(tbl_data[T2],A32,tbl_data[12. Consultation Group of],$H$3)</f>
        <v>0</v>
      </c>
      <c r="I32" s="9">
        <f>COUNTIFS(tbl_data[T2],$A32,tbl_data[12. Consultation Group of],$I$3)</f>
        <v>0</v>
      </c>
      <c r="J32" s="9">
        <f>COUNTIFS(tbl_data[T2],$A32,tbl_data[12. Consultation Group of],$J$3)</f>
        <v>0</v>
      </c>
      <c r="K32" s="9">
        <f>COUNTIFS(tbl_data[T2],$A32,tbl_data[12. Consultation Group of],$K$3)</f>
        <v>0</v>
      </c>
      <c r="L32" s="9">
        <f>COUNTIFS(tbl_data[T2],$A32,tbl_data[12. Consultation Group of],$L$3)</f>
        <v>1</v>
      </c>
      <c r="M32" s="13">
        <f t="shared" si="9"/>
        <v>1</v>
      </c>
      <c r="N32" s="8">
        <f>COUNTIFS(tbl_data[T3],$A32,tbl_data[12. Consultation Group of],$N$3)</f>
        <v>0</v>
      </c>
      <c r="O32" s="9">
        <f>COUNTIFS(tbl_data[T3],$A32,tbl_data[12. Consultation Group of],$O$3)</f>
        <v>0</v>
      </c>
      <c r="P32" s="9">
        <f>COUNTIFS(tbl_data[T3],$A32,tbl_data[12. Consultation Group of],$P$3)</f>
        <v>0</v>
      </c>
      <c r="Q32" s="9">
        <f>COUNTIFS(tbl_data[T3],$A32,tbl_data[12. Consultation Group of],$Q$3)</f>
        <v>0</v>
      </c>
      <c r="R32" s="9">
        <f>COUNTIFS(tbl_data[T3],$A32,tbl_data[12. Consultation Group of],$R$3)</f>
        <v>0</v>
      </c>
      <c r="S32" s="13">
        <f t="shared" si="10"/>
        <v>0</v>
      </c>
      <c r="T32" s="11">
        <f t="shared" si="0"/>
        <v>0</v>
      </c>
      <c r="U32" s="12">
        <f t="shared" si="1"/>
        <v>0</v>
      </c>
      <c r="V32" s="12">
        <f t="shared" si="2"/>
        <v>0</v>
      </c>
      <c r="W32" s="12">
        <f t="shared" si="3"/>
        <v>0</v>
      </c>
      <c r="X32" s="12">
        <f t="shared" si="4"/>
        <v>2</v>
      </c>
      <c r="Y32" s="13">
        <f t="shared" si="11"/>
        <v>2</v>
      </c>
      <c r="Z32" s="32"/>
      <c r="AB32" s="146">
        <f t="shared" si="12"/>
        <v>0</v>
      </c>
      <c r="AC32" s="146">
        <f t="shared" si="13"/>
        <v>0</v>
      </c>
      <c r="AD32" s="146">
        <f t="shared" si="14"/>
        <v>0</v>
      </c>
      <c r="AE32" s="146">
        <f t="shared" si="15"/>
        <v>0</v>
      </c>
      <c r="AF32" s="146">
        <f t="shared" si="16"/>
        <v>0.2857142857142857</v>
      </c>
      <c r="AG32" s="146">
        <f t="shared" si="17"/>
        <v>4.1666666666666664E-2</v>
      </c>
      <c r="AH32" s="32"/>
      <c r="AI32" s="24" t="str">
        <f t="shared" si="18"/>
        <v>Reduction In Irrigation</v>
      </c>
      <c r="AJ32" t="str">
        <f>INDEX(tbl_threat_catg[Category],MATCH(AI32,tbl_threat_catg[Threat],0),1)</f>
        <v>Infrastructure</v>
      </c>
      <c r="AK32" s="151">
        <f t="shared" si="19"/>
        <v>0</v>
      </c>
      <c r="AL32" s="151">
        <f t="shared" si="19"/>
        <v>0</v>
      </c>
      <c r="AM32" s="151">
        <f t="shared" si="28"/>
        <v>0</v>
      </c>
      <c r="AN32" s="151">
        <f t="shared" si="29"/>
        <v>0</v>
      </c>
      <c r="AO32" s="151">
        <f t="shared" si="30"/>
        <v>0.2857142857142857</v>
      </c>
      <c r="AP32" s="151">
        <f t="shared" si="20"/>
        <v>0.2857142857142857</v>
      </c>
      <c r="AQ32" s="150">
        <f t="shared" si="21"/>
        <v>7.4235807860262015E-2</v>
      </c>
      <c r="AS32" s="160" t="str">
        <f t="shared" si="22"/>
        <v/>
      </c>
      <c r="AT32" s="161" t="str">
        <f t="shared" si="23"/>
        <v/>
      </c>
      <c r="AU32" s="161" t="str">
        <f t="shared" si="24"/>
        <v/>
      </c>
      <c r="AV32" s="161" t="str">
        <f t="shared" si="25"/>
        <v/>
      </c>
      <c r="AW32" s="162" t="str">
        <f t="shared" si="26"/>
        <v>UNIQUE</v>
      </c>
      <c r="AX32" s="167" t="b">
        <f t="shared" si="27"/>
        <v>0</v>
      </c>
    </row>
    <row r="33" spans="1:50" x14ac:dyDescent="0.25">
      <c r="A33" s="18" t="s">
        <v>429</v>
      </c>
      <c r="B33" s="8">
        <f>COUNTIFS(tbl_data[T1],A33,tbl_data[12. Consultation Group of],$B$3)</f>
        <v>0</v>
      </c>
      <c r="C33" s="9">
        <f>COUNTIFS(tbl_data[T1],$A33,tbl_data[12. Consultation Group of],$C$3)</f>
        <v>0</v>
      </c>
      <c r="D33" s="9">
        <f>COUNTIFS(tbl_data[T1],$A33,tbl_data[12. Consultation Group of],$D$3)</f>
        <v>0</v>
      </c>
      <c r="E33" s="9">
        <f>COUNTIFS(tbl_data[T1],$A33,tbl_data[12. Consultation Group of],$E$3)</f>
        <v>0</v>
      </c>
      <c r="F33" s="9">
        <f>COUNTIFS(tbl_data[T1],$A33,tbl_data[12. Consultation Group of],$F$3)</f>
        <v>0</v>
      </c>
      <c r="G33" s="13">
        <f t="shared" si="8"/>
        <v>0</v>
      </c>
      <c r="H33" s="8">
        <f>COUNTIFS(tbl_data[T2],A33,tbl_data[12. Consultation Group of],$H$3)</f>
        <v>1</v>
      </c>
      <c r="I33" s="9">
        <f>COUNTIFS(tbl_data[T2],$A33,tbl_data[12. Consultation Group of],$I$3)</f>
        <v>0</v>
      </c>
      <c r="J33" s="9">
        <f>COUNTIFS(tbl_data[T2],$A33,tbl_data[12. Consultation Group of],$J$3)</f>
        <v>0</v>
      </c>
      <c r="K33" s="9">
        <f>COUNTIFS(tbl_data[T2],$A33,tbl_data[12. Consultation Group of],$K$3)</f>
        <v>0</v>
      </c>
      <c r="L33" s="9">
        <f>COUNTIFS(tbl_data[T2],$A33,tbl_data[12. Consultation Group of],$L$3)</f>
        <v>0</v>
      </c>
      <c r="M33" s="13">
        <f t="shared" si="9"/>
        <v>1</v>
      </c>
      <c r="N33" s="8">
        <f>COUNTIFS(tbl_data[T3],$A33,tbl_data[12. Consultation Group of],$N$3)</f>
        <v>0</v>
      </c>
      <c r="O33" s="9">
        <f>COUNTIFS(tbl_data[T3],$A33,tbl_data[12. Consultation Group of],$O$3)</f>
        <v>0</v>
      </c>
      <c r="P33" s="9">
        <f>COUNTIFS(tbl_data[T3],$A33,tbl_data[12. Consultation Group of],$P$3)</f>
        <v>0</v>
      </c>
      <c r="Q33" s="9">
        <f>COUNTIFS(tbl_data[T3],$A33,tbl_data[12. Consultation Group of],$Q$3)</f>
        <v>0</v>
      </c>
      <c r="R33" s="9">
        <f>COUNTIFS(tbl_data[T3],$A33,tbl_data[12. Consultation Group of],$R$3)</f>
        <v>0</v>
      </c>
      <c r="S33" s="13">
        <f t="shared" si="10"/>
        <v>0</v>
      </c>
      <c r="T33" s="11">
        <f t="shared" si="0"/>
        <v>2</v>
      </c>
      <c r="U33" s="12">
        <f t="shared" si="1"/>
        <v>0</v>
      </c>
      <c r="V33" s="12">
        <f t="shared" si="2"/>
        <v>0</v>
      </c>
      <c r="W33" s="12">
        <f t="shared" si="3"/>
        <v>0</v>
      </c>
      <c r="X33" s="12">
        <f t="shared" si="4"/>
        <v>0</v>
      </c>
      <c r="Y33" s="13">
        <f t="shared" si="11"/>
        <v>2</v>
      </c>
      <c r="Z33" s="32"/>
      <c r="AB33" s="146">
        <f t="shared" si="12"/>
        <v>0.11764705882352941</v>
      </c>
      <c r="AC33" s="146">
        <f t="shared" si="13"/>
        <v>0</v>
      </c>
      <c r="AD33" s="146">
        <f t="shared" si="14"/>
        <v>0</v>
      </c>
      <c r="AE33" s="146">
        <f t="shared" si="15"/>
        <v>0</v>
      </c>
      <c r="AF33" s="146">
        <f t="shared" si="16"/>
        <v>0</v>
      </c>
      <c r="AG33" s="146">
        <f t="shared" si="17"/>
        <v>4.1666666666666664E-2</v>
      </c>
      <c r="AH33" s="32"/>
      <c r="AI33" s="24" t="str">
        <f t="shared" si="18"/>
        <v>River swelling</v>
      </c>
      <c r="AJ33" t="str">
        <f>INDEX(tbl_threat_catg[Category],MATCH(AI33,tbl_threat_catg[Threat],0),1)</f>
        <v>Natural Common</v>
      </c>
      <c r="AK33" s="151">
        <f t="shared" si="19"/>
        <v>0.11764705882352941</v>
      </c>
      <c r="AL33" s="151">
        <f t="shared" si="19"/>
        <v>0</v>
      </c>
      <c r="AM33" s="151">
        <f t="shared" si="28"/>
        <v>0</v>
      </c>
      <c r="AN33" s="151">
        <f t="shared" si="29"/>
        <v>0</v>
      </c>
      <c r="AO33" s="151">
        <f t="shared" si="30"/>
        <v>0</v>
      </c>
      <c r="AP33" s="151">
        <f t="shared" si="20"/>
        <v>0.11764705882352941</v>
      </c>
      <c r="AQ33" s="150">
        <f t="shared" si="21"/>
        <v>3.0567685589519653E-2</v>
      </c>
      <c r="AS33" s="160" t="str">
        <f t="shared" si="22"/>
        <v>UNIQUE</v>
      </c>
      <c r="AT33" s="161" t="str">
        <f t="shared" si="23"/>
        <v/>
      </c>
      <c r="AU33" s="161" t="str">
        <f t="shared" si="24"/>
        <v/>
      </c>
      <c r="AV33" s="161" t="str">
        <f t="shared" si="25"/>
        <v/>
      </c>
      <c r="AW33" s="162" t="str">
        <f t="shared" si="26"/>
        <v/>
      </c>
      <c r="AX33" s="167" t="b">
        <f t="shared" si="27"/>
        <v>0</v>
      </c>
    </row>
    <row r="34" spans="1:50" x14ac:dyDescent="0.25">
      <c r="A34" s="18" t="s">
        <v>178</v>
      </c>
      <c r="B34" s="8">
        <f>COUNTIFS(tbl_data[T1],A34,tbl_data[12. Consultation Group of],$B$3)</f>
        <v>1</v>
      </c>
      <c r="C34" s="9">
        <f>COUNTIFS(tbl_data[T1],$A34,tbl_data[12. Consultation Group of],$C$3)</f>
        <v>0</v>
      </c>
      <c r="D34" s="9">
        <f>COUNTIFS(tbl_data[T1],$A34,tbl_data[12. Consultation Group of],$D$3)</f>
        <v>0</v>
      </c>
      <c r="E34" s="9">
        <f>COUNTIFS(tbl_data[T1],$A34,tbl_data[12. Consultation Group of],$E$3)</f>
        <v>1</v>
      </c>
      <c r="F34" s="9">
        <f>COUNTIFS(tbl_data[T1],$A34,tbl_data[12. Consultation Group of],$F$3)</f>
        <v>0</v>
      </c>
      <c r="G34" s="13">
        <f t="shared" si="8"/>
        <v>2</v>
      </c>
      <c r="H34" s="8">
        <f>COUNTIFS(tbl_data[T2],A34,tbl_data[12. Consultation Group of],$H$3)</f>
        <v>1</v>
      </c>
      <c r="I34" s="9">
        <f>COUNTIFS(tbl_data[T2],$A34,tbl_data[12. Consultation Group of],$I$3)</f>
        <v>0</v>
      </c>
      <c r="J34" s="9">
        <f>COUNTIFS(tbl_data[T2],$A34,tbl_data[12. Consultation Group of],$J$3)</f>
        <v>0</v>
      </c>
      <c r="K34" s="9">
        <f>COUNTIFS(tbl_data[T2],$A34,tbl_data[12. Consultation Group of],$K$3)</f>
        <v>1</v>
      </c>
      <c r="L34" s="9">
        <f>COUNTIFS(tbl_data[T2],$A34,tbl_data[12. Consultation Group of],$L$3)</f>
        <v>0</v>
      </c>
      <c r="M34" s="13">
        <f t="shared" si="9"/>
        <v>2</v>
      </c>
      <c r="N34" s="8">
        <f>COUNTIFS(tbl_data[T3],$A34,tbl_data[12. Consultation Group of],$N$3)</f>
        <v>0</v>
      </c>
      <c r="O34" s="9">
        <f>COUNTIFS(tbl_data[T3],$A34,tbl_data[12. Consultation Group of],$O$3)</f>
        <v>2</v>
      </c>
      <c r="P34" s="9">
        <f>COUNTIFS(tbl_data[T3],$A34,tbl_data[12. Consultation Group of],$P$3)</f>
        <v>2</v>
      </c>
      <c r="Q34" s="9">
        <f>COUNTIFS(tbl_data[T3],$A34,tbl_data[12. Consultation Group of],$Q$3)</f>
        <v>1</v>
      </c>
      <c r="R34" s="9">
        <f>COUNTIFS(tbl_data[T3],$A34,tbl_data[12. Consultation Group of],$R$3)</f>
        <v>1</v>
      </c>
      <c r="S34" s="13">
        <f t="shared" si="10"/>
        <v>6</v>
      </c>
      <c r="T34" s="11">
        <f t="shared" si="0"/>
        <v>5</v>
      </c>
      <c r="U34" s="12">
        <f t="shared" si="1"/>
        <v>2</v>
      </c>
      <c r="V34" s="12">
        <f t="shared" si="2"/>
        <v>2</v>
      </c>
      <c r="W34" s="12">
        <f t="shared" si="3"/>
        <v>6</v>
      </c>
      <c r="X34" s="12">
        <f t="shared" si="4"/>
        <v>1</v>
      </c>
      <c r="Y34" s="13">
        <f t="shared" si="11"/>
        <v>16</v>
      </c>
      <c r="Z34" s="32"/>
      <c r="AB34" s="146">
        <f t="shared" si="12"/>
        <v>0.29411764705882354</v>
      </c>
      <c r="AC34" s="146">
        <f t="shared" si="13"/>
        <v>0.2857142857142857</v>
      </c>
      <c r="AD34" s="146">
        <f t="shared" si="14"/>
        <v>0.22222222222222221</v>
      </c>
      <c r="AE34" s="146">
        <f t="shared" si="15"/>
        <v>0.31578947368421051</v>
      </c>
      <c r="AF34" s="146">
        <f t="shared" si="16"/>
        <v>0.14285714285714285</v>
      </c>
      <c r="AG34" s="146">
        <f t="shared" si="17"/>
        <v>0.33333333333333331</v>
      </c>
      <c r="AH34" s="32"/>
      <c r="AI34" s="24" t="str">
        <f t="shared" si="18"/>
        <v>Road Accidents</v>
      </c>
      <c r="AJ34" t="str">
        <f>INDEX(tbl_threat_catg[Category],MATCH(AI34,tbl_threat_catg[Threat],0),1)</f>
        <v>Legal</v>
      </c>
      <c r="AK34" s="151">
        <f t="shared" si="19"/>
        <v>0.29411764705882354</v>
      </c>
      <c r="AL34" s="151">
        <f t="shared" si="19"/>
        <v>0.2857142857142857</v>
      </c>
      <c r="AM34" s="151">
        <f t="shared" si="28"/>
        <v>0.22222222222222221</v>
      </c>
      <c r="AN34" s="151">
        <f t="shared" si="29"/>
        <v>0.31578947368421051</v>
      </c>
      <c r="AO34" s="151">
        <f t="shared" si="30"/>
        <v>0.14285714285714285</v>
      </c>
      <c r="AP34" s="151">
        <f t="shared" si="20"/>
        <v>1.2607007715366847</v>
      </c>
      <c r="AQ34" s="150">
        <f t="shared" si="21"/>
        <v>0.32756199085778492</v>
      </c>
      <c r="AS34" s="160" t="str">
        <f t="shared" si="22"/>
        <v/>
      </c>
      <c r="AT34" s="161" t="str">
        <f t="shared" si="23"/>
        <v/>
      </c>
      <c r="AU34" s="161" t="str">
        <f t="shared" si="24"/>
        <v/>
      </c>
      <c r="AV34" s="161" t="str">
        <f t="shared" si="25"/>
        <v/>
      </c>
      <c r="AW34" s="162" t="str">
        <f t="shared" si="26"/>
        <v/>
      </c>
      <c r="AX34" s="167" t="b">
        <f t="shared" si="27"/>
        <v>1</v>
      </c>
    </row>
    <row r="35" spans="1:50" x14ac:dyDescent="0.25">
      <c r="A35" s="18" t="s">
        <v>313</v>
      </c>
      <c r="B35" s="8">
        <f>COUNTIFS(tbl_data[T1],A35,tbl_data[12. Consultation Group of],$B$3)</f>
        <v>1</v>
      </c>
      <c r="C35" s="9">
        <f>COUNTIFS(tbl_data[T1],$A35,tbl_data[12. Consultation Group of],$C$3)</f>
        <v>0</v>
      </c>
      <c r="D35" s="9">
        <f>COUNTIFS(tbl_data[T1],$A35,tbl_data[12. Consultation Group of],$D$3)</f>
        <v>0</v>
      </c>
      <c r="E35" s="9">
        <f>COUNTIFS(tbl_data[T1],$A35,tbl_data[12. Consultation Group of],$E$3)</f>
        <v>0</v>
      </c>
      <c r="F35" s="9">
        <f>COUNTIFS(tbl_data[T1],$A35,tbl_data[12. Consultation Group of],$F$3)</f>
        <v>0</v>
      </c>
      <c r="G35" s="13">
        <f t="shared" si="8"/>
        <v>1</v>
      </c>
      <c r="H35" s="8">
        <f>COUNTIFS(tbl_data[T2],A35,tbl_data[12. Consultation Group of],$H$3)</f>
        <v>1</v>
      </c>
      <c r="I35" s="9">
        <f>COUNTIFS(tbl_data[T2],$A35,tbl_data[12. Consultation Group of],$I$3)</f>
        <v>1</v>
      </c>
      <c r="J35" s="9">
        <f>COUNTIFS(tbl_data[T2],$A35,tbl_data[12. Consultation Group of],$J$3)</f>
        <v>0</v>
      </c>
      <c r="K35" s="9">
        <f>COUNTIFS(tbl_data[T2],$A35,tbl_data[12. Consultation Group of],$K$3)</f>
        <v>3</v>
      </c>
      <c r="L35" s="9">
        <f>COUNTIFS(tbl_data[T2],$A35,tbl_data[12. Consultation Group of],$L$3)</f>
        <v>0</v>
      </c>
      <c r="M35" s="13">
        <f t="shared" si="9"/>
        <v>5</v>
      </c>
      <c r="N35" s="8">
        <f>COUNTIFS(tbl_data[T3],$A35,tbl_data[12. Consultation Group of],$N$3)</f>
        <v>1</v>
      </c>
      <c r="O35" s="9">
        <f>COUNTIFS(tbl_data[T3],$A35,tbl_data[12. Consultation Group of],$O$3)</f>
        <v>0</v>
      </c>
      <c r="P35" s="9">
        <f>COUNTIFS(tbl_data[T3],$A35,tbl_data[12. Consultation Group of],$P$3)</f>
        <v>0</v>
      </c>
      <c r="Q35" s="9">
        <f>COUNTIFS(tbl_data[T3],$A35,tbl_data[12. Consultation Group of],$Q$3)</f>
        <v>0</v>
      </c>
      <c r="R35" s="9">
        <f>COUNTIFS(tbl_data[T3],$A35,tbl_data[12. Consultation Group of],$R$3)</f>
        <v>0</v>
      </c>
      <c r="S35" s="13">
        <f t="shared" si="10"/>
        <v>1</v>
      </c>
      <c r="T35" s="11">
        <f t="shared" si="0"/>
        <v>6</v>
      </c>
      <c r="U35" s="12">
        <f t="shared" si="1"/>
        <v>2</v>
      </c>
      <c r="V35" s="12">
        <f t="shared" si="2"/>
        <v>0</v>
      </c>
      <c r="W35" s="12">
        <f t="shared" si="3"/>
        <v>6</v>
      </c>
      <c r="X35" s="12">
        <f t="shared" si="4"/>
        <v>0</v>
      </c>
      <c r="Y35" s="13">
        <f t="shared" si="11"/>
        <v>14</v>
      </c>
      <c r="Z35" s="32"/>
      <c r="AB35" s="146">
        <f t="shared" si="12"/>
        <v>0.35294117647058826</v>
      </c>
      <c r="AC35" s="146">
        <f t="shared" si="13"/>
        <v>0.2857142857142857</v>
      </c>
      <c r="AD35" s="146">
        <f t="shared" si="14"/>
        <v>0</v>
      </c>
      <c r="AE35" s="146">
        <f t="shared" si="15"/>
        <v>0.31578947368421051</v>
      </c>
      <c r="AF35" s="146">
        <f t="shared" si="16"/>
        <v>0</v>
      </c>
      <c r="AG35" s="146">
        <f t="shared" si="17"/>
        <v>0.29166666666666669</v>
      </c>
      <c r="AH35" s="32"/>
      <c r="AI35" s="24" t="str">
        <f t="shared" si="18"/>
        <v>Storms</v>
      </c>
      <c r="AJ35" t="str">
        <f>INDEX(tbl_threat_catg[Category],MATCH(AI35,tbl_threat_catg[Threat],0),1)</f>
        <v>Natural</v>
      </c>
      <c r="AK35" s="151">
        <f t="shared" si="19"/>
        <v>0.35294117647058826</v>
      </c>
      <c r="AL35" s="151">
        <f t="shared" si="19"/>
        <v>0.2857142857142857</v>
      </c>
      <c r="AM35" s="151">
        <f t="shared" si="28"/>
        <v>0</v>
      </c>
      <c r="AN35" s="151">
        <f t="shared" si="29"/>
        <v>0.31578947368421051</v>
      </c>
      <c r="AO35" s="151">
        <f t="shared" si="30"/>
        <v>0</v>
      </c>
      <c r="AP35" s="151">
        <f t="shared" si="20"/>
        <v>0.95444493586908441</v>
      </c>
      <c r="AQ35" s="150">
        <f t="shared" si="21"/>
        <v>0.24798896805332107</v>
      </c>
      <c r="AS35" s="160" t="str">
        <f t="shared" si="22"/>
        <v/>
      </c>
      <c r="AT35" s="161" t="str">
        <f t="shared" si="23"/>
        <v/>
      </c>
      <c r="AU35" s="161" t="str">
        <f t="shared" si="24"/>
        <v/>
      </c>
      <c r="AV35" s="161" t="str">
        <f t="shared" si="25"/>
        <v/>
      </c>
      <c r="AW35" s="162" t="str">
        <f t="shared" si="26"/>
        <v/>
      </c>
      <c r="AX35" s="167" t="b">
        <f t="shared" si="27"/>
        <v>0</v>
      </c>
    </row>
    <row r="36" spans="1:50" x14ac:dyDescent="0.25">
      <c r="A36" s="18" t="s">
        <v>552</v>
      </c>
      <c r="B36" s="8">
        <f>COUNTIFS(tbl_data[T1],A36,tbl_data[12. Consultation Group of],$B$3)</f>
        <v>0</v>
      </c>
      <c r="C36" s="9">
        <f>COUNTIFS(tbl_data[T1],$A36,tbl_data[12. Consultation Group of],$C$3)</f>
        <v>0</v>
      </c>
      <c r="D36" s="9">
        <f>COUNTIFS(tbl_data[T1],$A36,tbl_data[12. Consultation Group of],$D$3)</f>
        <v>0</v>
      </c>
      <c r="E36" s="9">
        <f>COUNTIFS(tbl_data[T1],$A36,tbl_data[12. Consultation Group of],$E$3)</f>
        <v>0</v>
      </c>
      <c r="F36" s="9">
        <f>COUNTIFS(tbl_data[T1],$A36,tbl_data[12. Consultation Group of],$F$3)</f>
        <v>0</v>
      </c>
      <c r="G36" s="13">
        <f t="shared" si="8"/>
        <v>0</v>
      </c>
      <c r="H36" s="8">
        <f>COUNTIFS(tbl_data[T2],A36,tbl_data[12. Consultation Group of],$H$3)</f>
        <v>0</v>
      </c>
      <c r="I36" s="9">
        <f>COUNTIFS(tbl_data[T2],$A36,tbl_data[12. Consultation Group of],$I$3)</f>
        <v>0</v>
      </c>
      <c r="J36" s="9">
        <f>COUNTIFS(tbl_data[T2],$A36,tbl_data[12. Consultation Group of],$J$3)</f>
        <v>0</v>
      </c>
      <c r="K36" s="9">
        <f>COUNTIFS(tbl_data[T2],$A36,tbl_data[12. Consultation Group of],$K$3)</f>
        <v>0</v>
      </c>
      <c r="L36" s="9">
        <f>COUNTIFS(tbl_data[T2],$A36,tbl_data[12. Consultation Group of],$L$3)</f>
        <v>0</v>
      </c>
      <c r="M36" s="13">
        <f t="shared" si="9"/>
        <v>0</v>
      </c>
      <c r="N36" s="8">
        <f>COUNTIFS(tbl_data[T3],$A36,tbl_data[12. Consultation Group of],$N$3)</f>
        <v>1</v>
      </c>
      <c r="O36" s="9">
        <f>COUNTIFS(tbl_data[T3],$A36,tbl_data[12. Consultation Group of],$O$3)</f>
        <v>0</v>
      </c>
      <c r="P36" s="9">
        <f>COUNTIFS(tbl_data[T3],$A36,tbl_data[12. Consultation Group of],$P$3)</f>
        <v>0</v>
      </c>
      <c r="Q36" s="9">
        <f>COUNTIFS(tbl_data[T3],$A36,tbl_data[12. Consultation Group of],$Q$3)</f>
        <v>0</v>
      </c>
      <c r="R36" s="9">
        <f>COUNTIFS(tbl_data[T3],$A36,tbl_data[12. Consultation Group of],$R$3)</f>
        <v>0</v>
      </c>
      <c r="S36" s="13">
        <f t="shared" si="10"/>
        <v>1</v>
      </c>
      <c r="T36" s="11">
        <f t="shared" si="0"/>
        <v>1</v>
      </c>
      <c r="U36" s="12">
        <f t="shared" si="1"/>
        <v>0</v>
      </c>
      <c r="V36" s="12">
        <f t="shared" si="2"/>
        <v>0</v>
      </c>
      <c r="W36" s="12">
        <f t="shared" si="3"/>
        <v>0</v>
      </c>
      <c r="X36" s="12">
        <f t="shared" si="4"/>
        <v>0</v>
      </c>
      <c r="Y36" s="13">
        <f t="shared" si="11"/>
        <v>1</v>
      </c>
      <c r="Z36" s="32"/>
      <c r="AB36" s="146">
        <f t="shared" si="12"/>
        <v>5.8823529411764705E-2</v>
      </c>
      <c r="AC36" s="146">
        <f t="shared" si="13"/>
        <v>0</v>
      </c>
      <c r="AD36" s="146">
        <f t="shared" si="14"/>
        <v>0</v>
      </c>
      <c r="AE36" s="146">
        <f t="shared" si="15"/>
        <v>0</v>
      </c>
      <c r="AF36" s="146">
        <f t="shared" si="16"/>
        <v>0</v>
      </c>
      <c r="AG36" s="146">
        <f t="shared" si="17"/>
        <v>2.0833333333333332E-2</v>
      </c>
      <c r="AH36" s="32"/>
      <c r="AI36" s="24" t="str">
        <f t="shared" si="18"/>
        <v>Stray Animals</v>
      </c>
      <c r="AJ36" t="str">
        <f>INDEX(tbl_threat_catg[Category],MATCH(AI36,tbl_threat_catg[Threat],0),1)</f>
        <v>Legal</v>
      </c>
      <c r="AK36" s="151">
        <f t="shared" si="19"/>
        <v>5.8823529411764705E-2</v>
      </c>
      <c r="AL36" s="151">
        <f t="shared" si="19"/>
        <v>0</v>
      </c>
      <c r="AM36" s="151">
        <f t="shared" si="28"/>
        <v>0</v>
      </c>
      <c r="AN36" s="151">
        <f t="shared" si="29"/>
        <v>0</v>
      </c>
      <c r="AO36" s="151">
        <f t="shared" si="30"/>
        <v>0</v>
      </c>
      <c r="AP36" s="151">
        <f t="shared" si="20"/>
        <v>5.8823529411764705E-2</v>
      </c>
      <c r="AQ36" s="150">
        <f t="shared" si="21"/>
        <v>1.5283842794759826E-2</v>
      </c>
      <c r="AS36" s="160" t="str">
        <f t="shared" si="22"/>
        <v>UNIQUE</v>
      </c>
      <c r="AT36" s="161" t="str">
        <f t="shared" si="23"/>
        <v/>
      </c>
      <c r="AU36" s="161" t="str">
        <f t="shared" si="24"/>
        <v/>
      </c>
      <c r="AV36" s="161" t="str">
        <f t="shared" si="25"/>
        <v/>
      </c>
      <c r="AW36" s="162" t="str">
        <f t="shared" si="26"/>
        <v/>
      </c>
      <c r="AX36" s="167" t="b">
        <f t="shared" si="27"/>
        <v>0</v>
      </c>
    </row>
    <row r="37" spans="1:50" x14ac:dyDescent="0.25">
      <c r="A37" s="18" t="s">
        <v>403</v>
      </c>
      <c r="B37" s="8">
        <f>COUNTIFS(tbl_data[T1],A37,tbl_data[12. Consultation Group of],$B$3)</f>
        <v>0</v>
      </c>
      <c r="C37" s="9">
        <f>COUNTIFS(tbl_data[T1],$A37,tbl_data[12. Consultation Group of],$C$3)</f>
        <v>0</v>
      </c>
      <c r="D37" s="9">
        <f>COUNTIFS(tbl_data[T1],$A37,tbl_data[12. Consultation Group of],$D$3)</f>
        <v>0</v>
      </c>
      <c r="E37" s="9">
        <f>COUNTIFS(tbl_data[T1],$A37,tbl_data[12. Consultation Group of],$E$3)</f>
        <v>0</v>
      </c>
      <c r="F37" s="9">
        <f>COUNTIFS(tbl_data[T1],$A37,tbl_data[12. Consultation Group of],$F$3)</f>
        <v>0</v>
      </c>
      <c r="G37" s="13">
        <f t="shared" si="8"/>
        <v>0</v>
      </c>
      <c r="H37" s="8">
        <f>COUNTIFS(tbl_data[T2],A37,tbl_data[12. Consultation Group of],$H$3)</f>
        <v>0</v>
      </c>
      <c r="I37" s="9">
        <f>COUNTIFS(tbl_data[T2],$A37,tbl_data[12. Consultation Group of],$I$3)</f>
        <v>0</v>
      </c>
      <c r="J37" s="9">
        <f>COUNTIFS(tbl_data[T2],$A37,tbl_data[12. Consultation Group of],$J$3)</f>
        <v>0</v>
      </c>
      <c r="K37" s="9">
        <f>COUNTIFS(tbl_data[T2],$A37,tbl_data[12. Consultation Group of],$K$3)</f>
        <v>0</v>
      </c>
      <c r="L37" s="9">
        <f>COUNTIFS(tbl_data[T2],$A37,tbl_data[12. Consultation Group of],$L$3)</f>
        <v>0</v>
      </c>
      <c r="M37" s="13">
        <f t="shared" si="9"/>
        <v>0</v>
      </c>
      <c r="N37" s="8">
        <f>COUNTIFS(tbl_data[T3],$A37,tbl_data[12. Consultation Group of],$N$3)</f>
        <v>0</v>
      </c>
      <c r="O37" s="9">
        <f>COUNTIFS(tbl_data[T3],$A37,tbl_data[12. Consultation Group of],$O$3)</f>
        <v>0</v>
      </c>
      <c r="P37" s="9">
        <f>COUNTIFS(tbl_data[T3],$A37,tbl_data[12. Consultation Group of],$P$3)</f>
        <v>0</v>
      </c>
      <c r="Q37" s="9">
        <f>COUNTIFS(tbl_data[T3],$A37,tbl_data[12. Consultation Group of],$Q$3)</f>
        <v>0</v>
      </c>
      <c r="R37" s="9">
        <f>COUNTIFS(tbl_data[T3],$A37,tbl_data[12. Consultation Group of],$R$3)</f>
        <v>1</v>
      </c>
      <c r="S37" s="13">
        <f t="shared" si="10"/>
        <v>1</v>
      </c>
      <c r="T37" s="11">
        <f t="shared" si="0"/>
        <v>0</v>
      </c>
      <c r="U37" s="12">
        <f t="shared" si="1"/>
        <v>0</v>
      </c>
      <c r="V37" s="12">
        <f t="shared" si="2"/>
        <v>0</v>
      </c>
      <c r="W37" s="12">
        <f t="shared" si="3"/>
        <v>0</v>
      </c>
      <c r="X37" s="12">
        <f t="shared" si="4"/>
        <v>1</v>
      </c>
      <c r="Y37" s="13">
        <f t="shared" si="11"/>
        <v>1</v>
      </c>
      <c r="Z37" s="32"/>
      <c r="AB37" s="146">
        <f t="shared" si="12"/>
        <v>0</v>
      </c>
      <c r="AC37" s="146">
        <f t="shared" si="13"/>
        <v>0</v>
      </c>
      <c r="AD37" s="146">
        <f t="shared" si="14"/>
        <v>0</v>
      </c>
      <c r="AE37" s="146">
        <f t="shared" si="15"/>
        <v>0</v>
      </c>
      <c r="AF37" s="146">
        <f t="shared" si="16"/>
        <v>0.14285714285714285</v>
      </c>
      <c r="AG37" s="146">
        <f t="shared" si="17"/>
        <v>2.0833333333333332E-2</v>
      </c>
      <c r="AH37" s="32"/>
      <c r="AI37" s="24" t="str">
        <f t="shared" si="18"/>
        <v>Temperature Rise</v>
      </c>
      <c r="AJ37" t="str">
        <f>INDEX(tbl_threat_catg[Category],MATCH(AI37,tbl_threat_catg[Threat],0),1)</f>
        <v>Natural</v>
      </c>
      <c r="AK37" s="151">
        <f t="shared" si="19"/>
        <v>0</v>
      </c>
      <c r="AL37" s="151">
        <f t="shared" si="19"/>
        <v>0</v>
      </c>
      <c r="AM37" s="151">
        <f t="shared" si="28"/>
        <v>0</v>
      </c>
      <c r="AN37" s="151">
        <f t="shared" si="29"/>
        <v>0</v>
      </c>
      <c r="AO37" s="151">
        <f t="shared" si="30"/>
        <v>0.14285714285714285</v>
      </c>
      <c r="AP37" s="151">
        <f t="shared" si="20"/>
        <v>0.14285714285714285</v>
      </c>
      <c r="AQ37" s="150">
        <f t="shared" si="21"/>
        <v>3.7117903930131008E-2</v>
      </c>
      <c r="AS37" s="160" t="str">
        <f t="shared" si="22"/>
        <v/>
      </c>
      <c r="AT37" s="161" t="str">
        <f t="shared" si="23"/>
        <v/>
      </c>
      <c r="AU37" s="161" t="str">
        <f t="shared" si="24"/>
        <v/>
      </c>
      <c r="AV37" s="161" t="str">
        <f t="shared" si="25"/>
        <v/>
      </c>
      <c r="AW37" s="162" t="str">
        <f t="shared" si="26"/>
        <v>UNIQUE</v>
      </c>
      <c r="AX37" s="167" t="b">
        <f t="shared" si="27"/>
        <v>0</v>
      </c>
    </row>
    <row r="38" spans="1:50" x14ac:dyDescent="0.25">
      <c r="A38" s="18" t="s">
        <v>460</v>
      </c>
      <c r="B38" s="8">
        <f>COUNTIFS(tbl_data[T1],A38,tbl_data[12. Consultation Group of],$B$3)</f>
        <v>0</v>
      </c>
      <c r="C38" s="9">
        <f>COUNTIFS(tbl_data[T1],$A38,tbl_data[12. Consultation Group of],$C$3)</f>
        <v>0</v>
      </c>
      <c r="D38" s="9">
        <f>COUNTIFS(tbl_data[T1],$A38,tbl_data[12. Consultation Group of],$D$3)</f>
        <v>0</v>
      </c>
      <c r="E38" s="9">
        <f>COUNTIFS(tbl_data[T1],$A38,tbl_data[12. Consultation Group of],$E$3)</f>
        <v>0</v>
      </c>
      <c r="F38" s="9">
        <f>COUNTIFS(tbl_data[T1],$A38,tbl_data[12. Consultation Group of],$F$3)</f>
        <v>0</v>
      </c>
      <c r="G38" s="13">
        <f t="shared" si="8"/>
        <v>0</v>
      </c>
      <c r="H38" s="8">
        <f>COUNTIFS(tbl_data[T2],A38,tbl_data[12. Consultation Group of],$H$3)</f>
        <v>0</v>
      </c>
      <c r="I38" s="9">
        <f>COUNTIFS(tbl_data[T2],$A38,tbl_data[12. Consultation Group of],$I$3)</f>
        <v>0</v>
      </c>
      <c r="J38" s="9">
        <f>COUNTIFS(tbl_data[T2],$A38,tbl_data[12. Consultation Group of],$J$3)</f>
        <v>0</v>
      </c>
      <c r="K38" s="9">
        <f>COUNTIFS(tbl_data[T2],$A38,tbl_data[12. Consultation Group of],$K$3)</f>
        <v>0</v>
      </c>
      <c r="L38" s="9">
        <f>COUNTIFS(tbl_data[T2],$A38,tbl_data[12. Consultation Group of],$L$3)</f>
        <v>0</v>
      </c>
      <c r="M38" s="13">
        <f t="shared" si="9"/>
        <v>0</v>
      </c>
      <c r="N38" s="8">
        <f>COUNTIFS(tbl_data[T3],$A38,tbl_data[12. Consultation Group of],$N$3)</f>
        <v>1</v>
      </c>
      <c r="O38" s="9">
        <f>COUNTIFS(tbl_data[T3],$A38,tbl_data[12. Consultation Group of],$O$3)</f>
        <v>0</v>
      </c>
      <c r="P38" s="9">
        <f>COUNTIFS(tbl_data[T3],$A38,tbl_data[12. Consultation Group of],$P$3)</f>
        <v>0</v>
      </c>
      <c r="Q38" s="9">
        <f>COUNTIFS(tbl_data[T3],$A38,tbl_data[12. Consultation Group of],$Q$3)</f>
        <v>0</v>
      </c>
      <c r="R38" s="9">
        <f>COUNTIFS(tbl_data[T3],$A38,tbl_data[12. Consultation Group of],$R$3)</f>
        <v>0</v>
      </c>
      <c r="S38" s="13">
        <f t="shared" si="10"/>
        <v>1</v>
      </c>
      <c r="T38" s="11">
        <f t="shared" si="0"/>
        <v>1</v>
      </c>
      <c r="U38" s="12">
        <f t="shared" si="1"/>
        <v>0</v>
      </c>
      <c r="V38" s="12">
        <f t="shared" si="2"/>
        <v>0</v>
      </c>
      <c r="W38" s="12">
        <f t="shared" si="3"/>
        <v>0</v>
      </c>
      <c r="X38" s="12">
        <f t="shared" si="4"/>
        <v>0</v>
      </c>
      <c r="Y38" s="13">
        <f t="shared" si="11"/>
        <v>1</v>
      </c>
      <c r="Z38" s="32"/>
      <c r="AB38" s="146">
        <f t="shared" si="12"/>
        <v>5.8823529411764705E-2</v>
      </c>
      <c r="AC38" s="146">
        <f t="shared" si="13"/>
        <v>0</v>
      </c>
      <c r="AD38" s="146">
        <f t="shared" si="14"/>
        <v>0</v>
      </c>
      <c r="AE38" s="146">
        <f t="shared" si="15"/>
        <v>0</v>
      </c>
      <c r="AF38" s="146">
        <f t="shared" si="16"/>
        <v>0</v>
      </c>
      <c r="AG38" s="146">
        <f t="shared" si="17"/>
        <v>2.0833333333333332E-2</v>
      </c>
      <c r="AH38" s="32"/>
      <c r="AI38" s="24" t="str">
        <f t="shared" si="18"/>
        <v>Tornado</v>
      </c>
      <c r="AJ38" t="str">
        <f>INDEX(tbl_threat_catg[Category],MATCH(AI38,tbl_threat_catg[Threat],0),1)</f>
        <v>Natural</v>
      </c>
      <c r="AK38" s="151">
        <f t="shared" si="19"/>
        <v>5.8823529411764705E-2</v>
      </c>
      <c r="AL38" s="151">
        <f t="shared" si="19"/>
        <v>0</v>
      </c>
      <c r="AM38" s="151">
        <f t="shared" si="28"/>
        <v>0</v>
      </c>
      <c r="AN38" s="151">
        <f t="shared" si="29"/>
        <v>0</v>
      </c>
      <c r="AO38" s="151">
        <f t="shared" si="30"/>
        <v>0</v>
      </c>
      <c r="AP38" s="151">
        <f t="shared" si="20"/>
        <v>5.8823529411764705E-2</v>
      </c>
      <c r="AQ38" s="150">
        <f t="shared" si="21"/>
        <v>1.5283842794759826E-2</v>
      </c>
      <c r="AS38" s="160" t="str">
        <f t="shared" si="22"/>
        <v>UNIQUE</v>
      </c>
      <c r="AT38" s="161" t="str">
        <f t="shared" si="23"/>
        <v/>
      </c>
      <c r="AU38" s="161" t="str">
        <f t="shared" si="24"/>
        <v/>
      </c>
      <c r="AV38" s="161" t="str">
        <f t="shared" si="25"/>
        <v/>
      </c>
      <c r="AW38" s="162" t="str">
        <f t="shared" si="26"/>
        <v/>
      </c>
      <c r="AX38" s="167" t="b">
        <f t="shared" si="27"/>
        <v>0</v>
      </c>
    </row>
    <row r="39" spans="1:50" x14ac:dyDescent="0.25">
      <c r="A39" s="18" t="s">
        <v>165</v>
      </c>
      <c r="B39" s="8">
        <f>COUNTIFS(tbl_data[T1],A39,tbl_data[12. Consultation Group of],$B$3)</f>
        <v>0</v>
      </c>
      <c r="C39" s="9">
        <f>COUNTIFS(tbl_data[T1],$A39,tbl_data[12. Consultation Group of],$C$3)</f>
        <v>0</v>
      </c>
      <c r="D39" s="9">
        <f>COUNTIFS(tbl_data[T1],$A39,tbl_data[12. Consultation Group of],$D$3)</f>
        <v>0</v>
      </c>
      <c r="E39" s="9">
        <f>COUNTIFS(tbl_data[T1],$A39,tbl_data[12. Consultation Group of],$E$3)</f>
        <v>0</v>
      </c>
      <c r="F39" s="9">
        <f>COUNTIFS(tbl_data[T1],$A39,tbl_data[12. Consultation Group of],$F$3)</f>
        <v>0</v>
      </c>
      <c r="G39" s="13">
        <f t="shared" si="8"/>
        <v>0</v>
      </c>
      <c r="H39" s="8">
        <f>COUNTIFS(tbl_data[T2],A39,tbl_data[12. Consultation Group of],$H$3)</f>
        <v>1</v>
      </c>
      <c r="I39" s="9">
        <f>COUNTIFS(tbl_data[T2],$A39,tbl_data[12. Consultation Group of],$I$3)</f>
        <v>0</v>
      </c>
      <c r="J39" s="9">
        <f>COUNTIFS(tbl_data[T2],$A39,tbl_data[12. Consultation Group of],$J$3)</f>
        <v>0</v>
      </c>
      <c r="K39" s="9">
        <f>COUNTIFS(tbl_data[T2],$A39,tbl_data[12. Consultation Group of],$K$3)</f>
        <v>1</v>
      </c>
      <c r="L39" s="9">
        <f>COUNTIFS(tbl_data[T2],$A39,tbl_data[12. Consultation Group of],$L$3)</f>
        <v>0</v>
      </c>
      <c r="M39" s="13">
        <f t="shared" si="9"/>
        <v>2</v>
      </c>
      <c r="N39" s="8">
        <f>COUNTIFS(tbl_data[T3],$A39,tbl_data[12. Consultation Group of],$N$3)</f>
        <v>0</v>
      </c>
      <c r="O39" s="9">
        <f>COUNTIFS(tbl_data[T3],$A39,tbl_data[12. Consultation Group of],$O$3)</f>
        <v>0</v>
      </c>
      <c r="P39" s="9">
        <f>COUNTIFS(tbl_data[T3],$A39,tbl_data[12. Consultation Group of],$P$3)</f>
        <v>0</v>
      </c>
      <c r="Q39" s="9">
        <f>COUNTIFS(tbl_data[T3],$A39,tbl_data[12. Consultation Group of],$Q$3)</f>
        <v>0</v>
      </c>
      <c r="R39" s="9">
        <f>COUNTIFS(tbl_data[T3],$A39,tbl_data[12. Consultation Group of],$R$3)</f>
        <v>0</v>
      </c>
      <c r="S39" s="13">
        <f t="shared" si="10"/>
        <v>0</v>
      </c>
      <c r="T39" s="11">
        <f t="shared" si="0"/>
        <v>2</v>
      </c>
      <c r="U39" s="12">
        <f t="shared" si="1"/>
        <v>0</v>
      </c>
      <c r="V39" s="12">
        <f t="shared" si="2"/>
        <v>0</v>
      </c>
      <c r="W39" s="12">
        <f t="shared" si="3"/>
        <v>2</v>
      </c>
      <c r="X39" s="12">
        <f t="shared" si="4"/>
        <v>0</v>
      </c>
      <c r="Y39" s="13">
        <f t="shared" si="11"/>
        <v>4</v>
      </c>
      <c r="Z39" s="32"/>
      <c r="AB39" s="146">
        <f t="shared" si="12"/>
        <v>0.11764705882352941</v>
      </c>
      <c r="AC39" s="146">
        <f t="shared" si="13"/>
        <v>0</v>
      </c>
      <c r="AD39" s="146">
        <f t="shared" si="14"/>
        <v>0</v>
      </c>
      <c r="AE39" s="146">
        <f t="shared" si="15"/>
        <v>0.10526315789473684</v>
      </c>
      <c r="AF39" s="146">
        <f t="shared" si="16"/>
        <v>0</v>
      </c>
      <c r="AG39" s="146">
        <f t="shared" si="17"/>
        <v>8.3333333333333329E-2</v>
      </c>
      <c r="AH39" s="32"/>
      <c r="AI39" s="24" t="str">
        <f t="shared" si="18"/>
        <v>Traffic Congestion</v>
      </c>
      <c r="AJ39" t="str">
        <f>INDEX(tbl_threat_catg[Category],MATCH(AI39,tbl_threat_catg[Threat],0),1)</f>
        <v>Legal</v>
      </c>
      <c r="AK39" s="151">
        <f t="shared" si="19"/>
        <v>0.11764705882352941</v>
      </c>
      <c r="AL39" s="151">
        <f t="shared" si="19"/>
        <v>0</v>
      </c>
      <c r="AM39" s="151">
        <f t="shared" si="28"/>
        <v>0</v>
      </c>
      <c r="AN39" s="151">
        <f t="shared" si="29"/>
        <v>0.10526315789473684</v>
      </c>
      <c r="AO39" s="151">
        <f t="shared" si="30"/>
        <v>0</v>
      </c>
      <c r="AP39" s="151">
        <f t="shared" si="20"/>
        <v>0.22291021671826625</v>
      </c>
      <c r="AQ39" s="150">
        <f t="shared" si="21"/>
        <v>5.7917720064353029E-2</v>
      </c>
      <c r="AS39" s="160" t="str">
        <f t="shared" si="22"/>
        <v/>
      </c>
      <c r="AT39" s="161" t="str">
        <f t="shared" si="23"/>
        <v/>
      </c>
      <c r="AU39" s="161" t="str">
        <f t="shared" si="24"/>
        <v/>
      </c>
      <c r="AV39" s="161" t="str">
        <f t="shared" si="25"/>
        <v/>
      </c>
      <c r="AW39" s="162" t="str">
        <f t="shared" si="26"/>
        <v/>
      </c>
      <c r="AX39" s="167" t="b">
        <f t="shared" si="27"/>
        <v>0</v>
      </c>
    </row>
    <row r="40" spans="1:50" x14ac:dyDescent="0.25">
      <c r="A40" s="18" t="s">
        <v>304</v>
      </c>
      <c r="B40" s="8">
        <f>COUNTIFS(tbl_data[T1],A40,tbl_data[12. Consultation Group of],$B$3)</f>
        <v>0</v>
      </c>
      <c r="C40" s="9">
        <f>COUNTIFS(tbl_data[T1],$A40,tbl_data[12. Consultation Group of],$C$3)</f>
        <v>0</v>
      </c>
      <c r="D40" s="9">
        <f>COUNTIFS(tbl_data[T1],$A40,tbl_data[12. Consultation Group of],$D$3)</f>
        <v>1</v>
      </c>
      <c r="E40" s="9">
        <f>COUNTIFS(tbl_data[T1],$A40,tbl_data[12. Consultation Group of],$E$3)</f>
        <v>0</v>
      </c>
      <c r="F40" s="9">
        <f>COUNTIFS(tbl_data[T1],$A40,tbl_data[12. Consultation Group of],$F$3)</f>
        <v>0</v>
      </c>
      <c r="G40" s="13">
        <f t="shared" si="8"/>
        <v>1</v>
      </c>
      <c r="H40" s="8">
        <f>COUNTIFS(tbl_data[T2],A40,tbl_data[12. Consultation Group of],$H$3)</f>
        <v>0</v>
      </c>
      <c r="I40" s="9">
        <f>COUNTIFS(tbl_data[T2],$A40,tbl_data[12. Consultation Group of],$I$3)</f>
        <v>0</v>
      </c>
      <c r="J40" s="9">
        <f>COUNTIFS(tbl_data[T2],$A40,tbl_data[12. Consultation Group of],$J$3)</f>
        <v>0</v>
      </c>
      <c r="K40" s="9">
        <f>COUNTIFS(tbl_data[T2],$A40,tbl_data[12. Consultation Group of],$K$3)</f>
        <v>1</v>
      </c>
      <c r="L40" s="9">
        <f>COUNTIFS(tbl_data[T2],$A40,tbl_data[12. Consultation Group of],$L$3)</f>
        <v>1</v>
      </c>
      <c r="M40" s="13">
        <f t="shared" si="9"/>
        <v>2</v>
      </c>
      <c r="N40" s="8">
        <f>COUNTIFS(tbl_data[T3],$A40,tbl_data[12. Consultation Group of],$N$3)</f>
        <v>0</v>
      </c>
      <c r="O40" s="9">
        <f>COUNTIFS(tbl_data[T3],$A40,tbl_data[12. Consultation Group of],$O$3)</f>
        <v>1</v>
      </c>
      <c r="P40" s="9">
        <f>COUNTIFS(tbl_data[T3],$A40,tbl_data[12. Consultation Group of],$P$3)</f>
        <v>0</v>
      </c>
      <c r="Q40" s="9">
        <f>COUNTIFS(tbl_data[T3],$A40,tbl_data[12. Consultation Group of],$Q$3)</f>
        <v>0</v>
      </c>
      <c r="R40" s="9">
        <f>COUNTIFS(tbl_data[T3],$A40,tbl_data[12. Consultation Group of],$R$3)</f>
        <v>1</v>
      </c>
      <c r="S40" s="13">
        <f t="shared" si="10"/>
        <v>2</v>
      </c>
      <c r="T40" s="11">
        <f t="shared" si="0"/>
        <v>0</v>
      </c>
      <c r="U40" s="12">
        <f t="shared" si="1"/>
        <v>1</v>
      </c>
      <c r="V40" s="12">
        <f t="shared" si="2"/>
        <v>3</v>
      </c>
      <c r="W40" s="12">
        <f t="shared" si="3"/>
        <v>2</v>
      </c>
      <c r="X40" s="12">
        <f t="shared" si="4"/>
        <v>3</v>
      </c>
      <c r="Y40" s="13">
        <f t="shared" si="11"/>
        <v>9</v>
      </c>
      <c r="Z40" s="32"/>
      <c r="AB40" s="146">
        <f t="shared" si="12"/>
        <v>0</v>
      </c>
      <c r="AC40" s="146">
        <f t="shared" si="13"/>
        <v>0.14285714285714285</v>
      </c>
      <c r="AD40" s="146">
        <f t="shared" si="14"/>
        <v>0.33333333333333331</v>
      </c>
      <c r="AE40" s="146">
        <f t="shared" si="15"/>
        <v>0.10526315789473684</v>
      </c>
      <c r="AF40" s="146">
        <f t="shared" si="16"/>
        <v>0.42857142857142855</v>
      </c>
      <c r="AG40" s="146">
        <f t="shared" si="17"/>
        <v>0.1875</v>
      </c>
      <c r="AH40" s="32"/>
      <c r="AI40" s="24" t="str">
        <f t="shared" si="18"/>
        <v>Unemployment</v>
      </c>
      <c r="AJ40" t="str">
        <f>INDEX(tbl_threat_catg[Category],MATCH(AI40,tbl_threat_catg[Threat],0),1)</f>
        <v>Social</v>
      </c>
      <c r="AK40" s="151">
        <f t="shared" si="19"/>
        <v>0</v>
      </c>
      <c r="AL40" s="151">
        <f t="shared" si="19"/>
        <v>0.14285714285714285</v>
      </c>
      <c r="AM40" s="151">
        <f t="shared" si="28"/>
        <v>0.33333333333333331</v>
      </c>
      <c r="AN40" s="151">
        <f t="shared" si="29"/>
        <v>0.10526315789473684</v>
      </c>
      <c r="AO40" s="151">
        <f t="shared" si="30"/>
        <v>0.42857142857142855</v>
      </c>
      <c r="AP40" s="151">
        <f t="shared" si="20"/>
        <v>1.0100250626566416</v>
      </c>
      <c r="AQ40" s="150">
        <f t="shared" si="21"/>
        <v>0.26243009269899642</v>
      </c>
      <c r="AS40" s="160" t="str">
        <f t="shared" si="22"/>
        <v/>
      </c>
      <c r="AT40" s="161" t="str">
        <f t="shared" si="23"/>
        <v/>
      </c>
      <c r="AU40" s="161" t="str">
        <f t="shared" si="24"/>
        <v/>
      </c>
      <c r="AV40" s="161" t="str">
        <f t="shared" si="25"/>
        <v/>
      </c>
      <c r="AW40" s="162" t="str">
        <f t="shared" si="26"/>
        <v/>
      </c>
      <c r="AX40" s="167" t="b">
        <f t="shared" si="27"/>
        <v>0</v>
      </c>
    </row>
    <row r="41" spans="1:50" x14ac:dyDescent="0.25">
      <c r="A41" s="18" t="s">
        <v>172</v>
      </c>
      <c r="B41" s="8">
        <f>COUNTIFS(tbl_data[T1],A41,tbl_data[12. Consultation Group of],$B$3)</f>
        <v>0</v>
      </c>
      <c r="C41" s="9">
        <f>COUNTIFS(tbl_data[T1],$A41,tbl_data[12. Consultation Group of],$C$3)</f>
        <v>0</v>
      </c>
      <c r="D41" s="9">
        <f>COUNTIFS(tbl_data[T1],$A41,tbl_data[12. Consultation Group of],$D$3)</f>
        <v>0</v>
      </c>
      <c r="E41" s="9">
        <f>COUNTIFS(tbl_data[T1],$A41,tbl_data[12. Consultation Group of],$E$3)</f>
        <v>0</v>
      </c>
      <c r="F41" s="9">
        <f>COUNTIFS(tbl_data[T1],$A41,tbl_data[12. Consultation Group of],$F$3)</f>
        <v>1</v>
      </c>
      <c r="G41" s="13">
        <f t="shared" si="8"/>
        <v>1</v>
      </c>
      <c r="H41" s="8">
        <f>COUNTIFS(tbl_data[T2],A41,tbl_data[12. Consultation Group of],$H$3)</f>
        <v>0</v>
      </c>
      <c r="I41" s="9">
        <f>COUNTIFS(tbl_data[T2],$A41,tbl_data[12. Consultation Group of],$I$3)</f>
        <v>0</v>
      </c>
      <c r="J41" s="9">
        <f>COUNTIFS(tbl_data[T2],$A41,tbl_data[12. Consultation Group of],$J$3)</f>
        <v>0</v>
      </c>
      <c r="K41" s="9">
        <f>COUNTIFS(tbl_data[T2],$A41,tbl_data[12. Consultation Group of],$K$3)</f>
        <v>0</v>
      </c>
      <c r="L41" s="9">
        <f>COUNTIFS(tbl_data[T2],$A41,tbl_data[12. Consultation Group of],$L$3)</f>
        <v>0</v>
      </c>
      <c r="M41" s="13">
        <f t="shared" si="9"/>
        <v>0</v>
      </c>
      <c r="N41" s="8">
        <f>COUNTIFS(tbl_data[T3],$A41,tbl_data[12. Consultation Group of],$N$3)</f>
        <v>2</v>
      </c>
      <c r="O41" s="9">
        <f>COUNTIFS(tbl_data[T3],$A41,tbl_data[12. Consultation Group of],$O$3)</f>
        <v>0</v>
      </c>
      <c r="P41" s="9">
        <f>COUNTIFS(tbl_data[T3],$A41,tbl_data[12. Consultation Group of],$P$3)</f>
        <v>1</v>
      </c>
      <c r="Q41" s="9">
        <f>COUNTIFS(tbl_data[T3],$A41,tbl_data[12. Consultation Group of],$Q$3)</f>
        <v>0</v>
      </c>
      <c r="R41" s="9">
        <f>COUNTIFS(tbl_data[T3],$A41,tbl_data[12. Consultation Group of],$R$3)</f>
        <v>0</v>
      </c>
      <c r="S41" s="13">
        <f t="shared" si="10"/>
        <v>3</v>
      </c>
      <c r="T41" s="11">
        <f t="shared" si="0"/>
        <v>2</v>
      </c>
      <c r="U41" s="12">
        <f t="shared" si="1"/>
        <v>0</v>
      </c>
      <c r="V41" s="12">
        <f t="shared" si="2"/>
        <v>1</v>
      </c>
      <c r="W41" s="12">
        <f t="shared" si="3"/>
        <v>0</v>
      </c>
      <c r="X41" s="12">
        <f t="shared" si="4"/>
        <v>3</v>
      </c>
      <c r="Y41" s="13">
        <f t="shared" si="11"/>
        <v>6</v>
      </c>
      <c r="Z41" s="32"/>
      <c r="AB41" s="146">
        <f t="shared" si="12"/>
        <v>0.11764705882352941</v>
      </c>
      <c r="AC41" s="146">
        <f t="shared" si="13"/>
        <v>0</v>
      </c>
      <c r="AD41" s="146">
        <f t="shared" si="14"/>
        <v>0.1111111111111111</v>
      </c>
      <c r="AE41" s="146">
        <f t="shared" si="15"/>
        <v>0</v>
      </c>
      <c r="AF41" s="146">
        <f t="shared" si="16"/>
        <v>0.42857142857142855</v>
      </c>
      <c r="AG41" s="146">
        <f t="shared" si="17"/>
        <v>0.125</v>
      </c>
      <c r="AH41" s="32"/>
      <c r="AI41" s="24" t="str">
        <f t="shared" si="18"/>
        <v>Violence</v>
      </c>
      <c r="AJ41" t="str">
        <f>INDEX(tbl_threat_catg[Category],MATCH(AI41,tbl_threat_catg[Threat],0),1)</f>
        <v>Social</v>
      </c>
      <c r="AK41" s="151">
        <f t="shared" si="19"/>
        <v>0.11764705882352941</v>
      </c>
      <c r="AL41" s="151">
        <f t="shared" si="19"/>
        <v>0</v>
      </c>
      <c r="AM41" s="151">
        <f t="shared" si="28"/>
        <v>0.1111111111111111</v>
      </c>
      <c r="AN41" s="151">
        <f t="shared" si="29"/>
        <v>0</v>
      </c>
      <c r="AO41" s="151">
        <f t="shared" si="30"/>
        <v>0.42857142857142855</v>
      </c>
      <c r="AP41" s="151">
        <f t="shared" si="20"/>
        <v>0.65732959850606909</v>
      </c>
      <c r="AQ41" s="150">
        <f t="shared" si="21"/>
        <v>0.17079087821445901</v>
      </c>
      <c r="AS41" s="160" t="str">
        <f t="shared" si="22"/>
        <v/>
      </c>
      <c r="AT41" s="161" t="str">
        <f t="shared" si="23"/>
        <v/>
      </c>
      <c r="AU41" s="161" t="str">
        <f t="shared" si="24"/>
        <v/>
      </c>
      <c r="AV41" s="161" t="str">
        <f t="shared" si="25"/>
        <v/>
      </c>
      <c r="AW41" s="162" t="str">
        <f t="shared" si="26"/>
        <v/>
      </c>
      <c r="AX41" s="167" t="b">
        <f t="shared" si="27"/>
        <v>0</v>
      </c>
    </row>
    <row r="42" spans="1:50" ht="15.75" thickBot="1" x14ac:dyDescent="0.3">
      <c r="A42" s="18" t="s">
        <v>177</v>
      </c>
      <c r="B42" s="19">
        <f>COUNTIFS(tbl_data[T1],A42,tbl_data[12. Consultation Group of],$B$3)</f>
        <v>1</v>
      </c>
      <c r="C42" s="20">
        <f>COUNTIFS(tbl_data[T1],$A42,tbl_data[12. Consultation Group of],$C$3)</f>
        <v>1</v>
      </c>
      <c r="D42" s="20">
        <f>COUNTIFS(tbl_data[T1],$A42,tbl_data[12. Consultation Group of],$D$3)</f>
        <v>0</v>
      </c>
      <c r="E42" s="20">
        <f>COUNTIFS(tbl_data[T1],$A42,tbl_data[12. Consultation Group of],$E$3)</f>
        <v>2</v>
      </c>
      <c r="F42" s="20">
        <f>COUNTIFS(tbl_data[T1],$A42,tbl_data[12. Consultation Group of],$F$3)</f>
        <v>0</v>
      </c>
      <c r="G42" s="16">
        <f t="shared" si="8"/>
        <v>4</v>
      </c>
      <c r="H42" s="19">
        <f>COUNTIFS(tbl_data[T2],A42,tbl_data[12. Consultation Group of],$H$3)</f>
        <v>1</v>
      </c>
      <c r="I42" s="20">
        <f>COUNTIFS(tbl_data[T2],$A42,tbl_data[12. Consultation Group of],$I$3)</f>
        <v>0</v>
      </c>
      <c r="J42" s="20">
        <f>COUNTIFS(tbl_data[T2],$A42,tbl_data[12. Consultation Group of],$J$3)</f>
        <v>0</v>
      </c>
      <c r="K42" s="20">
        <f>COUNTIFS(tbl_data[T2],$A42,tbl_data[12. Consultation Group of],$K$3)</f>
        <v>0</v>
      </c>
      <c r="L42" s="20">
        <f>COUNTIFS(tbl_data[T2],$A42,tbl_data[12. Consultation Group of],$L$3)</f>
        <v>1</v>
      </c>
      <c r="M42" s="16">
        <f t="shared" si="9"/>
        <v>2</v>
      </c>
      <c r="N42" s="19">
        <f>COUNTIFS(tbl_data[T3],$A42,tbl_data[12. Consultation Group of],$N$3)</f>
        <v>0</v>
      </c>
      <c r="O42" s="20">
        <f>COUNTIFS(tbl_data[T3],$A42,tbl_data[12. Consultation Group of],$O$3)</f>
        <v>0</v>
      </c>
      <c r="P42" s="20">
        <f>COUNTIFS(tbl_data[T3],$A42,tbl_data[12. Consultation Group of],$P$3)</f>
        <v>0</v>
      </c>
      <c r="Q42" s="20">
        <f>COUNTIFS(tbl_data[T3],$A42,tbl_data[12. Consultation Group of],$Q$3)</f>
        <v>0</v>
      </c>
      <c r="R42" s="20">
        <f>COUNTIFS(tbl_data[T3],$A42,tbl_data[12. Consultation Group of],$R$3)</f>
        <v>0</v>
      </c>
      <c r="S42" s="16">
        <f t="shared" si="10"/>
        <v>0</v>
      </c>
      <c r="T42" s="14">
        <f t="shared" si="0"/>
        <v>5</v>
      </c>
      <c r="U42" s="15">
        <f t="shared" si="1"/>
        <v>3</v>
      </c>
      <c r="V42" s="15">
        <f t="shared" si="2"/>
        <v>0</v>
      </c>
      <c r="W42" s="15">
        <f t="shared" si="3"/>
        <v>6</v>
      </c>
      <c r="X42" s="15">
        <f t="shared" si="4"/>
        <v>2</v>
      </c>
      <c r="Y42" s="16">
        <f t="shared" si="11"/>
        <v>16</v>
      </c>
      <c r="Z42" s="32"/>
      <c r="AB42" s="146">
        <f t="shared" si="12"/>
        <v>0.29411764705882354</v>
      </c>
      <c r="AC42" s="146">
        <f t="shared" si="13"/>
        <v>0.42857142857142855</v>
      </c>
      <c r="AD42" s="146">
        <f t="shared" si="14"/>
        <v>0</v>
      </c>
      <c r="AE42" s="146">
        <f t="shared" si="15"/>
        <v>0.31578947368421051</v>
      </c>
      <c r="AF42" s="146">
        <f t="shared" si="16"/>
        <v>0.2857142857142857</v>
      </c>
      <c r="AG42" s="146">
        <f t="shared" si="17"/>
        <v>0.33333333333333331</v>
      </c>
      <c r="AH42" s="32"/>
      <c r="AI42" s="24" t="str">
        <f t="shared" si="18"/>
        <v>Wildlife Attacks</v>
      </c>
      <c r="AJ42" t="str">
        <f>INDEX(tbl_threat_catg[Category],MATCH(AI42,tbl_threat_catg[Threat],0),1)</f>
        <v xml:space="preserve">Environmental </v>
      </c>
      <c r="AK42" s="151">
        <f t="shared" si="19"/>
        <v>0.29411764705882354</v>
      </c>
      <c r="AL42" s="151">
        <f t="shared" si="19"/>
        <v>0.42857142857142855</v>
      </c>
      <c r="AM42" s="151">
        <f t="shared" si="28"/>
        <v>0</v>
      </c>
      <c r="AN42" s="151">
        <f t="shared" si="29"/>
        <v>0.31578947368421051</v>
      </c>
      <c r="AO42" s="151">
        <f t="shared" si="30"/>
        <v>0.2857142857142857</v>
      </c>
      <c r="AP42" s="151">
        <f t="shared" si="20"/>
        <v>1.3241928350287484</v>
      </c>
      <c r="AQ42" s="150">
        <f t="shared" si="21"/>
        <v>0.34405883704895429</v>
      </c>
      <c r="AS42" s="163" t="str">
        <f t="shared" si="22"/>
        <v/>
      </c>
      <c r="AT42" s="164" t="str">
        <f t="shared" si="23"/>
        <v/>
      </c>
      <c r="AU42" s="164" t="str">
        <f t="shared" si="24"/>
        <v/>
      </c>
      <c r="AV42" s="164" t="str">
        <f t="shared" si="25"/>
        <v/>
      </c>
      <c r="AW42" s="165" t="str">
        <f t="shared" si="26"/>
        <v/>
      </c>
      <c r="AX42" s="168" t="b">
        <f t="shared" si="27"/>
        <v>0</v>
      </c>
    </row>
    <row r="43" spans="1:50" ht="15.75" thickTop="1" x14ac:dyDescent="0.25">
      <c r="A43" s="21" t="s">
        <v>703</v>
      </c>
      <c r="B43" s="40">
        <f>SUM(B5:B42)</f>
        <v>15</v>
      </c>
      <c r="C43" s="21">
        <f t="shared" ref="C43:Y43" si="31">SUM(C5:C42)</f>
        <v>8</v>
      </c>
      <c r="D43" s="21">
        <f t="shared" si="31"/>
        <v>8</v>
      </c>
      <c r="E43" s="21">
        <f t="shared" si="31"/>
        <v>15</v>
      </c>
      <c r="F43" s="21">
        <f t="shared" si="31"/>
        <v>5</v>
      </c>
      <c r="G43" s="21">
        <f>SUM(G5:G42)</f>
        <v>51</v>
      </c>
      <c r="H43" s="40">
        <f>SUM(H5:H42)</f>
        <v>15</v>
      </c>
      <c r="I43" s="21">
        <f t="shared" si="31"/>
        <v>8</v>
      </c>
      <c r="J43" s="21">
        <f t="shared" si="31"/>
        <v>8</v>
      </c>
      <c r="K43" s="21">
        <f t="shared" si="31"/>
        <v>14</v>
      </c>
      <c r="L43" s="21">
        <f t="shared" si="31"/>
        <v>5</v>
      </c>
      <c r="M43" s="21">
        <f t="shared" si="31"/>
        <v>50</v>
      </c>
      <c r="N43" s="40">
        <f t="shared" si="31"/>
        <v>14</v>
      </c>
      <c r="O43" s="21">
        <f t="shared" si="31"/>
        <v>7</v>
      </c>
      <c r="P43" s="21">
        <f t="shared" si="31"/>
        <v>8</v>
      </c>
      <c r="Q43" s="21">
        <f t="shared" si="31"/>
        <v>13</v>
      </c>
      <c r="R43" s="21">
        <f t="shared" si="31"/>
        <v>5</v>
      </c>
      <c r="S43" s="21">
        <f t="shared" si="31"/>
        <v>47</v>
      </c>
      <c r="T43" s="21">
        <f t="shared" si="31"/>
        <v>89</v>
      </c>
      <c r="U43" s="21">
        <f t="shared" si="31"/>
        <v>47</v>
      </c>
      <c r="V43" s="21">
        <f t="shared" si="31"/>
        <v>48</v>
      </c>
      <c r="W43" s="21">
        <f t="shared" si="31"/>
        <v>86</v>
      </c>
      <c r="X43" s="21">
        <f t="shared" si="31"/>
        <v>30</v>
      </c>
      <c r="Y43" s="21">
        <f t="shared" si="31"/>
        <v>300</v>
      </c>
      <c r="Z43" s="21"/>
    </row>
    <row r="44" spans="1:50" x14ac:dyDescent="0.25">
      <c r="B44" s="39" t="s">
        <v>789</v>
      </c>
      <c r="C44" s="39"/>
      <c r="D44" s="39"/>
      <c r="G44" s="23"/>
    </row>
    <row r="45" spans="1:50" x14ac:dyDescent="0.25">
      <c r="B45" s="39"/>
      <c r="C45" s="39"/>
      <c r="D45" s="39"/>
      <c r="S45" t="s">
        <v>790</v>
      </c>
      <c r="T45">
        <f>MAX(T5:T42)</f>
        <v>17</v>
      </c>
      <c r="U45">
        <f t="shared" ref="U45:X45" si="32">MAX(U5:U42)</f>
        <v>7</v>
      </c>
      <c r="V45">
        <f t="shared" si="32"/>
        <v>9</v>
      </c>
      <c r="W45">
        <f t="shared" si="32"/>
        <v>19</v>
      </c>
      <c r="X45">
        <f t="shared" si="32"/>
        <v>7</v>
      </c>
      <c r="Y45">
        <f>MAX(Y5:Y42)</f>
        <v>48</v>
      </c>
    </row>
    <row r="46" spans="1:50" ht="15.75" thickBot="1" x14ac:dyDescent="0.3">
      <c r="B46" s="260" t="s">
        <v>791</v>
      </c>
      <c r="C46" s="260"/>
      <c r="D46" s="260"/>
      <c r="E46" s="260"/>
      <c r="F46" s="260"/>
      <c r="G46" s="260"/>
      <c r="H46" s="260"/>
      <c r="I46" s="260"/>
      <c r="J46" s="260"/>
      <c r="K46" s="260"/>
      <c r="L46" s="260"/>
      <c r="M46" s="260"/>
      <c r="N46" s="260"/>
      <c r="O46" s="260"/>
      <c r="P46" s="260"/>
      <c r="Q46" s="260"/>
      <c r="R46" s="260"/>
      <c r="S46" s="260"/>
      <c r="T46" s="260"/>
      <c r="U46" s="260"/>
      <c r="V46" s="260"/>
      <c r="W46" s="260"/>
      <c r="X46" s="260"/>
      <c r="Y46" s="260"/>
    </row>
    <row r="47" spans="1:50" ht="15.75" thickTop="1" x14ac:dyDescent="0.25">
      <c r="B47" s="248" t="s">
        <v>782</v>
      </c>
      <c r="C47" s="249"/>
      <c r="D47" s="249"/>
      <c r="E47" s="249"/>
      <c r="F47" s="249"/>
      <c r="G47" s="250"/>
      <c r="H47" s="248" t="s">
        <v>783</v>
      </c>
      <c r="I47" s="249"/>
      <c r="J47" s="249"/>
      <c r="K47" s="249"/>
      <c r="L47" s="249"/>
      <c r="M47" s="250"/>
      <c r="N47" s="257" t="s">
        <v>784</v>
      </c>
      <c r="O47" s="258"/>
      <c r="P47" s="258"/>
      <c r="Q47" s="258"/>
      <c r="R47" s="258"/>
      <c r="S47" s="259"/>
      <c r="T47" s="257" t="s">
        <v>785</v>
      </c>
      <c r="U47" s="258"/>
      <c r="V47" s="258"/>
      <c r="W47" s="258"/>
      <c r="X47" s="258"/>
      <c r="Y47" s="131"/>
    </row>
    <row r="48" spans="1:50" ht="30" x14ac:dyDescent="0.25">
      <c r="B48" s="6" t="s">
        <v>154</v>
      </c>
      <c r="C48" s="5" t="s">
        <v>193</v>
      </c>
      <c r="D48" s="5" t="s">
        <v>251</v>
      </c>
      <c r="E48" s="5" t="s">
        <v>273</v>
      </c>
      <c r="F48" s="5" t="s">
        <v>330</v>
      </c>
      <c r="G48" s="7" t="s">
        <v>700</v>
      </c>
      <c r="H48" s="6" t="s">
        <v>154</v>
      </c>
      <c r="I48" s="5" t="s">
        <v>193</v>
      </c>
      <c r="J48" s="5" t="s">
        <v>251</v>
      </c>
      <c r="K48" s="5" t="s">
        <v>273</v>
      </c>
      <c r="L48" s="5" t="s">
        <v>330</v>
      </c>
      <c r="M48" s="7" t="s">
        <v>700</v>
      </c>
      <c r="N48" s="6" t="s">
        <v>154</v>
      </c>
      <c r="O48" s="5" t="s">
        <v>193</v>
      </c>
      <c r="P48" s="5" t="s">
        <v>251</v>
      </c>
      <c r="Q48" s="5" t="s">
        <v>273</v>
      </c>
      <c r="R48" s="5" t="s">
        <v>330</v>
      </c>
      <c r="S48" s="7" t="s">
        <v>700</v>
      </c>
      <c r="T48" s="6" t="s">
        <v>154</v>
      </c>
      <c r="U48" s="5" t="s">
        <v>193</v>
      </c>
      <c r="V48" s="5" t="s">
        <v>251</v>
      </c>
      <c r="W48" s="5" t="s">
        <v>273</v>
      </c>
      <c r="X48" s="5" t="s">
        <v>330</v>
      </c>
      <c r="Y48" s="7" t="s">
        <v>700</v>
      </c>
    </row>
    <row r="49" spans="1:19" x14ac:dyDescent="0.25">
      <c r="A49" t="s">
        <v>704</v>
      </c>
      <c r="B49">
        <f>COUNTIFS(tbl_data[T1],"",tbl_data[12. Consultation Group of],$B$3)</f>
        <v>0</v>
      </c>
      <c r="C49">
        <f>COUNTIFS(tbl_data[T1],"",tbl_data[12. Consultation Group of],$C$3)</f>
        <v>0</v>
      </c>
      <c r="D49">
        <f>COUNTIFS(tbl_data[T1],"",tbl_data[12. Consultation Group of],$D$3)</f>
        <v>0</v>
      </c>
      <c r="E49">
        <f>COUNTIFS(tbl_data[T1],"",tbl_data[12. Consultation Group of],$E$3)</f>
        <v>0</v>
      </c>
      <c r="F49">
        <f>COUNTIFS(tbl_data[T1],"",tbl_data[12. Consultation Group of],$F$3)</f>
        <v>0</v>
      </c>
      <c r="G49">
        <f>SUM(B49:F49)</f>
        <v>0</v>
      </c>
      <c r="H49">
        <f>COUNTIFS(tbl_data[T2],"",tbl_data[12. Consultation Group of],$H$3)</f>
        <v>0</v>
      </c>
      <c r="I49">
        <f>COUNTIFS(tbl_data[T2],"",tbl_data[12. Consultation Group of],$I$3)</f>
        <v>0</v>
      </c>
      <c r="J49">
        <f>COUNTIFS(tbl_data[T2],"",tbl_data[12. Consultation Group of],$J$3)</f>
        <v>0</v>
      </c>
      <c r="K49">
        <f>COUNTIFS(tbl_data[T2],"",tbl_data[12. Consultation Group of],$K$3)</f>
        <v>1</v>
      </c>
      <c r="L49">
        <f>COUNTIFS(tbl_data[T2],"",tbl_data[12. Consultation Group of],$L$3)</f>
        <v>0</v>
      </c>
      <c r="M49">
        <f>SUM(H49:L49)</f>
        <v>1</v>
      </c>
      <c r="N49">
        <f>COUNTIFS(tbl_data[T3],"",tbl_data[12. Consultation Group of],$N$3)</f>
        <v>1</v>
      </c>
      <c r="O49">
        <f>COUNTIFS(tbl_data[T3],"",tbl_data[12. Consultation Group of],$O$3)</f>
        <v>1</v>
      </c>
      <c r="P49">
        <f>COUNTIFS(tbl_data[T3],"",tbl_data[12. Consultation Group of],$P$3)</f>
        <v>0</v>
      </c>
      <c r="Q49">
        <f>COUNTIFS(tbl_data[T3],"",tbl_data[12. Consultation Group of],$Q$3)</f>
        <v>2</v>
      </c>
      <c r="R49">
        <f>COUNTIFS(tbl_data[T3],"",tbl_data[12. Consultation Group of],$R$3)</f>
        <v>0</v>
      </c>
      <c r="S49">
        <f>SUM(N49:R49)</f>
        <v>4</v>
      </c>
    </row>
    <row r="50" spans="1:19" x14ac:dyDescent="0.25">
      <c r="A50" t="e">
        <v>#NAME?</v>
      </c>
      <c r="B50">
        <f>COUNTIFS(tbl_data[T1],$A50,tbl_data[12. Consultation Group of],$B$3)</f>
        <v>0</v>
      </c>
      <c r="C50">
        <f>COUNTIFS(tbl_data[T1],$A50,tbl_data[12. Consultation Group of],$C$3)</f>
        <v>0</v>
      </c>
      <c r="D50">
        <f>COUNTIFS(tbl_data[T1],$A50,tbl_data[12. Consultation Group of],$D$3)</f>
        <v>0</v>
      </c>
      <c r="E50">
        <f>COUNTIFS(tbl_data[T1],$A50,tbl_data[12. Consultation Group of],$E$3)</f>
        <v>0</v>
      </c>
      <c r="F50">
        <f>COUNTIFS(tbl_data[T1],$A50,tbl_data[12. Consultation Group of],$F$3)</f>
        <v>0</v>
      </c>
      <c r="G50">
        <f>SUM(B50:F50)</f>
        <v>0</v>
      </c>
      <c r="H50">
        <f>COUNTIFS(tbl_data[T2],A50,tbl_data[12. Consultation Group of],$H$3)</f>
        <v>0</v>
      </c>
      <c r="I50">
        <f>COUNTIFS(tbl_data[T2],A50,tbl_data[12. Consultation Group of],$I$3)</f>
        <v>0</v>
      </c>
      <c r="J50">
        <f>COUNTIFS(tbl_data[T2],A50,tbl_data[12. Consultation Group of],$J$3)</f>
        <v>0</v>
      </c>
      <c r="K50">
        <f>COUNTIFS(tbl_data[T2],$A50,tbl_data[12. Consultation Group of],$K$3)</f>
        <v>0</v>
      </c>
      <c r="L50">
        <f>COUNTIFS(tbl_data[T2],$A50,tbl_data[12. Consultation Group of],$L$3)</f>
        <v>0</v>
      </c>
      <c r="M50">
        <f>SUM(H50:L50)</f>
        <v>0</v>
      </c>
      <c r="N50">
        <f>COUNTIFS(tbl_data[T3],$A50,tbl_data[12. Consultation Group of],$N$3)</f>
        <v>0</v>
      </c>
      <c r="O50">
        <f>COUNTIFS(tbl_data[T3],$A50,tbl_data[12. Consultation Group of],$O$3)</f>
        <v>0</v>
      </c>
      <c r="P50">
        <f>COUNTIFS(tbl_data[T3],$A50,tbl_data[12. Consultation Group of],$P$3)</f>
        <v>0</v>
      </c>
      <c r="Q50">
        <f>COUNTIFS(tbl_data[T3],$A50,tbl_data[12. Consultation Group of],$Q$3)</f>
        <v>0</v>
      </c>
      <c r="R50">
        <f>COUNTIFS(tbl_data[T3],$A50,tbl_data[12. Consultation Group of],$R$3)</f>
        <v>0</v>
      </c>
      <c r="S50">
        <f>SUM(N50:R50)</f>
        <v>0</v>
      </c>
    </row>
    <row r="51" spans="1:19" x14ac:dyDescent="0.25">
      <c r="A51" t="s">
        <v>705</v>
      </c>
      <c r="G51">
        <f>SUM(G49:G50)</f>
        <v>0</v>
      </c>
      <c r="M51">
        <f>SUM(M49:M50)</f>
        <v>1</v>
      </c>
      <c r="S51">
        <f>SUM(S49:S50)</f>
        <v>4</v>
      </c>
    </row>
    <row r="53" spans="1:19" x14ac:dyDescent="0.25">
      <c r="A53" t="s">
        <v>706</v>
      </c>
      <c r="G53">
        <f>G51+G43</f>
        <v>51</v>
      </c>
      <c r="M53">
        <f>M51+M43</f>
        <v>51</v>
      </c>
      <c r="S53">
        <f>S51+S43</f>
        <v>51</v>
      </c>
    </row>
    <row r="55" spans="1:19" ht="15.75" thickBot="1" x14ac:dyDescent="0.3">
      <c r="A55" s="224" t="s">
        <v>792</v>
      </c>
      <c r="B55" s="224"/>
      <c r="C55" s="224"/>
      <c r="D55" s="224"/>
      <c r="E55" s="224"/>
      <c r="F55" s="224"/>
      <c r="G55" s="224"/>
      <c r="J55" t="s">
        <v>792</v>
      </c>
    </row>
    <row r="56" spans="1:19" ht="30.75" thickBot="1" x14ac:dyDescent="0.3">
      <c r="A56" s="25"/>
      <c r="B56" s="26" t="s">
        <v>154</v>
      </c>
      <c r="C56" s="27" t="s">
        <v>193</v>
      </c>
      <c r="D56" s="27" t="s">
        <v>251</v>
      </c>
      <c r="E56" s="27" t="s">
        <v>273</v>
      </c>
      <c r="F56" s="27" t="s">
        <v>330</v>
      </c>
      <c r="G56" s="28" t="s">
        <v>700</v>
      </c>
      <c r="H56" s="41" t="s">
        <v>787</v>
      </c>
      <c r="J56" s="177"/>
      <c r="K56" s="178" t="s">
        <v>154</v>
      </c>
      <c r="L56" s="178" t="s">
        <v>193</v>
      </c>
      <c r="M56" s="178" t="s">
        <v>251</v>
      </c>
      <c r="N56" s="178" t="s">
        <v>273</v>
      </c>
      <c r="O56" s="178" t="s">
        <v>330</v>
      </c>
      <c r="P56" s="179" t="s">
        <v>700</v>
      </c>
    </row>
    <row r="57" spans="1:19" x14ac:dyDescent="0.25">
      <c r="A57" s="25" t="s">
        <v>793</v>
      </c>
      <c r="B57" s="44">
        <f t="shared" ref="B57:G57" si="33">LARGE(AB5:AB42,1)</f>
        <v>1</v>
      </c>
      <c r="C57" s="44">
        <f t="shared" si="33"/>
        <v>1</v>
      </c>
      <c r="D57" s="44">
        <f t="shared" si="33"/>
        <v>1</v>
      </c>
      <c r="E57" s="44">
        <f t="shared" si="33"/>
        <v>1</v>
      </c>
      <c r="F57" s="44">
        <f t="shared" si="33"/>
        <v>1</v>
      </c>
      <c r="G57" s="44">
        <f t="shared" si="33"/>
        <v>1</v>
      </c>
      <c r="H57" s="42"/>
      <c r="J57" s="183" t="s">
        <v>793</v>
      </c>
      <c r="K57" s="180">
        <v>1</v>
      </c>
      <c r="L57" s="169">
        <v>1</v>
      </c>
      <c r="M57" s="169">
        <v>1</v>
      </c>
      <c r="N57" s="169">
        <v>1</v>
      </c>
      <c r="O57" s="169">
        <v>1</v>
      </c>
      <c r="P57" s="170">
        <v>1</v>
      </c>
    </row>
    <row r="58" spans="1:19" x14ac:dyDescent="0.25">
      <c r="A58" s="25" t="s">
        <v>794</v>
      </c>
      <c r="B58" s="44">
        <f t="shared" ref="B58:G58" si="34">LARGE(AB5:AB42,2)</f>
        <v>0.70588235294117652</v>
      </c>
      <c r="C58" s="44">
        <f t="shared" si="34"/>
        <v>0.8571428571428571</v>
      </c>
      <c r="D58" s="44">
        <f t="shared" si="34"/>
        <v>0.77777777777777779</v>
      </c>
      <c r="E58" s="44">
        <f t="shared" si="34"/>
        <v>0.52631578947368418</v>
      </c>
      <c r="F58" s="44">
        <f t="shared" si="34"/>
        <v>0.5714285714285714</v>
      </c>
      <c r="G58" s="44">
        <f t="shared" si="34"/>
        <v>0.72916666666666663</v>
      </c>
      <c r="H58" s="42"/>
      <c r="J58" s="184" t="s">
        <v>794</v>
      </c>
      <c r="K58" s="181">
        <v>0.70588235294117652</v>
      </c>
      <c r="L58" s="171">
        <v>0.8571428571428571</v>
      </c>
      <c r="M58" s="171">
        <v>0.77777777777777779</v>
      </c>
      <c r="N58" s="171">
        <v>0.52631578947368418</v>
      </c>
      <c r="O58" s="171">
        <v>0.5714285714285714</v>
      </c>
      <c r="P58" s="172">
        <v>0.72916666666666663</v>
      </c>
    </row>
    <row r="59" spans="1:19" x14ac:dyDescent="0.25">
      <c r="A59" s="25" t="s">
        <v>795</v>
      </c>
      <c r="B59" s="44">
        <f t="shared" ref="B59:G59" si="35">LARGE(AB5:AB42,3)</f>
        <v>0.41176470588235292</v>
      </c>
      <c r="C59" s="44">
        <f t="shared" si="35"/>
        <v>0.7142857142857143</v>
      </c>
      <c r="D59" s="44">
        <f t="shared" si="35"/>
        <v>0.55555555555555558</v>
      </c>
      <c r="E59" s="44">
        <f t="shared" si="35"/>
        <v>0.52631578947368418</v>
      </c>
      <c r="F59" s="44">
        <f t="shared" si="35"/>
        <v>0.42857142857142855</v>
      </c>
      <c r="G59" s="44">
        <f t="shared" si="35"/>
        <v>0.58333333333333337</v>
      </c>
      <c r="H59" s="42"/>
      <c r="J59" s="184" t="s">
        <v>795</v>
      </c>
      <c r="K59" s="181">
        <v>0.41176470588235292</v>
      </c>
      <c r="L59" s="171">
        <v>0.7142857142857143</v>
      </c>
      <c r="M59" s="171">
        <v>0.55555555555555558</v>
      </c>
      <c r="N59" s="173">
        <f xml:space="preserve"> AE34</f>
        <v>0.31578947368421051</v>
      </c>
      <c r="O59" s="171">
        <v>0.42857142857142855</v>
      </c>
      <c r="P59" s="172">
        <v>0.58333333333333337</v>
      </c>
    </row>
    <row r="60" spans="1:19" ht="15.75" thickBot="1" x14ac:dyDescent="0.3">
      <c r="A60" s="25" t="s">
        <v>796</v>
      </c>
      <c r="B60" s="44">
        <f t="shared" ref="B60:G60" si="36">LARGE(AB5:AB53,4)</f>
        <v>0.35294117647058826</v>
      </c>
      <c r="C60" s="44">
        <f t="shared" si="36"/>
        <v>0.7142857142857143</v>
      </c>
      <c r="D60" s="44">
        <f t="shared" si="36"/>
        <v>0.44444444444444442</v>
      </c>
      <c r="E60" s="44">
        <f t="shared" si="36"/>
        <v>0.31578947368421051</v>
      </c>
      <c r="F60" s="44">
        <f t="shared" si="36"/>
        <v>0.42857142857142855</v>
      </c>
      <c r="G60" s="44">
        <f t="shared" si="36"/>
        <v>0.5</v>
      </c>
      <c r="H60" s="42"/>
      <c r="J60" s="185" t="s">
        <v>796</v>
      </c>
      <c r="K60" s="182">
        <v>0.35294117647058826</v>
      </c>
      <c r="L60" s="175">
        <f>AC5</f>
        <v>0.5714285714285714</v>
      </c>
      <c r="M60" s="174">
        <v>0.44444444444444442</v>
      </c>
      <c r="N60" s="175">
        <f xml:space="preserve">              AE5</f>
        <v>0.26315789473684209</v>
      </c>
      <c r="O60" s="175">
        <f>AF32</f>
        <v>0.2857142857142857</v>
      </c>
      <c r="P60" s="176">
        <v>0.5</v>
      </c>
    </row>
    <row r="62" spans="1:19" ht="15.75" thickBot="1" x14ac:dyDescent="0.3">
      <c r="A62" s="224" t="s">
        <v>792</v>
      </c>
      <c r="B62" s="224"/>
      <c r="C62" s="224"/>
      <c r="D62" s="224"/>
      <c r="E62" s="224"/>
      <c r="F62" s="224"/>
      <c r="G62" s="224"/>
      <c r="H62" s="224"/>
      <c r="J62" t="s">
        <v>792</v>
      </c>
    </row>
    <row r="63" spans="1:19" ht="30.75" thickBot="1" x14ac:dyDescent="0.3">
      <c r="A63" s="25"/>
      <c r="B63" s="26" t="s">
        <v>154</v>
      </c>
      <c r="C63" s="27" t="s">
        <v>193</v>
      </c>
      <c r="D63" s="27" t="s">
        <v>251</v>
      </c>
      <c r="E63" s="27" t="s">
        <v>273</v>
      </c>
      <c r="F63" s="27" t="s">
        <v>330</v>
      </c>
      <c r="G63" s="27" t="s">
        <v>700</v>
      </c>
      <c r="H63" s="41" t="s">
        <v>787</v>
      </c>
      <c r="J63" s="177"/>
      <c r="K63" s="178" t="s">
        <v>154</v>
      </c>
      <c r="L63" s="178" t="s">
        <v>193</v>
      </c>
      <c r="M63" s="178" t="s">
        <v>251</v>
      </c>
      <c r="N63" s="178" t="s">
        <v>273</v>
      </c>
      <c r="O63" s="178" t="s">
        <v>330</v>
      </c>
      <c r="P63" s="179" t="s">
        <v>700</v>
      </c>
    </row>
    <row r="64" spans="1:19" ht="45" x14ac:dyDescent="0.25">
      <c r="A64" s="25" t="s">
        <v>793</v>
      </c>
      <c r="B64" s="4" t="str">
        <f t="shared" ref="B64:G64" si="37">INDEX($AI$5:$AI$42,MATCH(B57,AB$5:AB$42,0))</f>
        <v>Lack of Access to Water</v>
      </c>
      <c r="C64" s="4" t="str">
        <f t="shared" si="37"/>
        <v>Earthquakes</v>
      </c>
      <c r="D64" s="132" t="str">
        <f t="shared" si="37"/>
        <v>Floods</v>
      </c>
      <c r="E64" s="4" t="str">
        <f t="shared" si="37"/>
        <v>Floods</v>
      </c>
      <c r="F64" s="4" t="str">
        <f t="shared" si="37"/>
        <v>Lack of Access to Basic Services</v>
      </c>
      <c r="G64" s="4" t="str">
        <f t="shared" si="37"/>
        <v>Floods</v>
      </c>
      <c r="H64" s="42"/>
      <c r="J64" s="183" t="s">
        <v>793</v>
      </c>
      <c r="K64" s="186" t="str">
        <f>CONCATENATE("(",ROUND(K57*100,0),"%) ",ConcatenateIfs($AI$5:$AI$42,AB$5:AB$42,"=",K57,", "))</f>
        <v>(100%) Lack of Access to Water</v>
      </c>
      <c r="L64" s="187" t="str">
        <f t="shared" ref="L64:P64" si="38">CONCATENATE("(",ROUND(L57*100,0),"%) ",ConcatenateIfs($AI$5:$AI$42,AC$5:AC$42,"=",L57,", "))</f>
        <v>(100%) Earthquakes</v>
      </c>
      <c r="M64" s="187" t="str">
        <f t="shared" si="38"/>
        <v>(100%) Floods</v>
      </c>
      <c r="N64" s="187" t="str">
        <f t="shared" si="38"/>
        <v>(100%) Floods</v>
      </c>
      <c r="O64" s="187" t="str">
        <f t="shared" si="38"/>
        <v>(100%) Lack of Access to Basic Services</v>
      </c>
      <c r="P64" s="188" t="str">
        <f t="shared" si="38"/>
        <v>(100%) Floods</v>
      </c>
      <c r="Q64" s="4"/>
    </row>
    <row r="65" spans="1:35" ht="60" x14ac:dyDescent="0.25">
      <c r="A65" s="25" t="s">
        <v>794</v>
      </c>
      <c r="B65" s="4" t="str">
        <f t="shared" ref="B65:G65" si="39">INDEX($AI$5:$AI$42,MATCH(LARGE(AB$5:AB$42,2),AB$5:AB$42,0))</f>
        <v>Floods</v>
      </c>
      <c r="C65" s="4" t="str">
        <f t="shared" si="39"/>
        <v>Floods</v>
      </c>
      <c r="D65" s="132" t="str">
        <f t="shared" si="39"/>
        <v>Earthquakes</v>
      </c>
      <c r="E65" s="4" t="str">
        <f t="shared" si="39"/>
        <v>Earthquakes</v>
      </c>
      <c r="F65" s="4" t="str">
        <f t="shared" si="39"/>
        <v>Lack of Access to Water</v>
      </c>
      <c r="G65" s="4" t="str">
        <f t="shared" si="39"/>
        <v>Lack of Access to Water</v>
      </c>
      <c r="H65" s="42"/>
      <c r="J65" s="184" t="s">
        <v>794</v>
      </c>
      <c r="K65" s="189" t="str">
        <f t="shared" ref="K65:K67" si="40">CONCATENATE("(",ROUND(K58*100,0),"%) ",ConcatenateIfs($AI$5:$AI$42,AB$5:AB$42,"=",K58,", "))</f>
        <v>(71%) Floods</v>
      </c>
      <c r="L65" s="190" t="str">
        <f t="shared" ref="L65:L67" si="41">CONCATENATE("(",ROUND(L58*100,0),"%) ",ConcatenateIfs($AI$5:$AI$42,AC$5:AC$42,"=",L58,", "))</f>
        <v>(86%) Floods</v>
      </c>
      <c r="M65" s="190" t="str">
        <f t="shared" ref="M65:M67" si="42">CONCATENATE("(",ROUND(M58*100,0),"%) ",ConcatenateIfs($AI$5:$AI$42,AD$5:AD$42,"=",M58,", "))</f>
        <v>(78%) Earthquakes</v>
      </c>
      <c r="N65" s="190" t="str">
        <f t="shared" ref="N65:N67" si="43">CONCATENATE("(",ROUND(N58*100,0),"%) ",ConcatenateIfs($AI$5:$AI$42,AE$5:AE$42,"=",N58,", "))</f>
        <v>(53%) Earthquakes, Fire</v>
      </c>
      <c r="O65" s="190" t="str">
        <f t="shared" ref="O65:O67" si="44">CONCATENATE("(",ROUND(O58*100,0),"%) ",ConcatenateIfs($AI$5:$AI$42,AF$5:AF$42,"=",O58,", "))</f>
        <v>(57%) Lack of Access to Water</v>
      </c>
      <c r="P65" s="191" t="str">
        <f t="shared" ref="P65:P67" si="45">CONCATENATE("(",ROUND(P58*100,0),"%) ",ConcatenateIfs($AI$5:$AI$42,AG$5:AG$42,"=",P58,", "))</f>
        <v>(73%) Lack of Access to Water</v>
      </c>
      <c r="Q65" s="4"/>
      <c r="T65" t="s">
        <v>864</v>
      </c>
    </row>
    <row r="66" spans="1:35" ht="105" x14ac:dyDescent="0.25">
      <c r="A66" s="25" t="s">
        <v>795</v>
      </c>
      <c r="B66" s="4" t="str">
        <f>INDEX($AI$5:$AI$42,MATCH(LARGE(AB$5:AB$42,3),AB$5:AB$42,0))</f>
        <v>Disease/Epidemics</v>
      </c>
      <c r="C66" s="4" t="str">
        <f>INDEX($AI$5:$AI$42,MATCH(LARGE(AC$5:AC$42,3),AC$5:AC$42,0))</f>
        <v>Fire</v>
      </c>
      <c r="D66" s="4" t="str">
        <f>INDEX($AI$5:$AI$42,MATCH(LARGE(AD$5:AD$42,3),AD$5:AD$42,0))</f>
        <v>Fire</v>
      </c>
      <c r="E66" s="133" t="s">
        <v>196</v>
      </c>
      <c r="F66" s="4" t="str">
        <f>INDEX($AI$5:$AI$42,MATCH(LARGE(AF$5:AF$42,3),AF$5:AF$42,0))</f>
        <v>Disease/Epidemics</v>
      </c>
      <c r="G66" s="4" t="str">
        <f>INDEX($AI$5:$AI$42,MATCH(LARGE(AG$5:AG$42,3),AG$5:AG$42,0))</f>
        <v>Earthquakes</v>
      </c>
      <c r="H66" s="42"/>
      <c r="J66" s="184" t="s">
        <v>795</v>
      </c>
      <c r="K66" s="189" t="str">
        <f t="shared" si="40"/>
        <v>(41%) Disease/Epidemics</v>
      </c>
      <c r="L66" s="190" t="str">
        <f t="shared" si="41"/>
        <v>(71%) Fire, Lack of Access to Water</v>
      </c>
      <c r="M66" s="190" t="str">
        <f t="shared" si="42"/>
        <v>(56%) Fire</v>
      </c>
      <c r="N66" s="190" t="str">
        <f t="shared" si="43"/>
        <v>(32%) Road Accidents, Storms, Wildlife Attacks</v>
      </c>
      <c r="O66" s="190" t="str">
        <f>CONCATENATE("(",ROUND(O59*100,0),"%) ",ConcatenateIfs($AI$5:$AI$42,AF$5:AF$42,"=",O59,", "))</f>
        <v>(43%) Disease/Epidemics, Unemployment, Violence</v>
      </c>
      <c r="P66" s="191" t="str">
        <f t="shared" si="45"/>
        <v>(58%) Earthquakes</v>
      </c>
      <c r="Q66" s="4"/>
      <c r="U66" t="e">
        <f>Con</f>
        <v>#NAME?</v>
      </c>
    </row>
    <row r="67" spans="1:35" ht="105.75" thickBot="1" x14ac:dyDescent="0.3">
      <c r="A67" s="25" t="s">
        <v>796</v>
      </c>
      <c r="B67" s="4" t="str">
        <f>INDEX($AI$5:$AI$42,MATCH(LARGE(AB$5:AB$42,4),AB$5:AB$42,0))</f>
        <v>Landslides</v>
      </c>
      <c r="C67" s="133" t="s">
        <v>156</v>
      </c>
      <c r="D67" s="4" t="str">
        <f>INDEX($AI$5:$AI$42,MATCH(LARGE(AD$5:AD$42,4),AD$5:AD$42,0))</f>
        <v>Lack of Access to Water</v>
      </c>
      <c r="E67" s="4" t="str">
        <f>INDEX($AI$5:$AI$42,MATCH(LARGE(AE$5:AE$42,4),AE$5:AE$42,0))</f>
        <v>Road Accidents</v>
      </c>
      <c r="F67" s="4" t="str">
        <f>INDEX($AI$5:$AI$42,MATCH(LARGE(AF$5:AF$42,4),AF$5:AF$42,0))</f>
        <v>Disease/Epidemics</v>
      </c>
      <c r="G67" s="4" t="str">
        <f>INDEX($AI$5:$AI$42,MATCH(LARGE(AG$5:AG$42,4),AG$5:AG$42,0))</f>
        <v>Fire</v>
      </c>
      <c r="H67" s="42"/>
      <c r="J67" s="185" t="s">
        <v>796</v>
      </c>
      <c r="K67" s="192" t="str">
        <f t="shared" si="40"/>
        <v>(35%) Landslides, Storms</v>
      </c>
      <c r="L67" s="193" t="str">
        <f t="shared" si="41"/>
        <v>(57%) Alcoholism, Drought</v>
      </c>
      <c r="M67" s="193" t="str">
        <f t="shared" si="42"/>
        <v>(44%) Lack of Access to Water</v>
      </c>
      <c r="N67" s="193" t="str">
        <f t="shared" si="43"/>
        <v>(26%) Alcoholism, Lack of Access to Water</v>
      </c>
      <c r="O67" s="193" t="str">
        <f t="shared" si="44"/>
        <v>(29%) Earthquakes, Floods, Reduction In Irrigation, Wildlife Attacks</v>
      </c>
      <c r="P67" s="194" t="str">
        <f t="shared" si="45"/>
        <v>(50%) Fire</v>
      </c>
      <c r="Q67" s="4"/>
    </row>
    <row r="69" spans="1:35" ht="15.75" thickBot="1" x14ac:dyDescent="0.3"/>
    <row r="70" spans="1:35" ht="32.25" customHeight="1" thickTop="1" x14ac:dyDescent="0.25">
      <c r="B70" s="248" t="s">
        <v>782</v>
      </c>
      <c r="C70" s="249"/>
      <c r="D70" s="249"/>
      <c r="E70" s="249"/>
      <c r="F70" s="249"/>
      <c r="G70" s="250"/>
      <c r="H70" s="248" t="s">
        <v>783</v>
      </c>
      <c r="I70" s="249"/>
      <c r="J70" s="249"/>
      <c r="K70" s="249"/>
      <c r="L70" s="249"/>
      <c r="M70" s="250"/>
      <c r="N70" s="248" t="s">
        <v>784</v>
      </c>
      <c r="O70" s="249"/>
      <c r="P70" s="249"/>
      <c r="Q70" s="249"/>
      <c r="R70" s="249"/>
      <c r="S70" s="250"/>
      <c r="T70" s="248" t="s">
        <v>797</v>
      </c>
      <c r="U70" s="249"/>
      <c r="V70" s="249"/>
      <c r="W70" s="249"/>
      <c r="X70" s="249"/>
      <c r="Y70" s="250"/>
      <c r="AB70" s="257" t="s">
        <v>797</v>
      </c>
      <c r="AC70" s="258"/>
      <c r="AD70" s="258"/>
      <c r="AE70" s="258"/>
      <c r="AF70" s="258"/>
      <c r="AG70" s="259"/>
    </row>
    <row r="71" spans="1:35" ht="35.25" customHeight="1" x14ac:dyDescent="0.25">
      <c r="A71" s="4"/>
      <c r="B71" s="6" t="s">
        <v>154</v>
      </c>
      <c r="C71" s="5" t="s">
        <v>193</v>
      </c>
      <c r="D71" s="5" t="s">
        <v>251</v>
      </c>
      <c r="E71" s="5" t="s">
        <v>273</v>
      </c>
      <c r="F71" s="5" t="s">
        <v>330</v>
      </c>
      <c r="G71" s="7" t="s">
        <v>700</v>
      </c>
      <c r="H71" s="6" t="s">
        <v>154</v>
      </c>
      <c r="I71" s="5" t="s">
        <v>193</v>
      </c>
      <c r="J71" s="5" t="s">
        <v>251</v>
      </c>
      <c r="K71" s="5" t="s">
        <v>273</v>
      </c>
      <c r="L71" s="5" t="s">
        <v>330</v>
      </c>
      <c r="M71" s="7" t="s">
        <v>700</v>
      </c>
      <c r="N71" s="6" t="s">
        <v>154</v>
      </c>
      <c r="O71" s="5" t="s">
        <v>193</v>
      </c>
      <c r="P71" s="5" t="s">
        <v>251</v>
      </c>
      <c r="Q71" s="5" t="s">
        <v>273</v>
      </c>
      <c r="R71" s="5" t="s">
        <v>330</v>
      </c>
      <c r="S71" s="7" t="s">
        <v>700</v>
      </c>
      <c r="T71" s="6" t="s">
        <v>154</v>
      </c>
      <c r="U71" s="5" t="s">
        <v>193</v>
      </c>
      <c r="V71" s="5" t="s">
        <v>251</v>
      </c>
      <c r="W71" s="5" t="s">
        <v>273</v>
      </c>
      <c r="X71" s="5" t="s">
        <v>330</v>
      </c>
      <c r="Y71" s="7" t="s">
        <v>700</v>
      </c>
      <c r="AB71" s="6" t="s">
        <v>154</v>
      </c>
      <c r="AC71" s="5" t="s">
        <v>193</v>
      </c>
      <c r="AD71" s="5" t="s">
        <v>251</v>
      </c>
      <c r="AE71" s="5" t="s">
        <v>273</v>
      </c>
      <c r="AF71" s="5" t="s">
        <v>330</v>
      </c>
      <c r="AG71" s="7" t="s">
        <v>700</v>
      </c>
    </row>
    <row r="72" spans="1:35" ht="33.75" customHeight="1" x14ac:dyDescent="0.25">
      <c r="A72" s="4"/>
      <c r="B72" s="33"/>
      <c r="C72" s="34"/>
      <c r="D72" s="34"/>
      <c r="E72" s="34"/>
      <c r="F72" s="34"/>
      <c r="G72" s="35"/>
      <c r="H72" s="33"/>
      <c r="I72" s="34"/>
      <c r="J72" s="34"/>
      <c r="K72" s="34"/>
      <c r="L72" s="34"/>
      <c r="M72" s="35"/>
      <c r="N72" s="33"/>
      <c r="O72" s="34"/>
      <c r="P72" s="34"/>
      <c r="Q72" s="34"/>
      <c r="R72" s="34"/>
      <c r="S72" s="35"/>
      <c r="T72" s="33"/>
      <c r="U72" s="34"/>
      <c r="V72" s="34"/>
      <c r="W72" s="34"/>
      <c r="X72" s="34"/>
      <c r="Y72" s="35"/>
      <c r="AB72" s="75"/>
      <c r="AC72" s="36"/>
      <c r="AD72" s="36"/>
      <c r="AE72" s="36"/>
      <c r="AF72" s="36"/>
      <c r="AG72" s="76"/>
    </row>
    <row r="73" spans="1:35" x14ac:dyDescent="0.25">
      <c r="A73" t="s">
        <v>798</v>
      </c>
      <c r="B73" s="70">
        <f>SUMIFS(B$5:B$42,$AJ$5:$AJ$42,$A73)</f>
        <v>2</v>
      </c>
      <c r="C73" s="3">
        <f>SUMIFS(C$5:C$42,$AJ$5:$AJ$42,$A73)</f>
        <v>2</v>
      </c>
      <c r="D73" s="3">
        <f>SUMIFS(D$5:D$42,$AJ$5:$AJ$42,$A73)</f>
        <v>0</v>
      </c>
      <c r="E73" s="3">
        <f>SUMIFS(E$5:E$42,$AJ$5:$AJ$42,$A73)</f>
        <v>4</v>
      </c>
      <c r="F73" s="3">
        <f>SUMIFS(F$5:F$42,$AJ$5:$AJ$42,$A73)</f>
        <v>1</v>
      </c>
      <c r="G73" s="71">
        <f>SUM(B73:F73)</f>
        <v>9</v>
      </c>
      <c r="H73" s="70">
        <f t="shared" ref="H73:L78" si="46">SUMIFS(H$5:H$42,$AJ$5:$AJ$42,$A73)</f>
        <v>5</v>
      </c>
      <c r="I73" s="3">
        <f t="shared" si="46"/>
        <v>2</v>
      </c>
      <c r="J73" s="3">
        <f t="shared" si="46"/>
        <v>1</v>
      </c>
      <c r="K73" s="3">
        <f t="shared" si="46"/>
        <v>0</v>
      </c>
      <c r="L73" s="3">
        <f t="shared" si="46"/>
        <v>1</v>
      </c>
      <c r="M73" s="71">
        <f>SUM(H73:L73)</f>
        <v>9</v>
      </c>
      <c r="N73" s="70">
        <f t="shared" ref="N73:R78" si="47">SUMIFS(N$5:N$42,$AJ$5:$AJ$42,$A73)</f>
        <v>2</v>
      </c>
      <c r="O73" s="3">
        <f t="shared" si="47"/>
        <v>0</v>
      </c>
      <c r="P73" s="3">
        <f t="shared" si="47"/>
        <v>2</v>
      </c>
      <c r="Q73" s="3">
        <f t="shared" si="47"/>
        <v>1</v>
      </c>
      <c r="R73" s="3">
        <f t="shared" si="47"/>
        <v>0</v>
      </c>
      <c r="S73" s="71">
        <f>SUM(N73:R73)</f>
        <v>5</v>
      </c>
      <c r="T73" s="70">
        <f>B73*3+H73*2+N73*1</f>
        <v>18</v>
      </c>
      <c r="U73" s="3">
        <f t="shared" ref="U73:X73" si="48">C73*3+I73*2+O73*1</f>
        <v>10</v>
      </c>
      <c r="V73" s="3">
        <f t="shared" si="48"/>
        <v>4</v>
      </c>
      <c r="W73" s="3">
        <f t="shared" si="48"/>
        <v>13</v>
      </c>
      <c r="X73" s="3">
        <f t="shared" si="48"/>
        <v>5</v>
      </c>
      <c r="Y73" s="71">
        <f>SUM(T73:X73)</f>
        <v>50</v>
      </c>
      <c r="AB73" s="80">
        <f>T73/T$82</f>
        <v>0.69230769230769229</v>
      </c>
      <c r="AC73" s="81">
        <f t="shared" ref="AC73:AF78" si="49">U73/U$82</f>
        <v>0.52631578947368418</v>
      </c>
      <c r="AD73" s="81">
        <f t="shared" si="49"/>
        <v>0.17391304347826086</v>
      </c>
      <c r="AE73" s="81">
        <f t="shared" si="49"/>
        <v>0.30952380952380953</v>
      </c>
      <c r="AF73" s="81">
        <f t="shared" si="49"/>
        <v>0.38461538461538464</v>
      </c>
      <c r="AG73" s="82">
        <f t="shared" ref="AG73:AG78" si="50">Y73/Y$82</f>
        <v>0.43859649122807015</v>
      </c>
      <c r="AI73" t="s">
        <v>798</v>
      </c>
    </row>
    <row r="74" spans="1:35" x14ac:dyDescent="0.25">
      <c r="A74" t="s">
        <v>799</v>
      </c>
      <c r="B74" s="70">
        <f>SUMIFS(B$5:B$42,$AJ$5:$AJ$42,A74)</f>
        <v>5</v>
      </c>
      <c r="C74" s="3">
        <f t="shared" ref="C74:F78" si="51">SUMIFS(C$5:C$42,$AJ$5:$AJ$42,$A74)</f>
        <v>0</v>
      </c>
      <c r="D74" s="3">
        <f t="shared" si="51"/>
        <v>0</v>
      </c>
      <c r="E74" s="3">
        <f t="shared" si="51"/>
        <v>1</v>
      </c>
      <c r="F74" s="3">
        <f t="shared" si="51"/>
        <v>3</v>
      </c>
      <c r="G74" s="71">
        <f t="shared" ref="G74:G78" si="52">SUM(B74:F74)</f>
        <v>9</v>
      </c>
      <c r="H74" s="70">
        <f t="shared" si="46"/>
        <v>2</v>
      </c>
      <c r="I74" s="3">
        <f t="shared" si="46"/>
        <v>2</v>
      </c>
      <c r="J74" s="3">
        <f t="shared" si="46"/>
        <v>3</v>
      </c>
      <c r="K74" s="3">
        <f t="shared" si="46"/>
        <v>0</v>
      </c>
      <c r="L74" s="3">
        <f t="shared" si="46"/>
        <v>1</v>
      </c>
      <c r="M74" s="71">
        <f t="shared" ref="M74:M78" si="53">SUM(H74:L74)</f>
        <v>8</v>
      </c>
      <c r="N74" s="70">
        <f t="shared" si="47"/>
        <v>0</v>
      </c>
      <c r="O74" s="3">
        <f t="shared" si="47"/>
        <v>1</v>
      </c>
      <c r="P74" s="3">
        <f t="shared" si="47"/>
        <v>0</v>
      </c>
      <c r="Q74" s="3">
        <f t="shared" si="47"/>
        <v>2</v>
      </c>
      <c r="R74" s="3">
        <f t="shared" si="47"/>
        <v>2</v>
      </c>
      <c r="S74" s="71">
        <f t="shared" ref="S74:S78" si="54">SUM(N74:R74)</f>
        <v>5</v>
      </c>
      <c r="T74" s="70">
        <f t="shared" ref="T74:T78" si="55">B74*3+H74*2+N74*1</f>
        <v>19</v>
      </c>
      <c r="U74" s="3">
        <f t="shared" ref="U74:U78" si="56">C74*3+I74*2+O74*1</f>
        <v>5</v>
      </c>
      <c r="V74" s="3">
        <f t="shared" ref="V74:V78" si="57">D74*3+J74*2+P74*1</f>
        <v>6</v>
      </c>
      <c r="W74" s="3">
        <f t="shared" ref="W74:W78" si="58">E74*3+K74*2+Q74*1</f>
        <v>5</v>
      </c>
      <c r="X74" s="3">
        <f t="shared" ref="X74:X78" si="59">F74*3+L74*2+R74*1</f>
        <v>13</v>
      </c>
      <c r="Y74" s="71">
        <f t="shared" ref="Y74:Y78" si="60">SUM(T74:X74)</f>
        <v>48</v>
      </c>
      <c r="AB74" s="83">
        <f>T74/T$82</f>
        <v>0.73076923076923073</v>
      </c>
      <c r="AC74" s="84">
        <f t="shared" si="49"/>
        <v>0.26315789473684209</v>
      </c>
      <c r="AD74" s="84">
        <f t="shared" si="49"/>
        <v>0.2608695652173913</v>
      </c>
      <c r="AE74" s="84">
        <f t="shared" si="49"/>
        <v>0.11904761904761904</v>
      </c>
      <c r="AF74" s="84">
        <f t="shared" si="49"/>
        <v>1</v>
      </c>
      <c r="AG74" s="82">
        <f t="shared" si="50"/>
        <v>0.42105263157894735</v>
      </c>
      <c r="AI74" t="s">
        <v>799</v>
      </c>
    </row>
    <row r="75" spans="1:35" x14ac:dyDescent="0.25">
      <c r="A75" t="s">
        <v>800</v>
      </c>
      <c r="B75" s="70">
        <f>SUMIFS(B$5:B$42,$AJ$5:$AJ$42,A75)</f>
        <v>1</v>
      </c>
      <c r="C75" s="3">
        <f t="shared" si="51"/>
        <v>0</v>
      </c>
      <c r="D75" s="3">
        <f t="shared" si="51"/>
        <v>0</v>
      </c>
      <c r="E75" s="3">
        <f t="shared" si="51"/>
        <v>1</v>
      </c>
      <c r="F75" s="3">
        <f t="shared" si="51"/>
        <v>0</v>
      </c>
      <c r="G75" s="71">
        <f t="shared" si="52"/>
        <v>2</v>
      </c>
      <c r="H75" s="70">
        <f t="shared" si="46"/>
        <v>2</v>
      </c>
      <c r="I75" s="3">
        <f t="shared" si="46"/>
        <v>0</v>
      </c>
      <c r="J75" s="3">
        <f t="shared" si="46"/>
        <v>0</v>
      </c>
      <c r="K75" s="3">
        <f t="shared" si="46"/>
        <v>2</v>
      </c>
      <c r="L75" s="3">
        <f t="shared" si="46"/>
        <v>0</v>
      </c>
      <c r="M75" s="71">
        <f t="shared" si="53"/>
        <v>4</v>
      </c>
      <c r="N75" s="70">
        <f t="shared" si="47"/>
        <v>1</v>
      </c>
      <c r="O75" s="3">
        <f t="shared" si="47"/>
        <v>2</v>
      </c>
      <c r="P75" s="3">
        <f t="shared" si="47"/>
        <v>2</v>
      </c>
      <c r="Q75" s="3">
        <f t="shared" si="47"/>
        <v>2</v>
      </c>
      <c r="R75" s="3">
        <f t="shared" si="47"/>
        <v>1</v>
      </c>
      <c r="S75" s="71">
        <f t="shared" si="54"/>
        <v>8</v>
      </c>
      <c r="T75" s="70">
        <f t="shared" si="55"/>
        <v>8</v>
      </c>
      <c r="U75" s="3">
        <f t="shared" si="56"/>
        <v>2</v>
      </c>
      <c r="V75" s="3">
        <f t="shared" si="57"/>
        <v>2</v>
      </c>
      <c r="W75" s="3">
        <f t="shared" si="58"/>
        <v>9</v>
      </c>
      <c r="X75" s="3">
        <f t="shared" si="59"/>
        <v>1</v>
      </c>
      <c r="Y75" s="71">
        <f t="shared" si="60"/>
        <v>22</v>
      </c>
      <c r="AB75" s="83">
        <f t="shared" ref="AB75:AB78" si="61">T75/T$82</f>
        <v>0.30769230769230771</v>
      </c>
      <c r="AC75" s="84">
        <f t="shared" si="49"/>
        <v>0.10526315789473684</v>
      </c>
      <c r="AD75" s="84">
        <f t="shared" si="49"/>
        <v>8.6956521739130432E-2</v>
      </c>
      <c r="AE75" s="84">
        <f t="shared" si="49"/>
        <v>0.21428571428571427</v>
      </c>
      <c r="AF75" s="84">
        <f t="shared" si="49"/>
        <v>7.6923076923076927E-2</v>
      </c>
      <c r="AG75" s="82">
        <f t="shared" si="50"/>
        <v>0.19298245614035087</v>
      </c>
      <c r="AI75" t="s">
        <v>800</v>
      </c>
    </row>
    <row r="76" spans="1:35" x14ac:dyDescent="0.25">
      <c r="A76" t="s">
        <v>801</v>
      </c>
      <c r="B76" s="70">
        <f>SUMIFS(B$5:B$42,$AJ$5:$AJ$42,A76)</f>
        <v>1</v>
      </c>
      <c r="C76" s="3">
        <f t="shared" si="51"/>
        <v>1</v>
      </c>
      <c r="D76" s="3">
        <f t="shared" si="51"/>
        <v>0</v>
      </c>
      <c r="E76" s="3">
        <f t="shared" si="51"/>
        <v>0</v>
      </c>
      <c r="F76" s="3">
        <f t="shared" si="51"/>
        <v>0</v>
      </c>
      <c r="G76" s="71">
        <f t="shared" si="52"/>
        <v>2</v>
      </c>
      <c r="H76" s="70">
        <f t="shared" si="46"/>
        <v>1</v>
      </c>
      <c r="I76" s="3">
        <f t="shared" si="46"/>
        <v>1</v>
      </c>
      <c r="J76" s="3">
        <f t="shared" si="46"/>
        <v>0</v>
      </c>
      <c r="K76" s="3">
        <f t="shared" si="46"/>
        <v>3</v>
      </c>
      <c r="L76" s="3">
        <f t="shared" si="46"/>
        <v>0</v>
      </c>
      <c r="M76" s="71">
        <f t="shared" si="53"/>
        <v>5</v>
      </c>
      <c r="N76" s="70">
        <f t="shared" si="47"/>
        <v>3</v>
      </c>
      <c r="O76" s="3">
        <f t="shared" si="47"/>
        <v>1</v>
      </c>
      <c r="P76" s="3">
        <f t="shared" si="47"/>
        <v>1</v>
      </c>
      <c r="Q76" s="3">
        <f t="shared" si="47"/>
        <v>0</v>
      </c>
      <c r="R76" s="3">
        <f t="shared" si="47"/>
        <v>1</v>
      </c>
      <c r="S76" s="71">
        <f t="shared" si="54"/>
        <v>6</v>
      </c>
      <c r="T76" s="70">
        <f t="shared" si="55"/>
        <v>8</v>
      </c>
      <c r="U76" s="3">
        <f t="shared" si="56"/>
        <v>6</v>
      </c>
      <c r="V76" s="3">
        <f t="shared" si="57"/>
        <v>1</v>
      </c>
      <c r="W76" s="3">
        <f t="shared" si="58"/>
        <v>6</v>
      </c>
      <c r="X76" s="3">
        <f t="shared" si="59"/>
        <v>1</v>
      </c>
      <c r="Y76" s="71">
        <f t="shared" si="60"/>
        <v>22</v>
      </c>
      <c r="AB76" s="83">
        <f t="shared" si="61"/>
        <v>0.30769230769230771</v>
      </c>
      <c r="AC76" s="84">
        <f t="shared" si="49"/>
        <v>0.31578947368421051</v>
      </c>
      <c r="AD76" s="84">
        <f t="shared" si="49"/>
        <v>4.3478260869565216E-2</v>
      </c>
      <c r="AE76" s="84">
        <f t="shared" si="49"/>
        <v>0.14285714285714285</v>
      </c>
      <c r="AF76" s="84">
        <f t="shared" si="49"/>
        <v>7.6923076923076927E-2</v>
      </c>
      <c r="AG76" s="82">
        <f t="shared" si="50"/>
        <v>0.19298245614035087</v>
      </c>
      <c r="AI76" t="s">
        <v>801</v>
      </c>
    </row>
    <row r="77" spans="1:35" x14ac:dyDescent="0.25">
      <c r="A77" t="s">
        <v>802</v>
      </c>
      <c r="B77" s="70">
        <f>SUMIFS(B$5:B$42,$AJ$5:$AJ$42,A77)</f>
        <v>5</v>
      </c>
      <c r="C77" s="3">
        <f t="shared" si="51"/>
        <v>5</v>
      </c>
      <c r="D77" s="3">
        <f t="shared" si="51"/>
        <v>5</v>
      </c>
      <c r="E77" s="3">
        <f t="shared" si="51"/>
        <v>8</v>
      </c>
      <c r="F77" s="3">
        <f t="shared" si="51"/>
        <v>0</v>
      </c>
      <c r="G77" s="71">
        <f t="shared" si="52"/>
        <v>23</v>
      </c>
      <c r="H77" s="70">
        <f t="shared" si="46"/>
        <v>3</v>
      </c>
      <c r="I77" s="3">
        <f t="shared" si="46"/>
        <v>1</v>
      </c>
      <c r="J77" s="3">
        <f t="shared" si="46"/>
        <v>3</v>
      </c>
      <c r="K77" s="3">
        <f t="shared" si="46"/>
        <v>6</v>
      </c>
      <c r="L77" s="3">
        <f t="shared" si="46"/>
        <v>2</v>
      </c>
      <c r="M77" s="71">
        <f t="shared" si="53"/>
        <v>15</v>
      </c>
      <c r="N77" s="70">
        <f t="shared" si="47"/>
        <v>5</v>
      </c>
      <c r="O77" s="3">
        <f t="shared" si="47"/>
        <v>2</v>
      </c>
      <c r="P77" s="3">
        <f t="shared" si="47"/>
        <v>2</v>
      </c>
      <c r="Q77" s="3">
        <f t="shared" si="47"/>
        <v>6</v>
      </c>
      <c r="R77" s="3">
        <f t="shared" si="47"/>
        <v>0</v>
      </c>
      <c r="S77" s="71">
        <f t="shared" si="54"/>
        <v>15</v>
      </c>
      <c r="T77" s="70">
        <f t="shared" si="55"/>
        <v>26</v>
      </c>
      <c r="U77" s="3">
        <f t="shared" si="56"/>
        <v>19</v>
      </c>
      <c r="V77" s="3">
        <f t="shared" si="57"/>
        <v>23</v>
      </c>
      <c r="W77" s="3">
        <f t="shared" si="58"/>
        <v>42</v>
      </c>
      <c r="X77" s="3">
        <f t="shared" si="59"/>
        <v>4</v>
      </c>
      <c r="Y77" s="71">
        <f t="shared" si="60"/>
        <v>114</v>
      </c>
      <c r="AB77" s="83">
        <f t="shared" si="61"/>
        <v>1</v>
      </c>
      <c r="AC77" s="84">
        <f t="shared" si="49"/>
        <v>1</v>
      </c>
      <c r="AD77" s="84">
        <f t="shared" si="49"/>
        <v>1</v>
      </c>
      <c r="AE77" s="84">
        <f t="shared" si="49"/>
        <v>1</v>
      </c>
      <c r="AF77" s="84">
        <f t="shared" si="49"/>
        <v>0.30769230769230771</v>
      </c>
      <c r="AG77" s="82">
        <f t="shared" si="50"/>
        <v>1</v>
      </c>
      <c r="AI77" t="s">
        <v>802</v>
      </c>
    </row>
    <row r="78" spans="1:35" ht="15.75" thickBot="1" x14ac:dyDescent="0.3">
      <c r="A78" t="s">
        <v>803</v>
      </c>
      <c r="B78" s="72">
        <f>SUMIFS(B$5:B$42,$AJ$5:$AJ$42,A78)</f>
        <v>1</v>
      </c>
      <c r="C78" s="73">
        <f t="shared" si="51"/>
        <v>0</v>
      </c>
      <c r="D78" s="73">
        <f t="shared" si="51"/>
        <v>3</v>
      </c>
      <c r="E78" s="73">
        <f t="shared" si="51"/>
        <v>1</v>
      </c>
      <c r="F78" s="73">
        <f t="shared" si="51"/>
        <v>1</v>
      </c>
      <c r="G78" s="74">
        <f t="shared" si="52"/>
        <v>6</v>
      </c>
      <c r="H78" s="72">
        <f t="shared" si="46"/>
        <v>2</v>
      </c>
      <c r="I78" s="73">
        <f t="shared" si="46"/>
        <v>2</v>
      </c>
      <c r="J78" s="73">
        <f t="shared" si="46"/>
        <v>1</v>
      </c>
      <c r="K78" s="73">
        <f t="shared" si="46"/>
        <v>3</v>
      </c>
      <c r="L78" s="73">
        <f t="shared" si="46"/>
        <v>1</v>
      </c>
      <c r="M78" s="74">
        <f t="shared" si="53"/>
        <v>9</v>
      </c>
      <c r="N78" s="72">
        <f t="shared" si="47"/>
        <v>3</v>
      </c>
      <c r="O78" s="73">
        <f t="shared" si="47"/>
        <v>1</v>
      </c>
      <c r="P78" s="73">
        <f t="shared" si="47"/>
        <v>1</v>
      </c>
      <c r="Q78" s="73">
        <f t="shared" si="47"/>
        <v>2</v>
      </c>
      <c r="R78" s="73">
        <f t="shared" si="47"/>
        <v>1</v>
      </c>
      <c r="S78" s="74">
        <f t="shared" si="54"/>
        <v>8</v>
      </c>
      <c r="T78" s="72">
        <f t="shared" si="55"/>
        <v>10</v>
      </c>
      <c r="U78" s="73">
        <f t="shared" si="56"/>
        <v>5</v>
      </c>
      <c r="V78" s="73">
        <f t="shared" si="57"/>
        <v>12</v>
      </c>
      <c r="W78" s="73">
        <f t="shared" si="58"/>
        <v>11</v>
      </c>
      <c r="X78" s="73">
        <f t="shared" si="59"/>
        <v>6</v>
      </c>
      <c r="Y78" s="74">
        <f t="shared" si="60"/>
        <v>44</v>
      </c>
      <c r="AB78" s="85">
        <f t="shared" si="61"/>
        <v>0.38461538461538464</v>
      </c>
      <c r="AC78" s="86">
        <f t="shared" si="49"/>
        <v>0.26315789473684209</v>
      </c>
      <c r="AD78" s="86">
        <f t="shared" si="49"/>
        <v>0.52173913043478259</v>
      </c>
      <c r="AE78" s="86">
        <f t="shared" si="49"/>
        <v>0.26190476190476192</v>
      </c>
      <c r="AF78" s="86">
        <f t="shared" si="49"/>
        <v>0.46153846153846156</v>
      </c>
      <c r="AG78" s="87">
        <f t="shared" si="50"/>
        <v>0.38596491228070173</v>
      </c>
      <c r="AI78" t="s">
        <v>803</v>
      </c>
    </row>
    <row r="79" spans="1:35" ht="15.75" thickTop="1" x14ac:dyDescent="0.25">
      <c r="A79" t="s">
        <v>804</v>
      </c>
      <c r="B79" s="21">
        <f>SUM(B73:B78)</f>
        <v>15</v>
      </c>
      <c r="C79" s="21">
        <f t="shared" ref="C79:G79" si="62">SUM(C73:C78)</f>
        <v>8</v>
      </c>
      <c r="D79" s="21">
        <f t="shared" si="62"/>
        <v>8</v>
      </c>
      <c r="E79" s="21">
        <f t="shared" si="62"/>
        <v>15</v>
      </c>
      <c r="F79" s="21">
        <f t="shared" si="62"/>
        <v>5</v>
      </c>
      <c r="G79" s="21">
        <f t="shared" si="62"/>
        <v>51</v>
      </c>
      <c r="H79" s="64">
        <f>SUM(H73:H78)</f>
        <v>15</v>
      </c>
      <c r="I79" s="64">
        <f t="shared" ref="I79" si="63">SUM(I73:I78)</f>
        <v>8</v>
      </c>
      <c r="J79" s="64">
        <f t="shared" ref="J79" si="64">SUM(J73:J78)</f>
        <v>8</v>
      </c>
      <c r="K79" s="64">
        <f t="shared" ref="K79" si="65">SUM(K73:K78)</f>
        <v>14</v>
      </c>
      <c r="L79" s="64">
        <f t="shared" ref="L79" si="66">SUM(L73:L78)</f>
        <v>5</v>
      </c>
      <c r="M79" s="64">
        <f t="shared" ref="M79" si="67">SUM(M73:M78)</f>
        <v>50</v>
      </c>
      <c r="N79" s="64">
        <f>SUM(N73:N78)</f>
        <v>14</v>
      </c>
      <c r="O79" s="64">
        <f t="shared" ref="O79" si="68">SUM(O73:O78)</f>
        <v>7</v>
      </c>
      <c r="P79" s="64">
        <f t="shared" ref="P79" si="69">SUM(P73:P78)</f>
        <v>8</v>
      </c>
      <c r="Q79" s="64">
        <f t="shared" ref="Q79" si="70">SUM(Q73:Q78)</f>
        <v>13</v>
      </c>
      <c r="R79" s="64">
        <f t="shared" ref="R79" si="71">SUM(R73:R78)</f>
        <v>5</v>
      </c>
      <c r="S79" s="64">
        <f t="shared" ref="S79" si="72">SUM(S73:S78)</f>
        <v>47</v>
      </c>
      <c r="T79" s="64">
        <f>SUM(T73:T78)</f>
        <v>89</v>
      </c>
      <c r="U79" s="64">
        <f t="shared" ref="U79" si="73">SUM(U73:U78)</f>
        <v>47</v>
      </c>
      <c r="V79" s="64">
        <f t="shared" ref="V79" si="74">SUM(V73:V78)</f>
        <v>48</v>
      </c>
      <c r="W79" s="64">
        <f t="shared" ref="W79" si="75">SUM(W73:W78)</f>
        <v>86</v>
      </c>
      <c r="X79" s="64">
        <f t="shared" ref="X79" si="76">SUM(X73:X78)</f>
        <v>30</v>
      </c>
      <c r="Y79" s="64">
        <f t="shared" ref="Y79" si="77">SUM(Y73:Y78)</f>
        <v>300</v>
      </c>
      <c r="AI79" t="s">
        <v>804</v>
      </c>
    </row>
    <row r="82" spans="1:25" x14ac:dyDescent="0.25">
      <c r="S82" t="s">
        <v>805</v>
      </c>
      <c r="T82">
        <f>MAX(T73:T78)</f>
        <v>26</v>
      </c>
      <c r="U82">
        <f t="shared" ref="U82:Y82" si="78">MAX(U73:U78)</f>
        <v>19</v>
      </c>
      <c r="V82">
        <f t="shared" si="78"/>
        <v>23</v>
      </c>
      <c r="W82">
        <f t="shared" si="78"/>
        <v>42</v>
      </c>
      <c r="X82">
        <f t="shared" si="78"/>
        <v>13</v>
      </c>
      <c r="Y82">
        <f t="shared" si="78"/>
        <v>114</v>
      </c>
    </row>
    <row r="84" spans="1:25" x14ac:dyDescent="0.25">
      <c r="A84" s="224" t="s">
        <v>792</v>
      </c>
      <c r="B84" s="224"/>
      <c r="C84" s="224"/>
      <c r="D84" s="224"/>
      <c r="E84" s="224"/>
      <c r="F84" s="224"/>
      <c r="G84" s="224"/>
      <c r="J84" t="s">
        <v>792</v>
      </c>
    </row>
    <row r="85" spans="1:25" ht="30" x14ac:dyDescent="0.25">
      <c r="A85" s="25"/>
      <c r="B85" s="26" t="s">
        <v>154</v>
      </c>
      <c r="C85" s="27" t="s">
        <v>193</v>
      </c>
      <c r="D85" s="27" t="s">
        <v>251</v>
      </c>
      <c r="E85" s="27" t="s">
        <v>273</v>
      </c>
      <c r="F85" s="27" t="s">
        <v>330</v>
      </c>
      <c r="G85" s="28" t="s">
        <v>700</v>
      </c>
      <c r="H85" s="41" t="s">
        <v>787</v>
      </c>
      <c r="K85" t="s">
        <v>154</v>
      </c>
      <c r="L85" t="s">
        <v>193</v>
      </c>
      <c r="M85" t="s">
        <v>251</v>
      </c>
      <c r="N85" t="s">
        <v>273</v>
      </c>
      <c r="O85" t="s">
        <v>330</v>
      </c>
      <c r="P85" t="s">
        <v>700</v>
      </c>
      <c r="Q85" t="s">
        <v>787</v>
      </c>
    </row>
    <row r="86" spans="1:25" x14ac:dyDescent="0.25">
      <c r="A86" s="25" t="s">
        <v>793</v>
      </c>
      <c r="B86" s="44">
        <f>LARGE(AB$73:AB$78,1)</f>
        <v>1</v>
      </c>
      <c r="C86" s="44">
        <f t="shared" ref="C86:G86" si="79">LARGE(AC$73:AC$78,1)</f>
        <v>1</v>
      </c>
      <c r="D86" s="44">
        <f t="shared" si="79"/>
        <v>1</v>
      </c>
      <c r="E86" s="44">
        <f t="shared" si="79"/>
        <v>1</v>
      </c>
      <c r="F86" s="44">
        <f t="shared" si="79"/>
        <v>1</v>
      </c>
      <c r="G86" s="44">
        <f t="shared" si="79"/>
        <v>1</v>
      </c>
      <c r="H86" s="42"/>
      <c r="J86" t="s">
        <v>793</v>
      </c>
      <c r="K86" s="44">
        <v>1</v>
      </c>
      <c r="L86" s="44">
        <v>1</v>
      </c>
      <c r="M86" s="44">
        <v>1</v>
      </c>
      <c r="N86" s="44">
        <v>1</v>
      </c>
      <c r="O86" s="44">
        <v>1</v>
      </c>
      <c r="P86" s="44">
        <v>1</v>
      </c>
    </row>
    <row r="87" spans="1:25" x14ac:dyDescent="0.25">
      <c r="A87" s="25" t="s">
        <v>794</v>
      </c>
      <c r="B87" s="44">
        <f>LARGE(AB$73:AB$78,2)</f>
        <v>0.73076923076923073</v>
      </c>
      <c r="C87" s="44">
        <f t="shared" ref="C87:G87" si="80">LARGE(AC$73:AC$78,2)</f>
        <v>0.52631578947368418</v>
      </c>
      <c r="D87" s="44">
        <f t="shared" si="80"/>
        <v>0.52173913043478259</v>
      </c>
      <c r="E87" s="44">
        <f t="shared" si="80"/>
        <v>0.30952380952380953</v>
      </c>
      <c r="F87" s="44">
        <f t="shared" si="80"/>
        <v>0.46153846153846156</v>
      </c>
      <c r="G87" s="44">
        <f t="shared" si="80"/>
        <v>0.43859649122807015</v>
      </c>
      <c r="H87" s="42"/>
      <c r="J87" t="s">
        <v>794</v>
      </c>
      <c r="K87" s="44">
        <v>0.73076923076923073</v>
      </c>
      <c r="L87" s="44">
        <v>0.52631578947368418</v>
      </c>
      <c r="M87" s="44">
        <v>0.52173913043478259</v>
      </c>
      <c r="N87" s="44">
        <v>0.30952380952380953</v>
      </c>
      <c r="O87" s="44">
        <v>0.46153846153846156</v>
      </c>
      <c r="P87" s="44">
        <v>0.43859649122807015</v>
      </c>
    </row>
    <row r="88" spans="1:25" x14ac:dyDescent="0.25">
      <c r="A88" s="25" t="s">
        <v>795</v>
      </c>
      <c r="B88" s="44">
        <f>LARGE(AB$73:AB$78,3)</f>
        <v>0.69230769230769229</v>
      </c>
      <c r="C88" s="44">
        <f t="shared" ref="C88:G88" si="81">LARGE(AC$73:AC$78,3)</f>
        <v>0.31578947368421051</v>
      </c>
      <c r="D88" s="44">
        <f t="shared" si="81"/>
        <v>0.2608695652173913</v>
      </c>
      <c r="E88" s="44">
        <f t="shared" si="81"/>
        <v>0.26190476190476192</v>
      </c>
      <c r="F88" s="44">
        <f t="shared" si="81"/>
        <v>0.38461538461538464</v>
      </c>
      <c r="G88" s="44">
        <f t="shared" si="81"/>
        <v>0.42105263157894735</v>
      </c>
      <c r="H88" s="42"/>
      <c r="J88" t="s">
        <v>795</v>
      </c>
      <c r="K88" s="44">
        <v>0.69230769230769229</v>
      </c>
      <c r="L88" s="44">
        <v>0.31578947368421051</v>
      </c>
      <c r="M88" s="44">
        <v>0.2608695652173913</v>
      </c>
      <c r="N88" s="44">
        <v>0.26190476190476192</v>
      </c>
      <c r="O88" s="44">
        <v>0.38461538461538464</v>
      </c>
      <c r="P88" s="44">
        <v>0.42105263157894735</v>
      </c>
    </row>
    <row r="89" spans="1:25" x14ac:dyDescent="0.25">
      <c r="A89" s="25" t="s">
        <v>796</v>
      </c>
      <c r="B89" s="44">
        <f>LARGE(AB$73:AB$78,4)</f>
        <v>0.38461538461538464</v>
      </c>
      <c r="C89" s="44">
        <f t="shared" ref="C89:G89" si="82">LARGE(AC$73:AC$78,4)</f>
        <v>0.26315789473684209</v>
      </c>
      <c r="D89" s="44">
        <f t="shared" si="82"/>
        <v>0.17391304347826086</v>
      </c>
      <c r="E89" s="44">
        <f t="shared" si="82"/>
        <v>0.21428571428571427</v>
      </c>
      <c r="F89" s="44">
        <f t="shared" si="82"/>
        <v>0.30769230769230771</v>
      </c>
      <c r="G89" s="44">
        <f t="shared" si="82"/>
        <v>0.38596491228070173</v>
      </c>
      <c r="H89" s="42"/>
      <c r="J89" t="s">
        <v>796</v>
      </c>
      <c r="K89" s="44">
        <v>0.38461538461538464</v>
      </c>
      <c r="L89" s="44">
        <v>0.26315789473684209</v>
      </c>
      <c r="M89" s="44">
        <v>0.17391304347826086</v>
      </c>
      <c r="N89" s="44">
        <v>0.21428571428571427</v>
      </c>
      <c r="O89" s="44">
        <v>0.30769230769230771</v>
      </c>
      <c r="P89" s="44">
        <v>0.38596491228070173</v>
      </c>
    </row>
    <row r="92" spans="1:25" x14ac:dyDescent="0.25">
      <c r="A92" s="224" t="s">
        <v>792</v>
      </c>
      <c r="B92" s="224"/>
      <c r="C92" s="224"/>
      <c r="D92" s="224"/>
      <c r="E92" s="224"/>
      <c r="F92" s="224"/>
      <c r="G92" s="224"/>
      <c r="H92" s="224"/>
      <c r="J92" t="s">
        <v>792</v>
      </c>
    </row>
    <row r="93" spans="1:25" ht="35.25" customHeight="1" x14ac:dyDescent="0.25">
      <c r="A93" s="25"/>
      <c r="B93" s="26" t="s">
        <v>154</v>
      </c>
      <c r="C93" s="27" t="s">
        <v>193</v>
      </c>
      <c r="D93" s="27" t="s">
        <v>251</v>
      </c>
      <c r="E93" s="27" t="s">
        <v>273</v>
      </c>
      <c r="F93" s="27" t="s">
        <v>330</v>
      </c>
      <c r="G93" s="27" t="s">
        <v>700</v>
      </c>
      <c r="H93" s="41" t="s">
        <v>787</v>
      </c>
      <c r="K93" t="s">
        <v>154</v>
      </c>
      <c r="L93" t="s">
        <v>193</v>
      </c>
      <c r="M93" t="s">
        <v>251</v>
      </c>
      <c r="N93" t="s">
        <v>273</v>
      </c>
      <c r="O93" t="s">
        <v>330</v>
      </c>
      <c r="P93" t="s">
        <v>700</v>
      </c>
      <c r="Q93" t="s">
        <v>787</v>
      </c>
    </row>
    <row r="94" spans="1:25" ht="45" x14ac:dyDescent="0.25">
      <c r="A94" s="25" t="s">
        <v>793</v>
      </c>
      <c r="B94" s="4" t="str">
        <f>INDEX($AI$73:$AI$78,MATCH(LARGE(AB$73:AB$78,1),AB$73:AB$78,0))</f>
        <v>Natural Common</v>
      </c>
      <c r="C94" s="4" t="str">
        <f t="shared" ref="C94:G94" si="83">INDEX($AI$73:$AI$78,MATCH(LARGE(AC$73:AC$78,1),AC$73:AC$78,0))</f>
        <v>Natural Common</v>
      </c>
      <c r="D94" s="4" t="str">
        <f t="shared" si="83"/>
        <v>Natural Common</v>
      </c>
      <c r="E94" s="4" t="str">
        <f t="shared" si="83"/>
        <v>Natural Common</v>
      </c>
      <c r="F94" s="4" t="str">
        <f t="shared" si="83"/>
        <v>Infrastructure</v>
      </c>
      <c r="G94" s="4" t="str">
        <f t="shared" si="83"/>
        <v>Natural Common</v>
      </c>
      <c r="H94" s="42"/>
      <c r="J94" t="s">
        <v>793</v>
      </c>
      <c r="K94" s="4" t="str">
        <f>CONCATENATE("(",ROUND(K86*100,0),"%) ",ConcatenateIfs($A$73:$A$78,AB$73:AB$78,"=",K86,", "))</f>
        <v>(100%) Natural Common</v>
      </c>
      <c r="L94" s="4" t="str">
        <f t="shared" ref="L94:P94" si="84">CONCATENATE("(",ROUND(L86*100,0),"%) ",ConcatenateIfs($A$73:$A$78,AC$73:AC$78,"=",L86,", "))</f>
        <v>(100%) Natural Common</v>
      </c>
      <c r="M94" s="4" t="str">
        <f t="shared" si="84"/>
        <v>(100%) Natural Common</v>
      </c>
      <c r="N94" s="4" t="str">
        <f t="shared" si="84"/>
        <v>(100%) Natural Common</v>
      </c>
      <c r="O94" s="4" t="str">
        <f t="shared" si="84"/>
        <v>(100%) Infrastructure</v>
      </c>
      <c r="P94" s="4" t="str">
        <f t="shared" si="84"/>
        <v>(100%) Natural Common</v>
      </c>
      <c r="Q94" s="4"/>
      <c r="R94" s="4"/>
    </row>
    <row r="95" spans="1:25" ht="45" x14ac:dyDescent="0.25">
      <c r="A95" s="25" t="s">
        <v>794</v>
      </c>
      <c r="B95" s="4" t="str">
        <f>INDEX($AI$73:$AI$78,MATCH(LARGE(AB$73:AB$78,2),AB$73:AB$78,0))</f>
        <v>Infrastructure</v>
      </c>
      <c r="C95" s="4" t="str">
        <f t="shared" ref="C95:G95" si="85">INDEX($AI$73:$AI$78,MATCH(LARGE(AC$73:AC$78,2),AC$73:AC$78,0))</f>
        <v xml:space="preserve">Environmental </v>
      </c>
      <c r="D95" s="4" t="str">
        <f t="shared" si="85"/>
        <v>Social</v>
      </c>
      <c r="E95" s="4" t="str">
        <f t="shared" si="85"/>
        <v xml:space="preserve">Environmental </v>
      </c>
      <c r="F95" s="4" t="str">
        <f t="shared" si="85"/>
        <v>Social</v>
      </c>
      <c r="G95" s="4" t="str">
        <f t="shared" si="85"/>
        <v xml:space="preserve">Environmental </v>
      </c>
      <c r="H95" s="42"/>
      <c r="J95" t="s">
        <v>794</v>
      </c>
      <c r="K95" s="4" t="str">
        <f t="shared" ref="K95:K97" si="86">CONCATENATE("(",ROUND(K87*100,0),"%) ",ConcatenateIfs($A$73:$A$78,AB$73:AB$78,"=",K87,", "))</f>
        <v>(73%) Infrastructure</v>
      </c>
      <c r="L95" s="4" t="str">
        <f t="shared" ref="L95:L97" si="87">CONCATENATE("(",ROUND(L87*100,0),"%) ",ConcatenateIfs($A$73:$A$78,AC$73:AC$78,"=",L87,", "))</f>
        <v xml:space="preserve">(53%) Environmental </v>
      </c>
      <c r="M95" s="4" t="str">
        <f t="shared" ref="M95:M97" si="88">CONCATENATE("(",ROUND(M87*100,0),"%) ",ConcatenateIfs($A$73:$A$78,AD$73:AD$78,"=",M87,", "))</f>
        <v>(52%) Social</v>
      </c>
      <c r="N95" s="4" t="str">
        <f t="shared" ref="N95:N97" si="89">CONCATENATE("(",ROUND(N87*100,0),"%) ",ConcatenateIfs($A$73:$A$78,AE$73:AE$78,"=",N87,", "))</f>
        <v xml:space="preserve">(31%) Environmental </v>
      </c>
      <c r="O95" s="4" t="str">
        <f t="shared" ref="O95:O97" si="90">CONCATENATE("(",ROUND(O87*100,0),"%) ",ConcatenateIfs($A$73:$A$78,AF$73:AF$78,"=",O87,", "))</f>
        <v>(46%) Social</v>
      </c>
      <c r="P95" s="4" t="str">
        <f t="shared" ref="P95:P97" si="91">CONCATENATE("(",ROUND(P87*100,0),"%) ",ConcatenateIfs($A$73:$A$78,AG$73:AG$78,"=",P87,", "))</f>
        <v xml:space="preserve">(44%) Environmental </v>
      </c>
      <c r="Q95" s="4"/>
      <c r="R95" s="4"/>
    </row>
    <row r="96" spans="1:25" ht="51.75" customHeight="1" x14ac:dyDescent="0.25">
      <c r="A96" s="25" t="s">
        <v>795</v>
      </c>
      <c r="B96" s="4" t="str">
        <f>INDEX($AI$73:$AI$78,MATCH(LARGE(AB$73:AB$78,3),AB$73:AB$78,0))</f>
        <v xml:space="preserve">Environmental </v>
      </c>
      <c r="C96" s="4" t="str">
        <f t="shared" ref="C96:G96" si="92">INDEX($AI$73:$AI$78,MATCH(LARGE(AC$73:AC$78,3),AC$73:AC$78,0))</f>
        <v>Natural</v>
      </c>
      <c r="D96" s="4" t="str">
        <f t="shared" si="92"/>
        <v>Infrastructure</v>
      </c>
      <c r="E96" s="4" t="str">
        <f t="shared" si="92"/>
        <v>Social</v>
      </c>
      <c r="F96" s="4" t="s">
        <v>803</v>
      </c>
      <c r="G96" s="4" t="str">
        <f t="shared" si="92"/>
        <v>Infrastructure</v>
      </c>
      <c r="H96" s="42"/>
      <c r="J96" t="s">
        <v>795</v>
      </c>
      <c r="K96" s="4" t="str">
        <f t="shared" si="86"/>
        <v xml:space="preserve">(69%) Environmental </v>
      </c>
      <c r="L96" s="4" t="str">
        <f t="shared" si="87"/>
        <v>(32%) Natural</v>
      </c>
      <c r="M96" s="4" t="str">
        <f t="shared" si="88"/>
        <v>(26%) Infrastructure</v>
      </c>
      <c r="N96" s="4" t="str">
        <f t="shared" si="89"/>
        <v>(26%) Social</v>
      </c>
      <c r="O96" s="4" t="str">
        <f t="shared" si="90"/>
        <v xml:space="preserve">(38%) Environmental </v>
      </c>
      <c r="P96" s="4" t="str">
        <f t="shared" si="91"/>
        <v>(42%) Infrastructure</v>
      </c>
      <c r="Q96" s="4"/>
      <c r="R96" s="4"/>
    </row>
    <row r="97" spans="1:48" ht="45" x14ac:dyDescent="0.25">
      <c r="A97" s="25" t="s">
        <v>796</v>
      </c>
      <c r="B97" s="4" t="str">
        <f>INDEX($AI$73:$AI$78,MATCH(LARGE(AB$73:AB$78,4),AB$73:AB$78,0))</f>
        <v>Social</v>
      </c>
      <c r="C97" s="4" t="str">
        <f t="shared" ref="C97:G97" si="93">INDEX($AI$73:$AI$78,MATCH(LARGE(AC$73:AC$78,4),AC$73:AC$78,0))</f>
        <v>Infrastructure</v>
      </c>
      <c r="D97" s="4" t="str">
        <f t="shared" si="93"/>
        <v xml:space="preserve">Environmental </v>
      </c>
      <c r="E97" s="4" t="str">
        <f t="shared" si="93"/>
        <v>Legal</v>
      </c>
      <c r="F97" s="4" t="str">
        <f t="shared" si="93"/>
        <v>Natural Common</v>
      </c>
      <c r="G97" s="4" t="str">
        <f t="shared" si="93"/>
        <v>Social</v>
      </c>
      <c r="H97" s="42"/>
      <c r="J97" t="s">
        <v>796</v>
      </c>
      <c r="K97" s="4" t="str">
        <f t="shared" si="86"/>
        <v>(38%) Social</v>
      </c>
      <c r="L97" s="4" t="str">
        <f t="shared" si="87"/>
        <v>(26%) Infrastructure, Social</v>
      </c>
      <c r="M97" s="4" t="str">
        <f t="shared" si="88"/>
        <v xml:space="preserve">(17%) Environmental </v>
      </c>
      <c r="N97" s="4" t="str">
        <f t="shared" si="89"/>
        <v>(21%) Legal</v>
      </c>
      <c r="O97" s="4" t="str">
        <f t="shared" si="90"/>
        <v>(31%) Natural Common</v>
      </c>
      <c r="P97" s="4" t="str">
        <f t="shared" si="91"/>
        <v>(39%) Social</v>
      </c>
      <c r="Q97" s="4"/>
      <c r="R97" s="4"/>
      <c r="AC97">
        <f>MATCH($A111,$A$5:$A$42,0)</f>
        <v>21</v>
      </c>
    </row>
    <row r="98" spans="1:48" ht="15.75" thickBot="1" x14ac:dyDescent="0.3"/>
    <row r="99" spans="1:48" ht="15.75" thickTop="1" x14ac:dyDescent="0.25">
      <c r="B99" s="263" t="s">
        <v>782</v>
      </c>
      <c r="C99" s="264"/>
      <c r="D99" s="264"/>
      <c r="E99" s="264"/>
      <c r="F99" s="264"/>
      <c r="G99" s="265"/>
      <c r="H99" s="263" t="s">
        <v>783</v>
      </c>
      <c r="I99" s="264"/>
      <c r="J99" s="264"/>
      <c r="K99" s="264"/>
      <c r="L99" s="264"/>
      <c r="M99" s="265"/>
      <c r="N99" s="263" t="s">
        <v>784</v>
      </c>
      <c r="O99" s="264"/>
      <c r="P99" s="264"/>
      <c r="Q99" s="264"/>
      <c r="R99" s="264"/>
      <c r="S99" s="265"/>
      <c r="T99" s="263" t="s">
        <v>806</v>
      </c>
      <c r="U99" s="264"/>
      <c r="V99" s="264"/>
      <c r="W99" s="264"/>
      <c r="X99" s="264"/>
      <c r="Y99" s="265"/>
      <c r="AB99" s="263" t="s">
        <v>807</v>
      </c>
      <c r="AC99" s="264"/>
      <c r="AD99" s="264"/>
      <c r="AE99" s="264"/>
      <c r="AF99" s="264"/>
      <c r="AG99" s="265"/>
      <c r="AI99" s="263" t="s">
        <v>808</v>
      </c>
      <c r="AJ99" s="264"/>
      <c r="AK99" s="264"/>
      <c r="AL99" s="264"/>
      <c r="AM99" s="264"/>
      <c r="AN99" s="265"/>
      <c r="AO99" s="115"/>
      <c r="AP99" s="266" t="s">
        <v>809</v>
      </c>
      <c r="AQ99" s="261" t="s">
        <v>810</v>
      </c>
      <c r="AR99" s="261"/>
      <c r="AS99" s="261"/>
      <c r="AT99" s="261"/>
      <c r="AU99" s="261"/>
      <c r="AV99" s="262"/>
    </row>
    <row r="100" spans="1:48" ht="30.75" thickBot="1" x14ac:dyDescent="0.3">
      <c r="B100" s="6" t="s">
        <v>154</v>
      </c>
      <c r="C100" s="5" t="s">
        <v>193</v>
      </c>
      <c r="D100" s="5" t="s">
        <v>251</v>
      </c>
      <c r="E100" s="5" t="s">
        <v>273</v>
      </c>
      <c r="F100" s="5" t="s">
        <v>330</v>
      </c>
      <c r="G100" s="7" t="s">
        <v>700</v>
      </c>
      <c r="H100" s="6" t="s">
        <v>154</v>
      </c>
      <c r="I100" s="5" t="s">
        <v>193</v>
      </c>
      <c r="J100" s="5" t="s">
        <v>251</v>
      </c>
      <c r="K100" s="5" t="s">
        <v>273</v>
      </c>
      <c r="L100" s="5" t="s">
        <v>330</v>
      </c>
      <c r="M100" s="7" t="s">
        <v>700</v>
      </c>
      <c r="N100" s="6" t="s">
        <v>154</v>
      </c>
      <c r="O100" s="5" t="s">
        <v>193</v>
      </c>
      <c r="P100" s="5" t="s">
        <v>251</v>
      </c>
      <c r="Q100" s="5" t="s">
        <v>273</v>
      </c>
      <c r="R100" s="5" t="s">
        <v>330</v>
      </c>
      <c r="S100" s="7" t="s">
        <v>700</v>
      </c>
      <c r="T100" s="6" t="s">
        <v>154</v>
      </c>
      <c r="U100" s="5" t="s">
        <v>193</v>
      </c>
      <c r="V100" s="5" t="s">
        <v>251</v>
      </c>
      <c r="W100" s="5" t="s">
        <v>273</v>
      </c>
      <c r="X100" s="5" t="s">
        <v>330</v>
      </c>
      <c r="Y100" s="7" t="s">
        <v>700</v>
      </c>
      <c r="AB100" s="6" t="s">
        <v>154</v>
      </c>
      <c r="AC100" s="5" t="s">
        <v>193</v>
      </c>
      <c r="AD100" s="5" t="s">
        <v>251</v>
      </c>
      <c r="AE100" s="5" t="s">
        <v>273</v>
      </c>
      <c r="AF100" s="5" t="s">
        <v>330</v>
      </c>
      <c r="AG100" s="7" t="s">
        <v>700</v>
      </c>
      <c r="AI100" s="77" t="s">
        <v>154</v>
      </c>
      <c r="AJ100" s="78" t="s">
        <v>193</v>
      </c>
      <c r="AK100" s="78" t="s">
        <v>251</v>
      </c>
      <c r="AL100" s="78" t="s">
        <v>273</v>
      </c>
      <c r="AM100" s="78" t="s">
        <v>330</v>
      </c>
      <c r="AN100" s="79" t="s">
        <v>700</v>
      </c>
      <c r="AO100" s="31"/>
      <c r="AP100" s="267"/>
      <c r="AQ100" s="5" t="s">
        <v>154</v>
      </c>
      <c r="AR100" s="5" t="s">
        <v>193</v>
      </c>
      <c r="AS100" s="5" t="s">
        <v>251</v>
      </c>
      <c r="AT100" s="5" t="s">
        <v>273</v>
      </c>
      <c r="AU100" s="5" t="s">
        <v>330</v>
      </c>
      <c r="AV100" s="7" t="s">
        <v>811</v>
      </c>
    </row>
    <row r="101" spans="1:48" ht="16.5" thickTop="1" thickBot="1" x14ac:dyDescent="0.3">
      <c r="B101" s="70"/>
      <c r="C101" s="3"/>
      <c r="D101" s="3"/>
      <c r="E101" s="3"/>
      <c r="F101" s="3"/>
      <c r="G101" s="71"/>
      <c r="H101" s="70"/>
      <c r="I101" s="3"/>
      <c r="J101" s="3"/>
      <c r="K101" s="3"/>
      <c r="L101" s="3"/>
      <c r="M101" s="71"/>
      <c r="N101" s="70"/>
      <c r="O101" s="3"/>
      <c r="P101" s="3"/>
      <c r="Q101" s="3"/>
      <c r="R101" s="3"/>
      <c r="S101" s="71"/>
      <c r="T101" s="70"/>
      <c r="U101" s="3"/>
      <c r="V101" s="3"/>
      <c r="W101" s="3"/>
      <c r="X101" s="3"/>
      <c r="Y101" s="71"/>
      <c r="AB101" s="70"/>
      <c r="AC101" s="3"/>
      <c r="AD101" s="3"/>
      <c r="AE101" s="3"/>
      <c r="AF101" s="3"/>
      <c r="AG101" s="71"/>
      <c r="AI101" s="108"/>
      <c r="AJ101" s="109"/>
      <c r="AK101" s="109"/>
      <c r="AL101" s="109"/>
      <c r="AM101" s="109"/>
      <c r="AN101" s="110"/>
      <c r="AO101" s="3"/>
      <c r="AP101" s="116"/>
      <c r="AQ101" s="117"/>
      <c r="AR101" s="117"/>
      <c r="AS101" s="117"/>
      <c r="AT101" s="117"/>
      <c r="AU101" s="117"/>
      <c r="AV101" s="118"/>
    </row>
    <row r="102" spans="1:48" ht="15.75" thickTop="1" x14ac:dyDescent="0.25">
      <c r="A102" s="111" t="s">
        <v>798</v>
      </c>
      <c r="B102" s="96">
        <f t="shared" ref="B102:Y102" si="94">INDEX(B$73:B$78,MATCH($A102,$A$73:$A$78,0))</f>
        <v>2</v>
      </c>
      <c r="C102" s="97">
        <f t="shared" si="94"/>
        <v>2</v>
      </c>
      <c r="D102" s="97">
        <f t="shared" si="94"/>
        <v>0</v>
      </c>
      <c r="E102" s="97">
        <f t="shared" si="94"/>
        <v>4</v>
      </c>
      <c r="F102" s="97">
        <f t="shared" si="94"/>
        <v>1</v>
      </c>
      <c r="G102" s="98">
        <f t="shared" si="94"/>
        <v>9</v>
      </c>
      <c r="H102" s="96">
        <f t="shared" si="94"/>
        <v>5</v>
      </c>
      <c r="I102" s="97">
        <f t="shared" si="94"/>
        <v>2</v>
      </c>
      <c r="J102" s="97">
        <f t="shared" si="94"/>
        <v>1</v>
      </c>
      <c r="K102" s="97">
        <f t="shared" si="94"/>
        <v>0</v>
      </c>
      <c r="L102" s="97">
        <f t="shared" si="94"/>
        <v>1</v>
      </c>
      <c r="M102" s="98">
        <f t="shared" si="94"/>
        <v>9</v>
      </c>
      <c r="N102" s="96">
        <f t="shared" si="94"/>
        <v>2</v>
      </c>
      <c r="O102" s="97">
        <f t="shared" si="94"/>
        <v>0</v>
      </c>
      <c r="P102" s="97">
        <f t="shared" si="94"/>
        <v>2</v>
      </c>
      <c r="Q102" s="97">
        <f t="shared" si="94"/>
        <v>1</v>
      </c>
      <c r="R102" s="97">
        <f t="shared" si="94"/>
        <v>0</v>
      </c>
      <c r="S102" s="98">
        <f t="shared" si="94"/>
        <v>5</v>
      </c>
      <c r="T102" s="96">
        <f t="shared" si="94"/>
        <v>18</v>
      </c>
      <c r="U102" s="97">
        <f t="shared" si="94"/>
        <v>10</v>
      </c>
      <c r="V102" s="97">
        <f t="shared" si="94"/>
        <v>4</v>
      </c>
      <c r="W102" s="97">
        <f t="shared" si="94"/>
        <v>13</v>
      </c>
      <c r="X102" s="97">
        <f t="shared" si="94"/>
        <v>5</v>
      </c>
      <c r="Y102" s="98">
        <f t="shared" si="94"/>
        <v>50</v>
      </c>
      <c r="AB102" s="99">
        <f t="shared" ref="AB102:AG102" si="95">INDEX(AB$73:AB$78,MATCH($A102,$A$73:$A$78,0))</f>
        <v>0.69230769230769229</v>
      </c>
      <c r="AC102" s="99">
        <f t="shared" si="95"/>
        <v>0.52631578947368418</v>
      </c>
      <c r="AD102" s="99">
        <f t="shared" si="95"/>
        <v>0.17391304347826086</v>
      </c>
      <c r="AE102" s="99">
        <f t="shared" si="95"/>
        <v>0.30952380952380953</v>
      </c>
      <c r="AF102" s="99">
        <f t="shared" si="95"/>
        <v>0.38461538461538464</v>
      </c>
      <c r="AG102" s="99">
        <f t="shared" si="95"/>
        <v>0.43859649122807015</v>
      </c>
      <c r="AI102" s="99" t="str">
        <f t="shared" ref="AI102:AI145" si="96">CONCATENATE(T102," (",TEXT(AB102,"0%"),")")</f>
        <v>18 (69%)</v>
      </c>
      <c r="AJ102" s="101" t="str">
        <f t="shared" ref="AJ102:AJ145" si="97">CONCATENATE(U102," (",TEXT(AC102,"0%"),")")</f>
        <v>10 (53%)</v>
      </c>
      <c r="AK102" s="101" t="str">
        <f t="shared" ref="AK102:AK145" si="98">CONCATENATE(V102," (",TEXT(AD102,"0%"),")")</f>
        <v>4 (17%)</v>
      </c>
      <c r="AL102" s="101" t="str">
        <f t="shared" ref="AL102:AL145" si="99">CONCATENATE(W102," (",TEXT(AE102,"0%"),")")</f>
        <v>13 (31%)</v>
      </c>
      <c r="AM102" s="101" t="str">
        <f t="shared" ref="AM102:AM145" si="100">CONCATENATE(X102," (",TEXT(AF102,"0%"),")")</f>
        <v>5 (38%)</v>
      </c>
      <c r="AN102" s="102" t="str">
        <f t="shared" ref="AN102:AN145" si="101">CONCATENATE(Y102," (",TEXT(AG102,"0%"),")")</f>
        <v>50 (44%)</v>
      </c>
      <c r="AO102" s="102"/>
      <c r="AP102" s="119" t="s">
        <v>798</v>
      </c>
      <c r="AQ102" s="120" t="str">
        <f>CONCATENATE("[",B102,"T1, ",H102,"T2, ",N102,"T3] ",AI102)</f>
        <v>[2T1, 5T2, 2T3] 18 (69%)</v>
      </c>
      <c r="AR102" s="120" t="str">
        <f t="shared" ref="AR102:AV102" si="102">CONCATENATE("[",C102,"T1, ",I102,"T2, ",O102,"T3] ",AJ102)</f>
        <v>[2T1, 2T2, 0T3] 10 (53%)</v>
      </c>
      <c r="AS102" s="120" t="str">
        <f t="shared" si="102"/>
        <v>[0T1, 1T2, 2T3] 4 (17%)</v>
      </c>
      <c r="AT102" s="120" t="str">
        <f t="shared" si="102"/>
        <v>[4T1, 0T2, 1T3] 13 (31%)</v>
      </c>
      <c r="AU102" s="120" t="str">
        <f t="shared" si="102"/>
        <v>[1T1, 1T2, 0T3] 5 (38%)</v>
      </c>
      <c r="AV102" s="121" t="str">
        <f t="shared" si="102"/>
        <v>[9T1, 9T2, 5T3] 50 (44%)</v>
      </c>
    </row>
    <row r="103" spans="1:48" x14ac:dyDescent="0.25">
      <c r="A103" s="112" t="s">
        <v>287</v>
      </c>
      <c r="B103" s="70">
        <f>INDEX(B$5:B$42,MATCH($A103,$A$5:$A$42,0))</f>
        <v>0</v>
      </c>
      <c r="C103" s="3">
        <f t="shared" ref="B103:K109" si="103">INDEX(C$5:C$42,MATCH($A103,$A$5:$A$42,0))</f>
        <v>1</v>
      </c>
      <c r="D103" s="3">
        <f t="shared" si="103"/>
        <v>0</v>
      </c>
      <c r="E103" s="3">
        <f t="shared" si="103"/>
        <v>0</v>
      </c>
      <c r="F103" s="3">
        <f t="shared" si="103"/>
        <v>0</v>
      </c>
      <c r="G103" s="71">
        <f t="shared" si="103"/>
        <v>1</v>
      </c>
      <c r="H103" s="70">
        <f t="shared" si="103"/>
        <v>0</v>
      </c>
      <c r="I103" s="3">
        <f t="shared" si="103"/>
        <v>0</v>
      </c>
      <c r="J103" s="3">
        <f t="shared" si="103"/>
        <v>0</v>
      </c>
      <c r="K103" s="3">
        <f t="shared" si="103"/>
        <v>0</v>
      </c>
      <c r="L103" s="3">
        <f t="shared" ref="L103:Y109" si="104">INDEX(L$5:L$42,MATCH($A103,$A$5:$A$42,0))</f>
        <v>0</v>
      </c>
      <c r="M103" s="71">
        <f t="shared" si="104"/>
        <v>0</v>
      </c>
      <c r="N103" s="70">
        <f t="shared" si="104"/>
        <v>0</v>
      </c>
      <c r="O103" s="3">
        <f t="shared" si="104"/>
        <v>0</v>
      </c>
      <c r="P103" s="3">
        <f t="shared" si="104"/>
        <v>0</v>
      </c>
      <c r="Q103" s="3">
        <f t="shared" si="104"/>
        <v>0</v>
      </c>
      <c r="R103" s="3">
        <f t="shared" si="104"/>
        <v>0</v>
      </c>
      <c r="S103" s="71">
        <f t="shared" si="104"/>
        <v>0</v>
      </c>
      <c r="T103" s="70">
        <f t="shared" si="104"/>
        <v>0</v>
      </c>
      <c r="U103" s="3">
        <f t="shared" si="104"/>
        <v>3</v>
      </c>
      <c r="V103" s="3">
        <f t="shared" si="104"/>
        <v>0</v>
      </c>
      <c r="W103" s="3">
        <f t="shared" si="104"/>
        <v>0</v>
      </c>
      <c r="X103" s="3">
        <f t="shared" si="104"/>
        <v>0</v>
      </c>
      <c r="Y103" s="71">
        <f t="shared" si="104"/>
        <v>3</v>
      </c>
      <c r="AB103" s="100">
        <f t="shared" ref="AB103:AG109" si="105">INDEX(AB$5:AB$42,MATCH($A103,$A$5:$A$42,0))</f>
        <v>0</v>
      </c>
      <c r="AC103" s="103">
        <f t="shared" si="105"/>
        <v>0.42857142857142855</v>
      </c>
      <c r="AD103" s="103">
        <f t="shared" si="105"/>
        <v>0</v>
      </c>
      <c r="AE103" s="103">
        <f t="shared" si="105"/>
        <v>0</v>
      </c>
      <c r="AF103" s="103">
        <f t="shared" si="105"/>
        <v>0</v>
      </c>
      <c r="AG103" s="104">
        <f t="shared" si="105"/>
        <v>6.25E-2</v>
      </c>
      <c r="AI103" s="100" t="str">
        <f t="shared" si="96"/>
        <v>0 (0%)</v>
      </c>
      <c r="AJ103" s="103" t="str">
        <f t="shared" si="97"/>
        <v>3 (43%)</v>
      </c>
      <c r="AK103" s="103" t="str">
        <f t="shared" si="98"/>
        <v>0 (0%)</v>
      </c>
      <c r="AL103" s="103" t="str">
        <f t="shared" si="99"/>
        <v>0 (0%)</v>
      </c>
      <c r="AM103" s="103" t="str">
        <f t="shared" si="100"/>
        <v>0 (0%)</v>
      </c>
      <c r="AN103" s="104" t="str">
        <f t="shared" si="101"/>
        <v>3 (6%)</v>
      </c>
      <c r="AO103" s="104"/>
      <c r="AP103" s="122" t="s">
        <v>287</v>
      </c>
      <c r="AQ103" s="123" t="str">
        <f t="shared" ref="AQ103:AQ145" si="106">CONCATENATE("[",B103,"T1, ",H103,"T2, ",N103,"T3] ",AI103)</f>
        <v>[0T1, 0T2, 0T3] 0 (0%)</v>
      </c>
      <c r="AR103" s="123" t="str">
        <f t="shared" ref="AR103:AR145" si="107">CONCATENATE("[",C103,"T1, ",I103,"T2, ",O103,"T3] ",AJ103)</f>
        <v>[1T1, 0T2, 0T3] 3 (43%)</v>
      </c>
      <c r="AS103" s="123" t="str">
        <f t="shared" ref="AS103:AS145" si="108">CONCATENATE("[",D103,"T1, ",J103,"T2, ",P103,"T3] ",AK103)</f>
        <v>[0T1, 0T2, 0T3] 0 (0%)</v>
      </c>
      <c r="AT103" s="123" t="str">
        <f t="shared" ref="AT103:AT145" si="109">CONCATENATE("[",E103,"T1, ",K103,"T2, ",Q103,"T3] ",AL103)</f>
        <v>[0T1, 0T2, 0T3] 0 (0%)</v>
      </c>
      <c r="AU103" s="123" t="str">
        <f t="shared" ref="AU103:AU145" si="110">CONCATENATE("[",F103,"T1, ",L103,"T2, ",R103,"T3] ",AM103)</f>
        <v>[0T1, 0T2, 0T3] 0 (0%)</v>
      </c>
      <c r="AV103" s="124" t="str">
        <f t="shared" ref="AV103:AV145" si="111">CONCATENATE("[",G103,"T1, ",M103,"T2, ",S103,"T3] ",AN103)</f>
        <v>[1T1, 0T2, 0T3] 3 (6%)</v>
      </c>
    </row>
    <row r="104" spans="1:48" x14ac:dyDescent="0.25">
      <c r="A104" s="112" t="s">
        <v>233</v>
      </c>
      <c r="B104" s="70">
        <f t="shared" si="103"/>
        <v>0</v>
      </c>
      <c r="C104" s="3">
        <f t="shared" si="103"/>
        <v>0</v>
      </c>
      <c r="D104" s="3">
        <f t="shared" si="103"/>
        <v>0</v>
      </c>
      <c r="E104" s="3">
        <f t="shared" si="103"/>
        <v>0</v>
      </c>
      <c r="F104" s="3">
        <f t="shared" si="103"/>
        <v>0</v>
      </c>
      <c r="G104" s="71">
        <f t="shared" si="103"/>
        <v>0</v>
      </c>
      <c r="H104" s="70">
        <f t="shared" si="103"/>
        <v>1</v>
      </c>
      <c r="I104" s="3">
        <f t="shared" si="103"/>
        <v>0</v>
      </c>
      <c r="J104" s="3">
        <f t="shared" si="103"/>
        <v>0</v>
      </c>
      <c r="K104" s="3">
        <f t="shared" si="103"/>
        <v>0</v>
      </c>
      <c r="L104" s="3">
        <f t="shared" si="104"/>
        <v>0</v>
      </c>
      <c r="M104" s="71">
        <f t="shared" si="104"/>
        <v>1</v>
      </c>
      <c r="N104" s="70">
        <f t="shared" si="104"/>
        <v>0</v>
      </c>
      <c r="O104" s="3">
        <f t="shared" si="104"/>
        <v>0</v>
      </c>
      <c r="P104" s="3">
        <f t="shared" si="104"/>
        <v>0</v>
      </c>
      <c r="Q104" s="3">
        <f t="shared" si="104"/>
        <v>0</v>
      </c>
      <c r="R104" s="3">
        <f t="shared" si="104"/>
        <v>0</v>
      </c>
      <c r="S104" s="71">
        <f t="shared" si="104"/>
        <v>0</v>
      </c>
      <c r="T104" s="70">
        <f t="shared" si="104"/>
        <v>2</v>
      </c>
      <c r="U104" s="3">
        <f t="shared" si="104"/>
        <v>0</v>
      </c>
      <c r="V104" s="3">
        <f t="shared" si="104"/>
        <v>0</v>
      </c>
      <c r="W104" s="3">
        <f t="shared" si="104"/>
        <v>0</v>
      </c>
      <c r="X104" s="3">
        <f t="shared" si="104"/>
        <v>0</v>
      </c>
      <c r="Y104" s="71">
        <f t="shared" si="104"/>
        <v>2</v>
      </c>
      <c r="AB104" s="100">
        <f t="shared" si="105"/>
        <v>0.11764705882352941</v>
      </c>
      <c r="AC104" s="103">
        <f t="shared" si="105"/>
        <v>0</v>
      </c>
      <c r="AD104" s="103">
        <f t="shared" si="105"/>
        <v>0</v>
      </c>
      <c r="AE104" s="103">
        <f t="shared" si="105"/>
        <v>0</v>
      </c>
      <c r="AF104" s="103">
        <f t="shared" si="105"/>
        <v>0</v>
      </c>
      <c r="AG104" s="104">
        <f t="shared" si="105"/>
        <v>4.1666666666666664E-2</v>
      </c>
      <c r="AI104" s="100" t="str">
        <f t="shared" si="96"/>
        <v>2 (12%)</v>
      </c>
      <c r="AJ104" s="103" t="str">
        <f t="shared" si="97"/>
        <v>0 (0%)</v>
      </c>
      <c r="AK104" s="103" t="str">
        <f t="shared" si="98"/>
        <v>0 (0%)</v>
      </c>
      <c r="AL104" s="103" t="str">
        <f t="shared" si="99"/>
        <v>0 (0%)</v>
      </c>
      <c r="AM104" s="103" t="str">
        <f t="shared" si="100"/>
        <v>0 (0%)</v>
      </c>
      <c r="AN104" s="104" t="str">
        <f t="shared" si="101"/>
        <v>2 (4%)</v>
      </c>
      <c r="AO104" s="104"/>
      <c r="AP104" s="122" t="s">
        <v>233</v>
      </c>
      <c r="AQ104" s="123" t="str">
        <f t="shared" si="106"/>
        <v>[0T1, 1T2, 0T3] 2 (12%)</v>
      </c>
      <c r="AR104" s="123" t="str">
        <f t="shared" si="107"/>
        <v>[0T1, 0T2, 0T3] 0 (0%)</v>
      </c>
      <c r="AS104" s="123" t="str">
        <f t="shared" si="108"/>
        <v>[0T1, 0T2, 0T3] 0 (0%)</v>
      </c>
      <c r="AT104" s="123" t="str">
        <f t="shared" si="109"/>
        <v>[0T1, 0T2, 0T3] 0 (0%)</v>
      </c>
      <c r="AU104" s="123" t="str">
        <f t="shared" si="110"/>
        <v>[0T1, 0T2, 0T3] 0 (0%)</v>
      </c>
      <c r="AV104" s="124" t="str">
        <f t="shared" si="111"/>
        <v>[0T1, 1T2, 0T3] 2 (4%)</v>
      </c>
    </row>
    <row r="105" spans="1:48" x14ac:dyDescent="0.25">
      <c r="A105" s="112" t="s">
        <v>263</v>
      </c>
      <c r="B105" s="70">
        <f t="shared" si="103"/>
        <v>1</v>
      </c>
      <c r="C105" s="3">
        <f t="shared" si="103"/>
        <v>0</v>
      </c>
      <c r="D105" s="3">
        <f t="shared" si="103"/>
        <v>0</v>
      </c>
      <c r="E105" s="3">
        <f t="shared" si="103"/>
        <v>1</v>
      </c>
      <c r="F105" s="3">
        <f t="shared" si="103"/>
        <v>1</v>
      </c>
      <c r="G105" s="71">
        <f t="shared" si="103"/>
        <v>3</v>
      </c>
      <c r="H105" s="70">
        <f t="shared" si="103"/>
        <v>2</v>
      </c>
      <c r="I105" s="3">
        <f t="shared" si="103"/>
        <v>0</v>
      </c>
      <c r="J105" s="3">
        <f t="shared" si="103"/>
        <v>0</v>
      </c>
      <c r="K105" s="3">
        <f t="shared" si="103"/>
        <v>0</v>
      </c>
      <c r="L105" s="3">
        <f t="shared" si="104"/>
        <v>0</v>
      </c>
      <c r="M105" s="71">
        <f t="shared" si="104"/>
        <v>2</v>
      </c>
      <c r="N105" s="70">
        <f t="shared" si="104"/>
        <v>0</v>
      </c>
      <c r="O105" s="3">
        <f t="shared" si="104"/>
        <v>0</v>
      </c>
      <c r="P105" s="3">
        <f t="shared" si="104"/>
        <v>2</v>
      </c>
      <c r="Q105" s="3">
        <f t="shared" si="104"/>
        <v>0</v>
      </c>
      <c r="R105" s="3">
        <f t="shared" si="104"/>
        <v>0</v>
      </c>
      <c r="S105" s="71">
        <f t="shared" si="104"/>
        <v>2</v>
      </c>
      <c r="T105" s="70">
        <f t="shared" si="104"/>
        <v>7</v>
      </c>
      <c r="U105" s="3">
        <f t="shared" si="104"/>
        <v>0</v>
      </c>
      <c r="V105" s="3">
        <f t="shared" si="104"/>
        <v>2</v>
      </c>
      <c r="W105" s="3">
        <f t="shared" si="104"/>
        <v>3</v>
      </c>
      <c r="X105" s="3">
        <f t="shared" si="104"/>
        <v>3</v>
      </c>
      <c r="Y105" s="71">
        <f t="shared" si="104"/>
        <v>15</v>
      </c>
      <c r="AB105" s="100">
        <f t="shared" si="105"/>
        <v>0.41176470588235292</v>
      </c>
      <c r="AC105" s="103">
        <f t="shared" si="105"/>
        <v>0</v>
      </c>
      <c r="AD105" s="103">
        <f t="shared" si="105"/>
        <v>0.22222222222222221</v>
      </c>
      <c r="AE105" s="103">
        <f t="shared" si="105"/>
        <v>0.15789473684210525</v>
      </c>
      <c r="AF105" s="103">
        <f t="shared" si="105"/>
        <v>0.42857142857142855</v>
      </c>
      <c r="AG105" s="104">
        <f t="shared" si="105"/>
        <v>0.3125</v>
      </c>
      <c r="AI105" s="100" t="str">
        <f t="shared" si="96"/>
        <v>7 (41%)</v>
      </c>
      <c r="AJ105" s="103" t="str">
        <f t="shared" si="97"/>
        <v>0 (0%)</v>
      </c>
      <c r="AK105" s="103" t="str">
        <f t="shared" si="98"/>
        <v>2 (22%)</v>
      </c>
      <c r="AL105" s="103" t="str">
        <f t="shared" si="99"/>
        <v>3 (16%)</v>
      </c>
      <c r="AM105" s="103" t="str">
        <f t="shared" si="100"/>
        <v>3 (43%)</v>
      </c>
      <c r="AN105" s="104" t="str">
        <f t="shared" si="101"/>
        <v>15 (31%)</v>
      </c>
      <c r="AO105" s="104"/>
      <c r="AP105" s="122" t="s">
        <v>263</v>
      </c>
      <c r="AQ105" s="123" t="str">
        <f t="shared" si="106"/>
        <v>[1T1, 2T2, 0T3] 7 (41%)</v>
      </c>
      <c r="AR105" s="123" t="str">
        <f t="shared" si="107"/>
        <v>[0T1, 0T2, 0T3] 0 (0%)</v>
      </c>
      <c r="AS105" s="123" t="str">
        <f t="shared" si="108"/>
        <v>[0T1, 0T2, 2T3] 2 (22%)</v>
      </c>
      <c r="AT105" s="123" t="str">
        <f t="shared" si="109"/>
        <v>[1T1, 0T2, 0T3] 3 (16%)</v>
      </c>
      <c r="AU105" s="123" t="str">
        <f t="shared" si="110"/>
        <v>[1T1, 0T2, 0T3] 3 (43%)</v>
      </c>
      <c r="AV105" s="124" t="str">
        <f t="shared" si="111"/>
        <v>[3T1, 2T2, 2T3] 15 (31%)</v>
      </c>
    </row>
    <row r="106" spans="1:48" x14ac:dyDescent="0.25">
      <c r="A106" s="112" t="s">
        <v>202</v>
      </c>
      <c r="B106" s="70">
        <f t="shared" si="103"/>
        <v>0</v>
      </c>
      <c r="C106" s="3">
        <f t="shared" si="103"/>
        <v>0</v>
      </c>
      <c r="D106" s="3">
        <f t="shared" si="103"/>
        <v>0</v>
      </c>
      <c r="E106" s="3">
        <f t="shared" si="103"/>
        <v>1</v>
      </c>
      <c r="F106" s="3">
        <f t="shared" si="103"/>
        <v>0</v>
      </c>
      <c r="G106" s="71">
        <f t="shared" si="103"/>
        <v>1</v>
      </c>
      <c r="H106" s="70">
        <f t="shared" si="103"/>
        <v>1</v>
      </c>
      <c r="I106" s="3">
        <f t="shared" si="103"/>
        <v>2</v>
      </c>
      <c r="J106" s="3">
        <f t="shared" si="103"/>
        <v>1</v>
      </c>
      <c r="K106" s="3">
        <f t="shared" si="103"/>
        <v>0</v>
      </c>
      <c r="L106" s="3">
        <f t="shared" si="104"/>
        <v>0</v>
      </c>
      <c r="M106" s="71">
        <f t="shared" si="104"/>
        <v>4</v>
      </c>
      <c r="N106" s="70">
        <f t="shared" si="104"/>
        <v>1</v>
      </c>
      <c r="O106" s="3">
        <f t="shared" si="104"/>
        <v>0</v>
      </c>
      <c r="P106" s="3">
        <f t="shared" si="104"/>
        <v>0</v>
      </c>
      <c r="Q106" s="3">
        <f t="shared" si="104"/>
        <v>1</v>
      </c>
      <c r="R106" s="3">
        <f t="shared" si="104"/>
        <v>0</v>
      </c>
      <c r="S106" s="71">
        <f t="shared" si="104"/>
        <v>2</v>
      </c>
      <c r="T106" s="70">
        <f t="shared" si="104"/>
        <v>3</v>
      </c>
      <c r="U106" s="3">
        <f t="shared" si="104"/>
        <v>4</v>
      </c>
      <c r="V106" s="3">
        <f t="shared" si="104"/>
        <v>2</v>
      </c>
      <c r="W106" s="3">
        <f t="shared" si="104"/>
        <v>4</v>
      </c>
      <c r="X106" s="3">
        <f t="shared" si="104"/>
        <v>0</v>
      </c>
      <c r="Y106" s="71">
        <f t="shared" si="104"/>
        <v>13</v>
      </c>
      <c r="AB106" s="100">
        <f t="shared" si="105"/>
        <v>0.17647058823529413</v>
      </c>
      <c r="AC106" s="103">
        <f t="shared" si="105"/>
        <v>0.5714285714285714</v>
      </c>
      <c r="AD106" s="103">
        <f t="shared" si="105"/>
        <v>0.22222222222222221</v>
      </c>
      <c r="AE106" s="103">
        <f t="shared" si="105"/>
        <v>0.21052631578947367</v>
      </c>
      <c r="AF106" s="103">
        <f t="shared" si="105"/>
        <v>0</v>
      </c>
      <c r="AG106" s="104">
        <f t="shared" si="105"/>
        <v>0.27083333333333331</v>
      </c>
      <c r="AI106" s="100" t="str">
        <f t="shared" si="96"/>
        <v>3 (18%)</v>
      </c>
      <c r="AJ106" s="103" t="str">
        <f t="shared" si="97"/>
        <v>4 (57%)</v>
      </c>
      <c r="AK106" s="103" t="str">
        <f t="shared" si="98"/>
        <v>2 (22%)</v>
      </c>
      <c r="AL106" s="103" t="str">
        <f t="shared" si="99"/>
        <v>4 (21%)</v>
      </c>
      <c r="AM106" s="103" t="str">
        <f t="shared" si="100"/>
        <v>0 (0%)</v>
      </c>
      <c r="AN106" s="104" t="str">
        <f t="shared" si="101"/>
        <v>13 (27%)</v>
      </c>
      <c r="AO106" s="104"/>
      <c r="AP106" s="122" t="s">
        <v>202</v>
      </c>
      <c r="AQ106" s="123" t="str">
        <f t="shared" si="106"/>
        <v>[0T1, 1T2, 1T3] 3 (18%)</v>
      </c>
      <c r="AR106" s="123" t="str">
        <f t="shared" si="107"/>
        <v>[0T1, 2T2, 0T3] 4 (57%)</v>
      </c>
      <c r="AS106" s="123" t="str">
        <f t="shared" si="108"/>
        <v>[0T1, 1T2, 0T3] 2 (22%)</v>
      </c>
      <c r="AT106" s="123" t="str">
        <f t="shared" si="109"/>
        <v>[1T1, 0T2, 1T3] 4 (21%)</v>
      </c>
      <c r="AU106" s="123" t="str">
        <f t="shared" si="110"/>
        <v>[0T1, 0T2, 0T3] 0 (0%)</v>
      </c>
      <c r="AV106" s="124" t="str">
        <f t="shared" si="111"/>
        <v>[1T1, 4T2, 2T3] 13 (27%)</v>
      </c>
    </row>
    <row r="107" spans="1:48" s="138" customFormat="1" x14ac:dyDescent="0.25">
      <c r="A107" s="134" t="s">
        <v>495</v>
      </c>
      <c r="B107" s="135">
        <f t="shared" si="103"/>
        <v>0</v>
      </c>
      <c r="C107" s="136">
        <f t="shared" si="103"/>
        <v>0</v>
      </c>
      <c r="D107" s="136">
        <f t="shared" si="103"/>
        <v>0</v>
      </c>
      <c r="E107" s="136">
        <f t="shared" si="103"/>
        <v>0</v>
      </c>
      <c r="F107" s="136">
        <f t="shared" si="103"/>
        <v>0</v>
      </c>
      <c r="G107" s="137">
        <f t="shared" si="103"/>
        <v>0</v>
      </c>
      <c r="H107" s="135">
        <f t="shared" si="103"/>
        <v>0</v>
      </c>
      <c r="I107" s="136">
        <f t="shared" si="103"/>
        <v>0</v>
      </c>
      <c r="J107" s="136">
        <f t="shared" si="103"/>
        <v>0</v>
      </c>
      <c r="K107" s="136">
        <f t="shared" si="103"/>
        <v>0</v>
      </c>
      <c r="L107" s="136">
        <f t="shared" si="104"/>
        <v>0</v>
      </c>
      <c r="M107" s="137">
        <f t="shared" si="104"/>
        <v>0</v>
      </c>
      <c r="N107" s="135">
        <f t="shared" si="104"/>
        <v>0</v>
      </c>
      <c r="O107" s="136">
        <f t="shared" si="104"/>
        <v>0</v>
      </c>
      <c r="P107" s="136">
        <f t="shared" si="104"/>
        <v>0</v>
      </c>
      <c r="Q107" s="136">
        <f t="shared" si="104"/>
        <v>0</v>
      </c>
      <c r="R107" s="136">
        <f t="shared" si="104"/>
        <v>0</v>
      </c>
      <c r="S107" s="137">
        <f t="shared" si="104"/>
        <v>0</v>
      </c>
      <c r="T107" s="135">
        <f t="shared" si="104"/>
        <v>0</v>
      </c>
      <c r="U107" s="136">
        <f t="shared" si="104"/>
        <v>0</v>
      </c>
      <c r="V107" s="136">
        <f t="shared" si="104"/>
        <v>0</v>
      </c>
      <c r="W107" s="136">
        <f t="shared" si="104"/>
        <v>0</v>
      </c>
      <c r="X107" s="136">
        <f t="shared" si="104"/>
        <v>0</v>
      </c>
      <c r="Y107" s="137">
        <f t="shared" si="104"/>
        <v>0</v>
      </c>
      <c r="AB107" s="139">
        <f t="shared" si="105"/>
        <v>0</v>
      </c>
      <c r="AC107" s="140">
        <f t="shared" si="105"/>
        <v>0</v>
      </c>
      <c r="AD107" s="140">
        <f t="shared" si="105"/>
        <v>0</v>
      </c>
      <c r="AE107" s="140">
        <f t="shared" si="105"/>
        <v>0</v>
      </c>
      <c r="AF107" s="140">
        <f t="shared" si="105"/>
        <v>0</v>
      </c>
      <c r="AG107" s="141">
        <f t="shared" si="105"/>
        <v>0</v>
      </c>
      <c r="AI107" s="139" t="str">
        <f t="shared" si="96"/>
        <v>0 (0%)</v>
      </c>
      <c r="AJ107" s="140" t="str">
        <f t="shared" si="97"/>
        <v>0 (0%)</v>
      </c>
      <c r="AK107" s="140" t="str">
        <f t="shared" si="98"/>
        <v>0 (0%)</v>
      </c>
      <c r="AL107" s="140" t="str">
        <f t="shared" si="99"/>
        <v>0 (0%)</v>
      </c>
      <c r="AM107" s="140" t="str">
        <f t="shared" si="100"/>
        <v>0 (0%)</v>
      </c>
      <c r="AN107" s="141" t="str">
        <f t="shared" si="101"/>
        <v>0 (0%)</v>
      </c>
      <c r="AO107" s="141"/>
      <c r="AP107" s="142" t="s">
        <v>495</v>
      </c>
      <c r="AQ107" s="143" t="str">
        <f t="shared" si="106"/>
        <v>[0T1, 0T2, 0T3] 0 (0%)</v>
      </c>
      <c r="AR107" s="143" t="str">
        <f t="shared" si="107"/>
        <v>[0T1, 0T2, 0T3] 0 (0%)</v>
      </c>
      <c r="AS107" s="143" t="str">
        <f t="shared" si="108"/>
        <v>[0T1, 0T2, 0T3] 0 (0%)</v>
      </c>
      <c r="AT107" s="143" t="str">
        <f t="shared" si="109"/>
        <v>[0T1, 0T2, 0T3] 0 (0%)</v>
      </c>
      <c r="AU107" s="143" t="str">
        <f t="shared" si="110"/>
        <v>[0T1, 0T2, 0T3] 0 (0%)</v>
      </c>
      <c r="AV107" s="144" t="str">
        <f t="shared" si="111"/>
        <v>[0T1, 0T2, 0T3] 0 (0%)</v>
      </c>
    </row>
    <row r="108" spans="1:48" x14ac:dyDescent="0.25">
      <c r="A108" s="112" t="s">
        <v>242</v>
      </c>
      <c r="B108" s="70">
        <f t="shared" si="103"/>
        <v>0</v>
      </c>
      <c r="C108" s="3">
        <f t="shared" si="103"/>
        <v>0</v>
      </c>
      <c r="D108" s="3">
        <f t="shared" si="103"/>
        <v>0</v>
      </c>
      <c r="E108" s="3">
        <f t="shared" si="103"/>
        <v>0</v>
      </c>
      <c r="F108" s="3">
        <f t="shared" si="103"/>
        <v>0</v>
      </c>
      <c r="G108" s="71">
        <f t="shared" si="103"/>
        <v>0</v>
      </c>
      <c r="H108" s="70">
        <f t="shared" si="103"/>
        <v>0</v>
      </c>
      <c r="I108" s="3">
        <f t="shared" si="103"/>
        <v>0</v>
      </c>
      <c r="J108" s="3">
        <f t="shared" si="103"/>
        <v>0</v>
      </c>
      <c r="K108" s="3">
        <f t="shared" si="103"/>
        <v>0</v>
      </c>
      <c r="L108" s="3">
        <f t="shared" si="104"/>
        <v>0</v>
      </c>
      <c r="M108" s="71">
        <f t="shared" si="104"/>
        <v>0</v>
      </c>
      <c r="N108" s="70">
        <f t="shared" si="104"/>
        <v>1</v>
      </c>
      <c r="O108" s="3">
        <f t="shared" si="104"/>
        <v>0</v>
      </c>
      <c r="P108" s="3">
        <f t="shared" si="104"/>
        <v>0</v>
      </c>
      <c r="Q108" s="3">
        <f t="shared" si="104"/>
        <v>0</v>
      </c>
      <c r="R108" s="3">
        <f t="shared" si="104"/>
        <v>0</v>
      </c>
      <c r="S108" s="71">
        <f t="shared" si="104"/>
        <v>1</v>
      </c>
      <c r="T108" s="70">
        <f t="shared" si="104"/>
        <v>1</v>
      </c>
      <c r="U108" s="3">
        <f t="shared" si="104"/>
        <v>0</v>
      </c>
      <c r="V108" s="3">
        <f t="shared" si="104"/>
        <v>0</v>
      </c>
      <c r="W108" s="3">
        <f t="shared" si="104"/>
        <v>0</v>
      </c>
      <c r="X108" s="3">
        <f t="shared" si="104"/>
        <v>0</v>
      </c>
      <c r="Y108" s="71">
        <f t="shared" si="104"/>
        <v>1</v>
      </c>
      <c r="AB108" s="100">
        <f t="shared" si="105"/>
        <v>5.8823529411764705E-2</v>
      </c>
      <c r="AC108" s="103">
        <f t="shared" si="105"/>
        <v>0</v>
      </c>
      <c r="AD108" s="103">
        <f t="shared" si="105"/>
        <v>0</v>
      </c>
      <c r="AE108" s="103">
        <f t="shared" si="105"/>
        <v>0</v>
      </c>
      <c r="AF108" s="103">
        <f t="shared" si="105"/>
        <v>0</v>
      </c>
      <c r="AG108" s="104">
        <f t="shared" si="105"/>
        <v>2.0833333333333332E-2</v>
      </c>
      <c r="AI108" s="100" t="str">
        <f t="shared" si="96"/>
        <v>1 (6%)</v>
      </c>
      <c r="AJ108" s="103" t="str">
        <f t="shared" si="97"/>
        <v>0 (0%)</v>
      </c>
      <c r="AK108" s="103" t="str">
        <f t="shared" si="98"/>
        <v>0 (0%)</v>
      </c>
      <c r="AL108" s="103" t="str">
        <f t="shared" si="99"/>
        <v>0 (0%)</v>
      </c>
      <c r="AM108" s="103" t="str">
        <f t="shared" si="100"/>
        <v>0 (0%)</v>
      </c>
      <c r="AN108" s="104" t="str">
        <f t="shared" si="101"/>
        <v>1 (2%)</v>
      </c>
      <c r="AO108" s="104"/>
      <c r="AP108" s="122" t="s">
        <v>242</v>
      </c>
      <c r="AQ108" s="123" t="str">
        <f t="shared" si="106"/>
        <v>[0T1, 0T2, 1T3] 1 (6%)</v>
      </c>
      <c r="AR108" s="123" t="str">
        <f t="shared" si="107"/>
        <v>[0T1, 0T2, 0T3] 0 (0%)</v>
      </c>
      <c r="AS108" s="123" t="str">
        <f t="shared" si="108"/>
        <v>[0T1, 0T2, 0T3] 0 (0%)</v>
      </c>
      <c r="AT108" s="123" t="str">
        <f t="shared" si="109"/>
        <v>[0T1, 0T2, 0T3] 0 (0%)</v>
      </c>
      <c r="AU108" s="123" t="str">
        <f t="shared" si="110"/>
        <v>[0T1, 0T2, 0T3] 0 (0%)</v>
      </c>
      <c r="AV108" s="124" t="str">
        <f t="shared" si="111"/>
        <v>[0T1, 0T2, 1T3] 1 (2%)</v>
      </c>
    </row>
    <row r="109" spans="1:48" x14ac:dyDescent="0.25">
      <c r="A109" s="112" t="s">
        <v>177</v>
      </c>
      <c r="B109" s="70">
        <f t="shared" si="103"/>
        <v>1</v>
      </c>
      <c r="C109" s="3">
        <f t="shared" si="103"/>
        <v>1</v>
      </c>
      <c r="D109" s="3">
        <f t="shared" si="103"/>
        <v>0</v>
      </c>
      <c r="E109" s="3">
        <f t="shared" si="103"/>
        <v>2</v>
      </c>
      <c r="F109" s="3">
        <f t="shared" si="103"/>
        <v>0</v>
      </c>
      <c r="G109" s="71">
        <f t="shared" si="103"/>
        <v>4</v>
      </c>
      <c r="H109" s="70">
        <f t="shared" si="103"/>
        <v>1</v>
      </c>
      <c r="I109" s="3">
        <f t="shared" si="103"/>
        <v>0</v>
      </c>
      <c r="J109" s="3">
        <f t="shared" si="103"/>
        <v>0</v>
      </c>
      <c r="K109" s="3">
        <f t="shared" si="103"/>
        <v>0</v>
      </c>
      <c r="L109" s="3">
        <f t="shared" si="104"/>
        <v>1</v>
      </c>
      <c r="M109" s="71">
        <f t="shared" si="104"/>
        <v>2</v>
      </c>
      <c r="N109" s="70">
        <f t="shared" si="104"/>
        <v>0</v>
      </c>
      <c r="O109" s="3">
        <f t="shared" si="104"/>
        <v>0</v>
      </c>
      <c r="P109" s="3">
        <f t="shared" si="104"/>
        <v>0</v>
      </c>
      <c r="Q109" s="3">
        <f t="shared" si="104"/>
        <v>0</v>
      </c>
      <c r="R109" s="3">
        <f t="shared" si="104"/>
        <v>0</v>
      </c>
      <c r="S109" s="71">
        <f t="shared" si="104"/>
        <v>0</v>
      </c>
      <c r="T109" s="70">
        <f t="shared" si="104"/>
        <v>5</v>
      </c>
      <c r="U109" s="3">
        <f t="shared" si="104"/>
        <v>3</v>
      </c>
      <c r="V109" s="3">
        <f t="shared" si="104"/>
        <v>0</v>
      </c>
      <c r="W109" s="3">
        <f t="shared" si="104"/>
        <v>6</v>
      </c>
      <c r="X109" s="3">
        <f t="shared" si="104"/>
        <v>2</v>
      </c>
      <c r="Y109" s="71">
        <f t="shared" si="104"/>
        <v>16</v>
      </c>
      <c r="AB109" s="100">
        <f t="shared" si="105"/>
        <v>0.29411764705882354</v>
      </c>
      <c r="AC109" s="103">
        <f t="shared" si="105"/>
        <v>0.42857142857142855</v>
      </c>
      <c r="AD109" s="103">
        <f t="shared" si="105"/>
        <v>0</v>
      </c>
      <c r="AE109" s="103">
        <f t="shared" si="105"/>
        <v>0.31578947368421051</v>
      </c>
      <c r="AF109" s="103">
        <f t="shared" si="105"/>
        <v>0.2857142857142857</v>
      </c>
      <c r="AG109" s="104">
        <f t="shared" si="105"/>
        <v>0.33333333333333331</v>
      </c>
      <c r="AI109" s="100" t="str">
        <f t="shared" si="96"/>
        <v>5 (29%)</v>
      </c>
      <c r="AJ109" s="103" t="str">
        <f t="shared" si="97"/>
        <v>3 (43%)</v>
      </c>
      <c r="AK109" s="103" t="str">
        <f t="shared" si="98"/>
        <v>0 (0%)</v>
      </c>
      <c r="AL109" s="103" t="str">
        <f t="shared" si="99"/>
        <v>6 (32%)</v>
      </c>
      <c r="AM109" s="103" t="str">
        <f t="shared" si="100"/>
        <v>2 (29%)</v>
      </c>
      <c r="AN109" s="104" t="str">
        <f t="shared" si="101"/>
        <v>16 (33%)</v>
      </c>
      <c r="AO109" s="104"/>
      <c r="AP109" s="122" t="s">
        <v>177</v>
      </c>
      <c r="AQ109" s="123" t="str">
        <f t="shared" si="106"/>
        <v>[1T1, 1T2, 0T3] 5 (29%)</v>
      </c>
      <c r="AR109" s="123" t="str">
        <f t="shared" si="107"/>
        <v>[1T1, 0T2, 0T3] 3 (43%)</v>
      </c>
      <c r="AS109" s="123" t="str">
        <f t="shared" si="108"/>
        <v>[0T1, 0T2, 0T3] 0 (0%)</v>
      </c>
      <c r="AT109" s="123" t="str">
        <f t="shared" si="109"/>
        <v>[2T1, 0T2, 0T3] 6 (32%)</v>
      </c>
      <c r="AU109" s="123" t="str">
        <f t="shared" si="110"/>
        <v>[0T1, 1T2, 0T3] 2 (29%)</v>
      </c>
      <c r="AV109" s="124" t="str">
        <f t="shared" si="111"/>
        <v>[4T1, 2T2, 0T3] 16 (33%)</v>
      </c>
    </row>
    <row r="110" spans="1:48" x14ac:dyDescent="0.25">
      <c r="A110" s="113" t="s">
        <v>799</v>
      </c>
      <c r="B110" s="96">
        <f t="shared" ref="B110:Y110" si="112">INDEX(B$73:B$78,MATCH($A110,$A$73:$A$78,0))</f>
        <v>5</v>
      </c>
      <c r="C110" s="97">
        <f t="shared" si="112"/>
        <v>0</v>
      </c>
      <c r="D110" s="97">
        <f t="shared" si="112"/>
        <v>0</v>
      </c>
      <c r="E110" s="97">
        <f t="shared" si="112"/>
        <v>1</v>
      </c>
      <c r="F110" s="97">
        <f t="shared" si="112"/>
        <v>3</v>
      </c>
      <c r="G110" s="98">
        <f t="shared" si="112"/>
        <v>9</v>
      </c>
      <c r="H110" s="96">
        <f t="shared" si="112"/>
        <v>2</v>
      </c>
      <c r="I110" s="97">
        <f t="shared" si="112"/>
        <v>2</v>
      </c>
      <c r="J110" s="97">
        <f t="shared" si="112"/>
        <v>3</v>
      </c>
      <c r="K110" s="97">
        <f t="shared" si="112"/>
        <v>0</v>
      </c>
      <c r="L110" s="97">
        <f t="shared" si="112"/>
        <v>1</v>
      </c>
      <c r="M110" s="98">
        <f t="shared" si="112"/>
        <v>8</v>
      </c>
      <c r="N110" s="96">
        <f t="shared" si="112"/>
        <v>0</v>
      </c>
      <c r="O110" s="97">
        <f t="shared" si="112"/>
        <v>1</v>
      </c>
      <c r="P110" s="97">
        <f t="shared" si="112"/>
        <v>0</v>
      </c>
      <c r="Q110" s="97">
        <f t="shared" si="112"/>
        <v>2</v>
      </c>
      <c r="R110" s="97">
        <f t="shared" si="112"/>
        <v>2</v>
      </c>
      <c r="S110" s="98">
        <f t="shared" si="112"/>
        <v>5</v>
      </c>
      <c r="T110" s="96">
        <f t="shared" si="112"/>
        <v>19</v>
      </c>
      <c r="U110" s="97">
        <f t="shared" si="112"/>
        <v>5</v>
      </c>
      <c r="V110" s="97">
        <f t="shared" si="112"/>
        <v>6</v>
      </c>
      <c r="W110" s="97">
        <f t="shared" si="112"/>
        <v>5</v>
      </c>
      <c r="X110" s="97">
        <f t="shared" si="112"/>
        <v>13</v>
      </c>
      <c r="Y110" s="98">
        <f t="shared" si="112"/>
        <v>48</v>
      </c>
      <c r="AB110" s="99">
        <f t="shared" ref="AB110:AG110" si="113">INDEX(AB$73:AB$78,MATCH($A110,$A$73:$A$78,0))</f>
        <v>0.73076923076923073</v>
      </c>
      <c r="AC110" s="99">
        <f t="shared" si="113"/>
        <v>0.26315789473684209</v>
      </c>
      <c r="AD110" s="99">
        <f t="shared" si="113"/>
        <v>0.2608695652173913</v>
      </c>
      <c r="AE110" s="99">
        <f t="shared" si="113"/>
        <v>0.11904761904761904</v>
      </c>
      <c r="AF110" s="99">
        <f t="shared" si="113"/>
        <v>1</v>
      </c>
      <c r="AG110" s="99">
        <f t="shared" si="113"/>
        <v>0.42105263157894735</v>
      </c>
      <c r="AI110" s="99" t="str">
        <f t="shared" si="96"/>
        <v>19 (73%)</v>
      </c>
      <c r="AJ110" s="101" t="str">
        <f t="shared" si="97"/>
        <v>5 (26%)</v>
      </c>
      <c r="AK110" s="101" t="str">
        <f t="shared" si="98"/>
        <v>6 (26%)</v>
      </c>
      <c r="AL110" s="101" t="str">
        <f t="shared" si="99"/>
        <v>5 (12%)</v>
      </c>
      <c r="AM110" s="101" t="str">
        <f t="shared" si="100"/>
        <v>13 (100%)</v>
      </c>
      <c r="AN110" s="102" t="str">
        <f t="shared" si="101"/>
        <v>48 (42%)</v>
      </c>
      <c r="AO110" s="102"/>
      <c r="AP110" s="119" t="s">
        <v>799</v>
      </c>
      <c r="AQ110" s="120" t="str">
        <f t="shared" si="106"/>
        <v>[5T1, 2T2, 0T3] 19 (73%)</v>
      </c>
      <c r="AR110" s="120" t="str">
        <f t="shared" si="107"/>
        <v>[0T1, 2T2, 1T3] 5 (26%)</v>
      </c>
      <c r="AS110" s="120" t="str">
        <f t="shared" si="108"/>
        <v>[0T1, 3T2, 0T3] 6 (26%)</v>
      </c>
      <c r="AT110" s="120" t="str">
        <f t="shared" si="109"/>
        <v>[1T1, 0T2, 2T3] 5 (12%)</v>
      </c>
      <c r="AU110" s="120" t="str">
        <f t="shared" si="110"/>
        <v>[3T1, 1T2, 2T3] 13 (100%)</v>
      </c>
      <c r="AV110" s="121" t="str">
        <f t="shared" si="111"/>
        <v>[9T1, 8T2, 5T3] 48 (42%)</v>
      </c>
    </row>
    <row r="111" spans="1:48" x14ac:dyDescent="0.25">
      <c r="A111" s="112" t="s">
        <v>536</v>
      </c>
      <c r="B111" s="70">
        <f t="shared" ref="B111:K113" si="114">INDEX(B$5:B$42,MATCH($A111,$A$5:$A$42,0))</f>
        <v>0</v>
      </c>
      <c r="C111" s="3">
        <f t="shared" si="114"/>
        <v>0</v>
      </c>
      <c r="D111" s="3">
        <f t="shared" si="114"/>
        <v>0</v>
      </c>
      <c r="E111" s="3">
        <f t="shared" si="114"/>
        <v>0</v>
      </c>
      <c r="F111" s="3">
        <f t="shared" si="114"/>
        <v>2</v>
      </c>
      <c r="G111" s="71">
        <f t="shared" si="114"/>
        <v>2</v>
      </c>
      <c r="H111" s="70">
        <f t="shared" si="114"/>
        <v>1</v>
      </c>
      <c r="I111" s="3">
        <f t="shared" si="114"/>
        <v>0</v>
      </c>
      <c r="J111" s="3">
        <f t="shared" si="114"/>
        <v>1</v>
      </c>
      <c r="K111" s="3">
        <f t="shared" si="114"/>
        <v>0</v>
      </c>
      <c r="L111" s="3">
        <f t="shared" ref="L111:Y113" si="115">INDEX(L$5:L$42,MATCH($A111,$A$5:$A$42,0))</f>
        <v>0</v>
      </c>
      <c r="M111" s="71">
        <f t="shared" si="115"/>
        <v>2</v>
      </c>
      <c r="N111" s="70">
        <f t="shared" si="115"/>
        <v>0</v>
      </c>
      <c r="O111" s="3">
        <f t="shared" si="115"/>
        <v>0</v>
      </c>
      <c r="P111" s="3">
        <f t="shared" si="115"/>
        <v>0</v>
      </c>
      <c r="Q111" s="3">
        <f t="shared" si="115"/>
        <v>0</v>
      </c>
      <c r="R111" s="3">
        <f t="shared" si="115"/>
        <v>1</v>
      </c>
      <c r="S111" s="71">
        <f t="shared" si="115"/>
        <v>1</v>
      </c>
      <c r="T111" s="70">
        <f t="shared" si="115"/>
        <v>2</v>
      </c>
      <c r="U111" s="3">
        <f t="shared" si="115"/>
        <v>0</v>
      </c>
      <c r="V111" s="3">
        <f t="shared" si="115"/>
        <v>2</v>
      </c>
      <c r="W111" s="3">
        <f t="shared" si="115"/>
        <v>0</v>
      </c>
      <c r="X111" s="3">
        <f t="shared" si="115"/>
        <v>7</v>
      </c>
      <c r="Y111" s="71">
        <f t="shared" si="115"/>
        <v>11</v>
      </c>
      <c r="AB111" s="100">
        <f>INDEX(AB$5:AB$42,MATCH($A111,$A$5:$A$42,0))</f>
        <v>0.11764705882352941</v>
      </c>
      <c r="AC111" s="103">
        <f t="shared" ref="AC111:AG113" si="116">INDEX(AC$5:AC$42,MATCH($A111,$A$5:$A$42,0))</f>
        <v>0</v>
      </c>
      <c r="AD111" s="103">
        <f t="shared" si="116"/>
        <v>0.22222222222222221</v>
      </c>
      <c r="AE111" s="103">
        <f t="shared" si="116"/>
        <v>0</v>
      </c>
      <c r="AF111" s="103">
        <f t="shared" si="116"/>
        <v>1</v>
      </c>
      <c r="AG111" s="104">
        <f t="shared" si="116"/>
        <v>0.22916666666666666</v>
      </c>
      <c r="AI111" s="100" t="str">
        <f t="shared" si="96"/>
        <v>2 (12%)</v>
      </c>
      <c r="AJ111" s="103" t="str">
        <f t="shared" si="97"/>
        <v>0 (0%)</v>
      </c>
      <c r="AK111" s="103" t="str">
        <f t="shared" si="98"/>
        <v>2 (22%)</v>
      </c>
      <c r="AL111" s="103" t="str">
        <f t="shared" si="99"/>
        <v>0 (0%)</v>
      </c>
      <c r="AM111" s="103" t="str">
        <f t="shared" si="100"/>
        <v>7 (100%)</v>
      </c>
      <c r="AN111" s="104" t="str">
        <f t="shared" si="101"/>
        <v>11 (23%)</v>
      </c>
      <c r="AO111" s="104"/>
      <c r="AP111" s="122" t="s">
        <v>536</v>
      </c>
      <c r="AQ111" s="123" t="str">
        <f t="shared" si="106"/>
        <v>[0T1, 1T2, 0T3] 2 (12%)</v>
      </c>
      <c r="AR111" s="123" t="str">
        <f t="shared" si="107"/>
        <v>[0T1, 0T2, 0T3] 0 (0%)</v>
      </c>
      <c r="AS111" s="123" t="str">
        <f t="shared" si="108"/>
        <v>[0T1, 1T2, 0T3] 2 (22%)</v>
      </c>
      <c r="AT111" s="123" t="str">
        <f t="shared" si="109"/>
        <v>[0T1, 0T2, 0T3] 0 (0%)</v>
      </c>
      <c r="AU111" s="123" t="str">
        <f t="shared" si="110"/>
        <v>[2T1, 0T2, 1T3] 7 (100%)</v>
      </c>
      <c r="AV111" s="124" t="str">
        <f t="shared" si="111"/>
        <v>[2T1, 2T2, 1T3] 11 (23%)</v>
      </c>
    </row>
    <row r="112" spans="1:48" x14ac:dyDescent="0.25">
      <c r="A112" s="112" t="s">
        <v>156</v>
      </c>
      <c r="B112" s="70">
        <f t="shared" si="114"/>
        <v>5</v>
      </c>
      <c r="C112" s="3">
        <f t="shared" si="114"/>
        <v>0</v>
      </c>
      <c r="D112" s="3">
        <f t="shared" si="114"/>
        <v>0</v>
      </c>
      <c r="E112" s="3">
        <f t="shared" si="114"/>
        <v>1</v>
      </c>
      <c r="F112" s="3">
        <f t="shared" si="114"/>
        <v>1</v>
      </c>
      <c r="G112" s="71">
        <f t="shared" si="114"/>
        <v>7</v>
      </c>
      <c r="H112" s="70">
        <f t="shared" si="114"/>
        <v>1</v>
      </c>
      <c r="I112" s="3">
        <f t="shared" si="114"/>
        <v>2</v>
      </c>
      <c r="J112" s="3">
        <f t="shared" si="114"/>
        <v>2</v>
      </c>
      <c r="K112" s="3">
        <f t="shared" si="114"/>
        <v>0</v>
      </c>
      <c r="L112" s="3">
        <f t="shared" si="115"/>
        <v>0</v>
      </c>
      <c r="M112" s="71">
        <f t="shared" si="115"/>
        <v>5</v>
      </c>
      <c r="N112" s="70">
        <f t="shared" si="115"/>
        <v>0</v>
      </c>
      <c r="O112" s="3">
        <f t="shared" si="115"/>
        <v>1</v>
      </c>
      <c r="P112" s="3">
        <f t="shared" si="115"/>
        <v>0</v>
      </c>
      <c r="Q112" s="3">
        <f t="shared" si="115"/>
        <v>2</v>
      </c>
      <c r="R112" s="3">
        <f t="shared" si="115"/>
        <v>1</v>
      </c>
      <c r="S112" s="71">
        <f t="shared" si="115"/>
        <v>4</v>
      </c>
      <c r="T112" s="70">
        <f t="shared" si="115"/>
        <v>17</v>
      </c>
      <c r="U112" s="3">
        <f t="shared" si="115"/>
        <v>5</v>
      </c>
      <c r="V112" s="3">
        <f t="shared" si="115"/>
        <v>4</v>
      </c>
      <c r="W112" s="3">
        <f t="shared" si="115"/>
        <v>5</v>
      </c>
      <c r="X112" s="3">
        <f t="shared" si="115"/>
        <v>4</v>
      </c>
      <c r="Y112" s="71">
        <f t="shared" si="115"/>
        <v>35</v>
      </c>
      <c r="AB112" s="100">
        <f t="shared" ref="AB112:AB113" si="117">INDEX(AB$5:AB$42,MATCH($A112,$A$5:$A$42,0))</f>
        <v>1</v>
      </c>
      <c r="AC112" s="103">
        <f t="shared" si="116"/>
        <v>0.7142857142857143</v>
      </c>
      <c r="AD112" s="103">
        <f t="shared" si="116"/>
        <v>0.44444444444444442</v>
      </c>
      <c r="AE112" s="103">
        <f t="shared" si="116"/>
        <v>0.26315789473684209</v>
      </c>
      <c r="AF112" s="103">
        <f t="shared" si="116"/>
        <v>0.5714285714285714</v>
      </c>
      <c r="AG112" s="104">
        <f t="shared" si="116"/>
        <v>0.72916666666666663</v>
      </c>
      <c r="AI112" s="100" t="str">
        <f t="shared" si="96"/>
        <v>17 (100%)</v>
      </c>
      <c r="AJ112" s="103" t="str">
        <f t="shared" si="97"/>
        <v>5 (71%)</v>
      </c>
      <c r="AK112" s="103" t="str">
        <f t="shared" si="98"/>
        <v>4 (44%)</v>
      </c>
      <c r="AL112" s="103" t="str">
        <f t="shared" si="99"/>
        <v>5 (26%)</v>
      </c>
      <c r="AM112" s="103" t="str">
        <f t="shared" si="100"/>
        <v>4 (57%)</v>
      </c>
      <c r="AN112" s="104" t="str">
        <f t="shared" si="101"/>
        <v>35 (73%)</v>
      </c>
      <c r="AO112" s="104"/>
      <c r="AP112" s="122" t="s">
        <v>156</v>
      </c>
      <c r="AQ112" s="123" t="str">
        <f t="shared" si="106"/>
        <v>[5T1, 1T2, 0T3] 17 (100%)</v>
      </c>
      <c r="AR112" s="123" t="str">
        <f t="shared" si="107"/>
        <v>[0T1, 2T2, 1T3] 5 (71%)</v>
      </c>
      <c r="AS112" s="123" t="str">
        <f t="shared" si="108"/>
        <v>[0T1, 2T2, 0T3] 4 (44%)</v>
      </c>
      <c r="AT112" s="123" t="str">
        <f t="shared" si="109"/>
        <v>[1T1, 0T2, 2T3] 5 (26%)</v>
      </c>
      <c r="AU112" s="123" t="str">
        <f t="shared" si="110"/>
        <v>[1T1, 0T2, 1T3] 4 (57%)</v>
      </c>
      <c r="AV112" s="124" t="str">
        <f t="shared" si="111"/>
        <v>[7T1, 5T2, 4T3] 35 (73%)</v>
      </c>
    </row>
    <row r="113" spans="1:48" x14ac:dyDescent="0.25">
      <c r="A113" s="112" t="s">
        <v>215</v>
      </c>
      <c r="B113" s="70">
        <f t="shared" si="114"/>
        <v>0</v>
      </c>
      <c r="C113" s="3">
        <f t="shared" si="114"/>
        <v>0</v>
      </c>
      <c r="D113" s="3">
        <f t="shared" si="114"/>
        <v>0</v>
      </c>
      <c r="E113" s="3">
        <f t="shared" si="114"/>
        <v>0</v>
      </c>
      <c r="F113" s="3">
        <f t="shared" si="114"/>
        <v>0</v>
      </c>
      <c r="G113" s="71">
        <f t="shared" si="114"/>
        <v>0</v>
      </c>
      <c r="H113" s="70">
        <f t="shared" si="114"/>
        <v>0</v>
      </c>
      <c r="I113" s="3">
        <f t="shared" si="114"/>
        <v>0</v>
      </c>
      <c r="J113" s="3">
        <f t="shared" si="114"/>
        <v>0</v>
      </c>
      <c r="K113" s="3">
        <f t="shared" si="114"/>
        <v>0</v>
      </c>
      <c r="L113" s="3">
        <f t="shared" si="115"/>
        <v>1</v>
      </c>
      <c r="M113" s="71">
        <f t="shared" si="115"/>
        <v>1</v>
      </c>
      <c r="N113" s="70">
        <f t="shared" si="115"/>
        <v>0</v>
      </c>
      <c r="O113" s="3">
        <f t="shared" si="115"/>
        <v>0</v>
      </c>
      <c r="P113" s="3">
        <f t="shared" si="115"/>
        <v>0</v>
      </c>
      <c r="Q113" s="3">
        <f t="shared" si="115"/>
        <v>0</v>
      </c>
      <c r="R113" s="3">
        <f t="shared" si="115"/>
        <v>0</v>
      </c>
      <c r="S113" s="71">
        <f t="shared" si="115"/>
        <v>0</v>
      </c>
      <c r="T113" s="70">
        <f t="shared" si="115"/>
        <v>0</v>
      </c>
      <c r="U113" s="3">
        <f t="shared" si="115"/>
        <v>0</v>
      </c>
      <c r="V113" s="3">
        <f t="shared" si="115"/>
        <v>0</v>
      </c>
      <c r="W113" s="3">
        <f t="shared" si="115"/>
        <v>0</v>
      </c>
      <c r="X113" s="3">
        <f t="shared" si="115"/>
        <v>2</v>
      </c>
      <c r="Y113" s="71">
        <f t="shared" si="115"/>
        <v>2</v>
      </c>
      <c r="AB113" s="100">
        <f t="shared" si="117"/>
        <v>0</v>
      </c>
      <c r="AC113" s="103">
        <f t="shared" si="116"/>
        <v>0</v>
      </c>
      <c r="AD113" s="103">
        <f t="shared" si="116"/>
        <v>0</v>
      </c>
      <c r="AE113" s="103">
        <f t="shared" si="116"/>
        <v>0</v>
      </c>
      <c r="AF113" s="103">
        <f t="shared" si="116"/>
        <v>0.2857142857142857</v>
      </c>
      <c r="AG113" s="104">
        <f t="shared" si="116"/>
        <v>4.1666666666666664E-2</v>
      </c>
      <c r="AI113" s="100" t="str">
        <f t="shared" si="96"/>
        <v>0 (0%)</v>
      </c>
      <c r="AJ113" s="103" t="str">
        <f t="shared" si="97"/>
        <v>0 (0%)</v>
      </c>
      <c r="AK113" s="103" t="str">
        <f t="shared" si="98"/>
        <v>0 (0%)</v>
      </c>
      <c r="AL113" s="103" t="str">
        <f t="shared" si="99"/>
        <v>0 (0%)</v>
      </c>
      <c r="AM113" s="103" t="str">
        <f t="shared" si="100"/>
        <v>2 (29%)</v>
      </c>
      <c r="AN113" s="104" t="str">
        <f t="shared" si="101"/>
        <v>2 (4%)</v>
      </c>
      <c r="AO113" s="104"/>
      <c r="AP113" s="122" t="s">
        <v>215</v>
      </c>
      <c r="AQ113" s="123" t="str">
        <f t="shared" si="106"/>
        <v>[0T1, 0T2, 0T3] 0 (0%)</v>
      </c>
      <c r="AR113" s="123" t="str">
        <f t="shared" si="107"/>
        <v>[0T1, 0T2, 0T3] 0 (0%)</v>
      </c>
      <c r="AS113" s="123" t="str">
        <f t="shared" si="108"/>
        <v>[0T1, 0T2, 0T3] 0 (0%)</v>
      </c>
      <c r="AT113" s="123" t="str">
        <f t="shared" si="109"/>
        <v>[0T1, 0T2, 0T3] 0 (0%)</v>
      </c>
      <c r="AU113" s="123" t="str">
        <f t="shared" si="110"/>
        <v>[0T1, 1T2, 0T3] 2 (29%)</v>
      </c>
      <c r="AV113" s="124" t="str">
        <f t="shared" si="111"/>
        <v>[0T1, 1T2, 0T3] 2 (4%)</v>
      </c>
    </row>
    <row r="114" spans="1:48" x14ac:dyDescent="0.25">
      <c r="A114" s="113" t="s">
        <v>800</v>
      </c>
      <c r="B114" s="96">
        <f t="shared" ref="B114:Y114" si="118">INDEX(B$73:B$78,MATCH($A114,$A$73:$A$78,0))</f>
        <v>1</v>
      </c>
      <c r="C114" s="97">
        <f t="shared" si="118"/>
        <v>0</v>
      </c>
      <c r="D114" s="97">
        <f t="shared" si="118"/>
        <v>0</v>
      </c>
      <c r="E114" s="97">
        <f t="shared" si="118"/>
        <v>1</v>
      </c>
      <c r="F114" s="97">
        <f t="shared" si="118"/>
        <v>0</v>
      </c>
      <c r="G114" s="98">
        <f t="shared" si="118"/>
        <v>2</v>
      </c>
      <c r="H114" s="96">
        <f t="shared" si="118"/>
        <v>2</v>
      </c>
      <c r="I114" s="97">
        <f t="shared" si="118"/>
        <v>0</v>
      </c>
      <c r="J114" s="97">
        <f t="shared" si="118"/>
        <v>0</v>
      </c>
      <c r="K114" s="97">
        <f t="shared" si="118"/>
        <v>2</v>
      </c>
      <c r="L114" s="97">
        <f t="shared" si="118"/>
        <v>0</v>
      </c>
      <c r="M114" s="98">
        <f t="shared" si="118"/>
        <v>4</v>
      </c>
      <c r="N114" s="96">
        <f t="shared" si="118"/>
        <v>1</v>
      </c>
      <c r="O114" s="97">
        <f t="shared" si="118"/>
        <v>2</v>
      </c>
      <c r="P114" s="97">
        <f t="shared" si="118"/>
        <v>2</v>
      </c>
      <c r="Q114" s="97">
        <f t="shared" si="118"/>
        <v>2</v>
      </c>
      <c r="R114" s="97">
        <f t="shared" si="118"/>
        <v>1</v>
      </c>
      <c r="S114" s="98">
        <f t="shared" si="118"/>
        <v>8</v>
      </c>
      <c r="T114" s="96">
        <f t="shared" si="118"/>
        <v>8</v>
      </c>
      <c r="U114" s="97">
        <f t="shared" si="118"/>
        <v>2</v>
      </c>
      <c r="V114" s="97">
        <f t="shared" si="118"/>
        <v>2</v>
      </c>
      <c r="W114" s="97">
        <f t="shared" si="118"/>
        <v>9</v>
      </c>
      <c r="X114" s="97">
        <f t="shared" si="118"/>
        <v>1</v>
      </c>
      <c r="Y114" s="98">
        <f t="shared" si="118"/>
        <v>22</v>
      </c>
      <c r="AB114" s="99">
        <f t="shared" ref="AB114:AG114" si="119">INDEX(AB$73:AB$78,MATCH($A114,$A$73:$A$78,0))</f>
        <v>0.30769230769230771</v>
      </c>
      <c r="AC114" s="99">
        <f t="shared" si="119"/>
        <v>0.10526315789473684</v>
      </c>
      <c r="AD114" s="99">
        <f t="shared" si="119"/>
        <v>8.6956521739130432E-2</v>
      </c>
      <c r="AE114" s="99">
        <f t="shared" si="119"/>
        <v>0.21428571428571427</v>
      </c>
      <c r="AF114" s="99">
        <f t="shared" si="119"/>
        <v>7.6923076923076927E-2</v>
      </c>
      <c r="AG114" s="99">
        <f t="shared" si="119"/>
        <v>0.19298245614035087</v>
      </c>
      <c r="AI114" s="99" t="str">
        <f t="shared" si="96"/>
        <v>8 (31%)</v>
      </c>
      <c r="AJ114" s="101" t="str">
        <f t="shared" si="97"/>
        <v>2 (11%)</v>
      </c>
      <c r="AK114" s="101" t="str">
        <f t="shared" si="98"/>
        <v>2 (9%)</v>
      </c>
      <c r="AL114" s="101" t="str">
        <f t="shared" si="99"/>
        <v>9 (21%)</v>
      </c>
      <c r="AM114" s="101" t="str">
        <f t="shared" si="100"/>
        <v>1 (8%)</v>
      </c>
      <c r="AN114" s="102" t="str">
        <f t="shared" si="101"/>
        <v>22 (19%)</v>
      </c>
      <c r="AO114" s="102"/>
      <c r="AP114" s="119" t="s">
        <v>800</v>
      </c>
      <c r="AQ114" s="120" t="str">
        <f t="shared" si="106"/>
        <v>[1T1, 2T2, 1T3] 8 (31%)</v>
      </c>
      <c r="AR114" s="120" t="str">
        <f t="shared" si="107"/>
        <v>[0T1, 0T2, 2T3] 2 (11%)</v>
      </c>
      <c r="AS114" s="120" t="str">
        <f t="shared" si="108"/>
        <v>[0T1, 0T2, 2T3] 2 (9%)</v>
      </c>
      <c r="AT114" s="120" t="str">
        <f t="shared" si="109"/>
        <v>[1T1, 2T2, 2T3] 9 (21%)</v>
      </c>
      <c r="AU114" s="120" t="str">
        <f t="shared" si="110"/>
        <v>[0T1, 0T2, 1T3] 1 (8%)</v>
      </c>
      <c r="AV114" s="121" t="str">
        <f t="shared" si="111"/>
        <v>[2T1, 4T2, 8T3] 22 (19%)</v>
      </c>
    </row>
    <row r="115" spans="1:48" s="138" customFormat="1" x14ac:dyDescent="0.25">
      <c r="A115" s="134" t="s">
        <v>327</v>
      </c>
      <c r="B115" s="135">
        <f t="shared" ref="B115:K119" si="120">INDEX(B$5:B$42,MATCH($A115,$A$5:$A$42,0))</f>
        <v>0</v>
      </c>
      <c r="C115" s="136">
        <f t="shared" si="120"/>
        <v>0</v>
      </c>
      <c r="D115" s="136">
        <f t="shared" si="120"/>
        <v>0</v>
      </c>
      <c r="E115" s="136">
        <f t="shared" si="120"/>
        <v>0</v>
      </c>
      <c r="F115" s="136">
        <f t="shared" si="120"/>
        <v>0</v>
      </c>
      <c r="G115" s="137">
        <f t="shared" si="120"/>
        <v>0</v>
      </c>
      <c r="H115" s="135">
        <f t="shared" si="120"/>
        <v>0</v>
      </c>
      <c r="I115" s="136">
        <f t="shared" si="120"/>
        <v>0</v>
      </c>
      <c r="J115" s="136">
        <f t="shared" si="120"/>
        <v>0</v>
      </c>
      <c r="K115" s="136">
        <f t="shared" si="120"/>
        <v>0</v>
      </c>
      <c r="L115" s="136">
        <f t="shared" ref="L115:Y119" si="121">INDEX(L$5:L$42,MATCH($A115,$A$5:$A$42,0))</f>
        <v>0</v>
      </c>
      <c r="M115" s="137">
        <f t="shared" si="121"/>
        <v>0</v>
      </c>
      <c r="N115" s="135">
        <f t="shared" si="121"/>
        <v>0</v>
      </c>
      <c r="O115" s="136">
        <f t="shared" si="121"/>
        <v>0</v>
      </c>
      <c r="P115" s="136">
        <f t="shared" si="121"/>
        <v>0</v>
      </c>
      <c r="Q115" s="136">
        <f t="shared" si="121"/>
        <v>0</v>
      </c>
      <c r="R115" s="136">
        <f t="shared" si="121"/>
        <v>0</v>
      </c>
      <c r="S115" s="137">
        <f t="shared" si="121"/>
        <v>0</v>
      </c>
      <c r="T115" s="135">
        <f t="shared" si="121"/>
        <v>0</v>
      </c>
      <c r="U115" s="136">
        <f t="shared" si="121"/>
        <v>0</v>
      </c>
      <c r="V115" s="136">
        <f t="shared" si="121"/>
        <v>0</v>
      </c>
      <c r="W115" s="136">
        <f t="shared" si="121"/>
        <v>0</v>
      </c>
      <c r="X115" s="136">
        <f t="shared" si="121"/>
        <v>0</v>
      </c>
      <c r="Y115" s="137">
        <f t="shared" si="121"/>
        <v>0</v>
      </c>
      <c r="AB115" s="139">
        <f t="shared" ref="AB115:AG119" si="122">INDEX(AB$5:AB$42,MATCH($A115,$A$5:$A$42,0))</f>
        <v>0</v>
      </c>
      <c r="AC115" s="140">
        <f t="shared" si="122"/>
        <v>0</v>
      </c>
      <c r="AD115" s="140">
        <f t="shared" si="122"/>
        <v>0</v>
      </c>
      <c r="AE115" s="140">
        <f t="shared" si="122"/>
        <v>0</v>
      </c>
      <c r="AF115" s="140">
        <f t="shared" si="122"/>
        <v>0</v>
      </c>
      <c r="AG115" s="141">
        <f t="shared" si="122"/>
        <v>0</v>
      </c>
      <c r="AI115" s="139" t="str">
        <f t="shared" si="96"/>
        <v>0 (0%)</v>
      </c>
      <c r="AJ115" s="140" t="str">
        <f t="shared" si="97"/>
        <v>0 (0%)</v>
      </c>
      <c r="AK115" s="140" t="str">
        <f t="shared" si="98"/>
        <v>0 (0%)</v>
      </c>
      <c r="AL115" s="140" t="str">
        <f t="shared" si="99"/>
        <v>0 (0%)</v>
      </c>
      <c r="AM115" s="140" t="str">
        <f t="shared" si="100"/>
        <v>0 (0%)</v>
      </c>
      <c r="AN115" s="141" t="str">
        <f t="shared" si="101"/>
        <v>0 (0%)</v>
      </c>
      <c r="AO115" s="141"/>
      <c r="AP115" s="142" t="s">
        <v>327</v>
      </c>
      <c r="AQ115" s="143" t="str">
        <f t="shared" si="106"/>
        <v>[0T1, 0T2, 0T3] 0 (0%)</v>
      </c>
      <c r="AR115" s="143" t="str">
        <f t="shared" si="107"/>
        <v>[0T1, 0T2, 0T3] 0 (0%)</v>
      </c>
      <c r="AS115" s="143" t="str">
        <f t="shared" si="108"/>
        <v>[0T1, 0T2, 0T3] 0 (0%)</v>
      </c>
      <c r="AT115" s="143" t="str">
        <f t="shared" si="109"/>
        <v>[0T1, 0T2, 0T3] 0 (0%)</v>
      </c>
      <c r="AU115" s="143" t="str">
        <f t="shared" si="110"/>
        <v>[0T1, 0T2, 0T3] 0 (0%)</v>
      </c>
      <c r="AV115" s="144" t="str">
        <f t="shared" si="111"/>
        <v>[0T1, 0T2, 0T3] 0 (0%)</v>
      </c>
    </row>
    <row r="116" spans="1:48" x14ac:dyDescent="0.25">
      <c r="A116" s="112" t="s">
        <v>568</v>
      </c>
      <c r="B116" s="70">
        <f t="shared" si="120"/>
        <v>0</v>
      </c>
      <c r="C116" s="3">
        <f t="shared" si="120"/>
        <v>0</v>
      </c>
      <c r="D116" s="3">
        <f t="shared" si="120"/>
        <v>0</v>
      </c>
      <c r="E116" s="3">
        <f t="shared" si="120"/>
        <v>0</v>
      </c>
      <c r="F116" s="3">
        <f t="shared" si="120"/>
        <v>0</v>
      </c>
      <c r="G116" s="71">
        <f t="shared" si="120"/>
        <v>0</v>
      </c>
      <c r="H116" s="70">
        <f t="shared" si="120"/>
        <v>0</v>
      </c>
      <c r="I116" s="3">
        <f t="shared" si="120"/>
        <v>0</v>
      </c>
      <c r="J116" s="3">
        <f t="shared" si="120"/>
        <v>0</v>
      </c>
      <c r="K116" s="3">
        <f t="shared" si="120"/>
        <v>0</v>
      </c>
      <c r="L116" s="3">
        <f t="shared" si="121"/>
        <v>0</v>
      </c>
      <c r="M116" s="71">
        <f t="shared" si="121"/>
        <v>0</v>
      </c>
      <c r="N116" s="70">
        <f t="shared" si="121"/>
        <v>0</v>
      </c>
      <c r="O116" s="3">
        <f t="shared" si="121"/>
        <v>0</v>
      </c>
      <c r="P116" s="3">
        <f t="shared" si="121"/>
        <v>0</v>
      </c>
      <c r="Q116" s="3">
        <f t="shared" si="121"/>
        <v>1</v>
      </c>
      <c r="R116" s="3">
        <f t="shared" si="121"/>
        <v>0</v>
      </c>
      <c r="S116" s="71">
        <f t="shared" si="121"/>
        <v>1</v>
      </c>
      <c r="T116" s="70">
        <f t="shared" si="121"/>
        <v>0</v>
      </c>
      <c r="U116" s="3">
        <f t="shared" si="121"/>
        <v>0</v>
      </c>
      <c r="V116" s="3">
        <f t="shared" si="121"/>
        <v>0</v>
      </c>
      <c r="W116" s="3">
        <f t="shared" si="121"/>
        <v>1</v>
      </c>
      <c r="X116" s="3">
        <f t="shared" si="121"/>
        <v>0</v>
      </c>
      <c r="Y116" s="71">
        <f t="shared" si="121"/>
        <v>1</v>
      </c>
      <c r="AB116" s="100">
        <f t="shared" si="122"/>
        <v>0</v>
      </c>
      <c r="AC116" s="103">
        <f t="shared" si="122"/>
        <v>0</v>
      </c>
      <c r="AD116" s="103">
        <f t="shared" si="122"/>
        <v>0</v>
      </c>
      <c r="AE116" s="103">
        <f t="shared" si="122"/>
        <v>5.2631578947368418E-2</v>
      </c>
      <c r="AF116" s="103">
        <f t="shared" si="122"/>
        <v>0</v>
      </c>
      <c r="AG116" s="104">
        <f t="shared" si="122"/>
        <v>2.0833333333333332E-2</v>
      </c>
      <c r="AI116" s="100" t="str">
        <f t="shared" si="96"/>
        <v>0 (0%)</v>
      </c>
      <c r="AJ116" s="103" t="str">
        <f t="shared" si="97"/>
        <v>0 (0%)</v>
      </c>
      <c r="AK116" s="103" t="str">
        <f t="shared" si="98"/>
        <v>0 (0%)</v>
      </c>
      <c r="AL116" s="103" t="str">
        <f t="shared" si="99"/>
        <v>1 (5%)</v>
      </c>
      <c r="AM116" s="103" t="str">
        <f t="shared" si="100"/>
        <v>0 (0%)</v>
      </c>
      <c r="AN116" s="104" t="str">
        <f t="shared" si="101"/>
        <v>1 (2%)</v>
      </c>
      <c r="AO116" s="104"/>
      <c r="AP116" s="122" t="s">
        <v>568</v>
      </c>
      <c r="AQ116" s="123" t="str">
        <f t="shared" si="106"/>
        <v>[0T1, 0T2, 0T3] 0 (0%)</v>
      </c>
      <c r="AR116" s="123" t="str">
        <f t="shared" si="107"/>
        <v>[0T1, 0T2, 0T3] 0 (0%)</v>
      </c>
      <c r="AS116" s="123" t="str">
        <f t="shared" si="108"/>
        <v>[0T1, 0T2, 0T3] 0 (0%)</v>
      </c>
      <c r="AT116" s="123" t="str">
        <f t="shared" si="109"/>
        <v>[0T1, 0T2, 1T3] 1 (5%)</v>
      </c>
      <c r="AU116" s="123" t="str">
        <f t="shared" si="110"/>
        <v>[0T1, 0T2, 0T3] 0 (0%)</v>
      </c>
      <c r="AV116" s="124" t="str">
        <f t="shared" si="111"/>
        <v>[0T1, 0T2, 1T3] 1 (2%)</v>
      </c>
    </row>
    <row r="117" spans="1:48" x14ac:dyDescent="0.25">
      <c r="A117" s="112" t="s">
        <v>178</v>
      </c>
      <c r="B117" s="70">
        <f t="shared" si="120"/>
        <v>1</v>
      </c>
      <c r="C117" s="3">
        <f t="shared" si="120"/>
        <v>0</v>
      </c>
      <c r="D117" s="3">
        <f t="shared" si="120"/>
        <v>0</v>
      </c>
      <c r="E117" s="3">
        <f t="shared" si="120"/>
        <v>1</v>
      </c>
      <c r="F117" s="3">
        <f t="shared" si="120"/>
        <v>0</v>
      </c>
      <c r="G117" s="71">
        <f t="shared" si="120"/>
        <v>2</v>
      </c>
      <c r="H117" s="70">
        <f t="shared" si="120"/>
        <v>1</v>
      </c>
      <c r="I117" s="3">
        <f t="shared" si="120"/>
        <v>0</v>
      </c>
      <c r="J117" s="3">
        <f t="shared" si="120"/>
        <v>0</v>
      </c>
      <c r="K117" s="3">
        <f t="shared" si="120"/>
        <v>1</v>
      </c>
      <c r="L117" s="3">
        <f t="shared" si="121"/>
        <v>0</v>
      </c>
      <c r="M117" s="71">
        <f t="shared" si="121"/>
        <v>2</v>
      </c>
      <c r="N117" s="70">
        <f t="shared" si="121"/>
        <v>0</v>
      </c>
      <c r="O117" s="3">
        <f t="shared" si="121"/>
        <v>2</v>
      </c>
      <c r="P117" s="3">
        <f t="shared" si="121"/>
        <v>2</v>
      </c>
      <c r="Q117" s="3">
        <f t="shared" si="121"/>
        <v>1</v>
      </c>
      <c r="R117" s="3">
        <f t="shared" si="121"/>
        <v>1</v>
      </c>
      <c r="S117" s="71">
        <f t="shared" si="121"/>
        <v>6</v>
      </c>
      <c r="T117" s="70">
        <f t="shared" si="121"/>
        <v>5</v>
      </c>
      <c r="U117" s="3">
        <f t="shared" si="121"/>
        <v>2</v>
      </c>
      <c r="V117" s="3">
        <f t="shared" si="121"/>
        <v>2</v>
      </c>
      <c r="W117" s="3">
        <f t="shared" si="121"/>
        <v>6</v>
      </c>
      <c r="X117" s="3">
        <f t="shared" si="121"/>
        <v>1</v>
      </c>
      <c r="Y117" s="71">
        <f t="shared" si="121"/>
        <v>16</v>
      </c>
      <c r="AB117" s="100">
        <f t="shared" si="122"/>
        <v>0.29411764705882354</v>
      </c>
      <c r="AC117" s="103">
        <f t="shared" si="122"/>
        <v>0.2857142857142857</v>
      </c>
      <c r="AD117" s="103">
        <f t="shared" si="122"/>
        <v>0.22222222222222221</v>
      </c>
      <c r="AE117" s="103">
        <f t="shared" si="122"/>
        <v>0.31578947368421051</v>
      </c>
      <c r="AF117" s="103">
        <f t="shared" si="122"/>
        <v>0.14285714285714285</v>
      </c>
      <c r="AG117" s="104">
        <f t="shared" si="122"/>
        <v>0.33333333333333331</v>
      </c>
      <c r="AI117" s="100" t="str">
        <f t="shared" si="96"/>
        <v>5 (29%)</v>
      </c>
      <c r="AJ117" s="103" t="str">
        <f t="shared" si="97"/>
        <v>2 (29%)</v>
      </c>
      <c r="AK117" s="103" t="str">
        <f t="shared" si="98"/>
        <v>2 (22%)</v>
      </c>
      <c r="AL117" s="103" t="str">
        <f t="shared" si="99"/>
        <v>6 (32%)</v>
      </c>
      <c r="AM117" s="103" t="str">
        <f t="shared" si="100"/>
        <v>1 (14%)</v>
      </c>
      <c r="AN117" s="104" t="str">
        <f t="shared" si="101"/>
        <v>16 (33%)</v>
      </c>
      <c r="AO117" s="104"/>
      <c r="AP117" s="122" t="s">
        <v>178</v>
      </c>
      <c r="AQ117" s="123" t="str">
        <f t="shared" si="106"/>
        <v>[1T1, 1T2, 0T3] 5 (29%)</v>
      </c>
      <c r="AR117" s="123" t="str">
        <f t="shared" si="107"/>
        <v>[0T1, 0T2, 2T3] 2 (29%)</v>
      </c>
      <c r="AS117" s="123" t="str">
        <f t="shared" si="108"/>
        <v>[0T1, 0T2, 2T3] 2 (22%)</v>
      </c>
      <c r="AT117" s="123" t="str">
        <f t="shared" si="109"/>
        <v>[1T1, 1T2, 1T3] 6 (32%)</v>
      </c>
      <c r="AU117" s="123" t="str">
        <f t="shared" si="110"/>
        <v>[0T1, 0T2, 1T3] 1 (14%)</v>
      </c>
      <c r="AV117" s="124" t="str">
        <f t="shared" si="111"/>
        <v>[2T1, 2T2, 6T3] 16 (33%)</v>
      </c>
    </row>
    <row r="118" spans="1:48" x14ac:dyDescent="0.25">
      <c r="A118" s="112" t="s">
        <v>552</v>
      </c>
      <c r="B118" s="70">
        <f t="shared" si="120"/>
        <v>0</v>
      </c>
      <c r="C118" s="3">
        <f t="shared" si="120"/>
        <v>0</v>
      </c>
      <c r="D118" s="3">
        <f t="shared" si="120"/>
        <v>0</v>
      </c>
      <c r="E118" s="3">
        <f t="shared" si="120"/>
        <v>0</v>
      </c>
      <c r="F118" s="3">
        <f t="shared" si="120"/>
        <v>0</v>
      </c>
      <c r="G118" s="71">
        <f t="shared" si="120"/>
        <v>0</v>
      </c>
      <c r="H118" s="70">
        <f t="shared" si="120"/>
        <v>0</v>
      </c>
      <c r="I118" s="3">
        <f t="shared" si="120"/>
        <v>0</v>
      </c>
      <c r="J118" s="3">
        <f t="shared" si="120"/>
        <v>0</v>
      </c>
      <c r="K118" s="3">
        <f t="shared" si="120"/>
        <v>0</v>
      </c>
      <c r="L118" s="3">
        <f t="shared" si="121"/>
        <v>0</v>
      </c>
      <c r="M118" s="71">
        <f t="shared" si="121"/>
        <v>0</v>
      </c>
      <c r="N118" s="70">
        <f t="shared" si="121"/>
        <v>1</v>
      </c>
      <c r="O118" s="3">
        <f t="shared" si="121"/>
        <v>0</v>
      </c>
      <c r="P118" s="3">
        <f t="shared" si="121"/>
        <v>0</v>
      </c>
      <c r="Q118" s="3">
        <f t="shared" si="121"/>
        <v>0</v>
      </c>
      <c r="R118" s="3">
        <f t="shared" si="121"/>
        <v>0</v>
      </c>
      <c r="S118" s="71">
        <f t="shared" si="121"/>
        <v>1</v>
      </c>
      <c r="T118" s="70">
        <f t="shared" si="121"/>
        <v>1</v>
      </c>
      <c r="U118" s="3">
        <f t="shared" si="121"/>
        <v>0</v>
      </c>
      <c r="V118" s="3">
        <f t="shared" si="121"/>
        <v>0</v>
      </c>
      <c r="W118" s="3">
        <f t="shared" si="121"/>
        <v>0</v>
      </c>
      <c r="X118" s="3">
        <f t="shared" si="121"/>
        <v>0</v>
      </c>
      <c r="Y118" s="71">
        <f t="shared" si="121"/>
        <v>1</v>
      </c>
      <c r="AB118" s="100">
        <f t="shared" si="122"/>
        <v>5.8823529411764705E-2</v>
      </c>
      <c r="AC118" s="103">
        <f t="shared" si="122"/>
        <v>0</v>
      </c>
      <c r="AD118" s="103">
        <f t="shared" si="122"/>
        <v>0</v>
      </c>
      <c r="AE118" s="103">
        <f t="shared" si="122"/>
        <v>0</v>
      </c>
      <c r="AF118" s="103">
        <f t="shared" si="122"/>
        <v>0</v>
      </c>
      <c r="AG118" s="104">
        <f t="shared" si="122"/>
        <v>2.0833333333333332E-2</v>
      </c>
      <c r="AI118" s="100" t="str">
        <f t="shared" si="96"/>
        <v>1 (6%)</v>
      </c>
      <c r="AJ118" s="103" t="str">
        <f t="shared" si="97"/>
        <v>0 (0%)</v>
      </c>
      <c r="AK118" s="103" t="str">
        <f t="shared" si="98"/>
        <v>0 (0%)</v>
      </c>
      <c r="AL118" s="103" t="str">
        <f t="shared" si="99"/>
        <v>0 (0%)</v>
      </c>
      <c r="AM118" s="103" t="str">
        <f t="shared" si="100"/>
        <v>0 (0%)</v>
      </c>
      <c r="AN118" s="104" t="str">
        <f t="shared" si="101"/>
        <v>1 (2%)</v>
      </c>
      <c r="AO118" s="104"/>
      <c r="AP118" s="122" t="s">
        <v>552</v>
      </c>
      <c r="AQ118" s="123" t="str">
        <f t="shared" si="106"/>
        <v>[0T1, 0T2, 1T3] 1 (6%)</v>
      </c>
      <c r="AR118" s="123" t="str">
        <f t="shared" si="107"/>
        <v>[0T1, 0T2, 0T3] 0 (0%)</v>
      </c>
      <c r="AS118" s="123" t="str">
        <f t="shared" si="108"/>
        <v>[0T1, 0T2, 0T3] 0 (0%)</v>
      </c>
      <c r="AT118" s="123" t="str">
        <f t="shared" si="109"/>
        <v>[0T1, 0T2, 0T3] 0 (0%)</v>
      </c>
      <c r="AU118" s="123" t="str">
        <f t="shared" si="110"/>
        <v>[0T1, 0T2, 0T3] 0 (0%)</v>
      </c>
      <c r="AV118" s="124" t="str">
        <f t="shared" si="111"/>
        <v>[0T1, 0T2, 1T3] 1 (2%)</v>
      </c>
    </row>
    <row r="119" spans="1:48" x14ac:dyDescent="0.25">
      <c r="A119" s="112" t="s">
        <v>165</v>
      </c>
      <c r="B119" s="70">
        <f t="shared" si="120"/>
        <v>0</v>
      </c>
      <c r="C119" s="3">
        <f t="shared" si="120"/>
        <v>0</v>
      </c>
      <c r="D119" s="3">
        <f t="shared" si="120"/>
        <v>0</v>
      </c>
      <c r="E119" s="3">
        <f t="shared" si="120"/>
        <v>0</v>
      </c>
      <c r="F119" s="3">
        <f t="shared" si="120"/>
        <v>0</v>
      </c>
      <c r="G119" s="71">
        <f t="shared" si="120"/>
        <v>0</v>
      </c>
      <c r="H119" s="70">
        <f t="shared" si="120"/>
        <v>1</v>
      </c>
      <c r="I119" s="3">
        <f t="shared" si="120"/>
        <v>0</v>
      </c>
      <c r="J119" s="3">
        <f t="shared" si="120"/>
        <v>0</v>
      </c>
      <c r="K119" s="3">
        <f t="shared" si="120"/>
        <v>1</v>
      </c>
      <c r="L119" s="3">
        <f t="shared" si="121"/>
        <v>0</v>
      </c>
      <c r="M119" s="71">
        <f t="shared" si="121"/>
        <v>2</v>
      </c>
      <c r="N119" s="70">
        <f t="shared" si="121"/>
        <v>0</v>
      </c>
      <c r="O119" s="3">
        <f t="shared" si="121"/>
        <v>0</v>
      </c>
      <c r="P119" s="3">
        <f t="shared" si="121"/>
        <v>0</v>
      </c>
      <c r="Q119" s="3">
        <f t="shared" si="121"/>
        <v>0</v>
      </c>
      <c r="R119" s="3">
        <f t="shared" si="121"/>
        <v>0</v>
      </c>
      <c r="S119" s="71">
        <f t="shared" si="121"/>
        <v>0</v>
      </c>
      <c r="T119" s="70">
        <f t="shared" si="121"/>
        <v>2</v>
      </c>
      <c r="U119" s="3">
        <f t="shared" si="121"/>
        <v>0</v>
      </c>
      <c r="V119" s="3">
        <f t="shared" si="121"/>
        <v>0</v>
      </c>
      <c r="W119" s="3">
        <f t="shared" si="121"/>
        <v>2</v>
      </c>
      <c r="X119" s="3">
        <f t="shared" si="121"/>
        <v>0</v>
      </c>
      <c r="Y119" s="71">
        <f t="shared" si="121"/>
        <v>4</v>
      </c>
      <c r="AB119" s="100">
        <f t="shared" si="122"/>
        <v>0.11764705882352941</v>
      </c>
      <c r="AC119" s="103">
        <f t="shared" si="122"/>
        <v>0</v>
      </c>
      <c r="AD119" s="103">
        <f t="shared" si="122"/>
        <v>0</v>
      </c>
      <c r="AE119" s="103">
        <f t="shared" si="122"/>
        <v>0.10526315789473684</v>
      </c>
      <c r="AF119" s="103">
        <f t="shared" si="122"/>
        <v>0</v>
      </c>
      <c r="AG119" s="104">
        <f t="shared" si="122"/>
        <v>8.3333333333333329E-2</v>
      </c>
      <c r="AI119" s="100" t="str">
        <f t="shared" si="96"/>
        <v>2 (12%)</v>
      </c>
      <c r="AJ119" s="103" t="str">
        <f t="shared" si="97"/>
        <v>0 (0%)</v>
      </c>
      <c r="AK119" s="103" t="str">
        <f t="shared" si="98"/>
        <v>0 (0%)</v>
      </c>
      <c r="AL119" s="103" t="str">
        <f t="shared" si="99"/>
        <v>2 (11%)</v>
      </c>
      <c r="AM119" s="103" t="str">
        <f t="shared" si="100"/>
        <v>0 (0%)</v>
      </c>
      <c r="AN119" s="104" t="str">
        <f t="shared" si="101"/>
        <v>4 (8%)</v>
      </c>
      <c r="AO119" s="104"/>
      <c r="AP119" s="122" t="s">
        <v>165</v>
      </c>
      <c r="AQ119" s="123" t="str">
        <f t="shared" si="106"/>
        <v>[0T1, 1T2, 0T3] 2 (12%)</v>
      </c>
      <c r="AR119" s="123" t="str">
        <f t="shared" si="107"/>
        <v>[0T1, 0T2, 0T3] 0 (0%)</v>
      </c>
      <c r="AS119" s="123" t="str">
        <f t="shared" si="108"/>
        <v>[0T1, 0T2, 0T3] 0 (0%)</v>
      </c>
      <c r="AT119" s="123" t="str">
        <f t="shared" si="109"/>
        <v>[0T1, 1T2, 0T3] 2 (11%)</v>
      </c>
      <c r="AU119" s="123" t="str">
        <f t="shared" si="110"/>
        <v>[0T1, 0T2, 0T3] 0 (0%)</v>
      </c>
      <c r="AV119" s="124" t="str">
        <f t="shared" si="111"/>
        <v>[0T1, 2T2, 0T3] 4 (8%)</v>
      </c>
    </row>
    <row r="120" spans="1:48" x14ac:dyDescent="0.25">
      <c r="A120" s="113" t="s">
        <v>801</v>
      </c>
      <c r="B120" s="96">
        <f t="shared" ref="B120:Y120" si="123">INDEX(B$73:B$78,MATCH($A120,$A$73:$A$78,0))</f>
        <v>1</v>
      </c>
      <c r="C120" s="97">
        <f t="shared" si="123"/>
        <v>1</v>
      </c>
      <c r="D120" s="97">
        <f t="shared" si="123"/>
        <v>0</v>
      </c>
      <c r="E120" s="97">
        <f t="shared" si="123"/>
        <v>0</v>
      </c>
      <c r="F120" s="97">
        <f t="shared" si="123"/>
        <v>0</v>
      </c>
      <c r="G120" s="98">
        <f t="shared" si="123"/>
        <v>2</v>
      </c>
      <c r="H120" s="96">
        <f t="shared" si="123"/>
        <v>1</v>
      </c>
      <c r="I120" s="97">
        <f t="shared" si="123"/>
        <v>1</v>
      </c>
      <c r="J120" s="97">
        <f t="shared" si="123"/>
        <v>0</v>
      </c>
      <c r="K120" s="97">
        <f t="shared" si="123"/>
        <v>3</v>
      </c>
      <c r="L120" s="97">
        <f t="shared" si="123"/>
        <v>0</v>
      </c>
      <c r="M120" s="98">
        <f t="shared" si="123"/>
        <v>5</v>
      </c>
      <c r="N120" s="96">
        <f t="shared" si="123"/>
        <v>3</v>
      </c>
      <c r="O120" s="97">
        <f t="shared" si="123"/>
        <v>1</v>
      </c>
      <c r="P120" s="97">
        <f t="shared" si="123"/>
        <v>1</v>
      </c>
      <c r="Q120" s="97">
        <f t="shared" si="123"/>
        <v>0</v>
      </c>
      <c r="R120" s="97">
        <f t="shared" si="123"/>
        <v>1</v>
      </c>
      <c r="S120" s="98">
        <f t="shared" si="123"/>
        <v>6</v>
      </c>
      <c r="T120" s="96">
        <f t="shared" si="123"/>
        <v>8</v>
      </c>
      <c r="U120" s="97">
        <f t="shared" si="123"/>
        <v>6</v>
      </c>
      <c r="V120" s="97">
        <f t="shared" si="123"/>
        <v>1</v>
      </c>
      <c r="W120" s="97">
        <f t="shared" si="123"/>
        <v>6</v>
      </c>
      <c r="X120" s="97">
        <f t="shared" si="123"/>
        <v>1</v>
      </c>
      <c r="Y120" s="98">
        <f t="shared" si="123"/>
        <v>22</v>
      </c>
      <c r="AB120" s="99">
        <f t="shared" ref="AB120:AG120" si="124">INDEX(AB$73:AB$78,MATCH($A120,$A$73:$A$78,0))</f>
        <v>0.30769230769230771</v>
      </c>
      <c r="AC120" s="99">
        <f t="shared" si="124"/>
        <v>0.31578947368421051</v>
      </c>
      <c r="AD120" s="99">
        <f t="shared" si="124"/>
        <v>4.3478260869565216E-2</v>
      </c>
      <c r="AE120" s="99">
        <f t="shared" si="124"/>
        <v>0.14285714285714285</v>
      </c>
      <c r="AF120" s="99">
        <f t="shared" si="124"/>
        <v>7.6923076923076927E-2</v>
      </c>
      <c r="AG120" s="99">
        <f t="shared" si="124"/>
        <v>0.19298245614035087</v>
      </c>
      <c r="AI120" s="99" t="str">
        <f t="shared" si="96"/>
        <v>8 (31%)</v>
      </c>
      <c r="AJ120" s="101" t="str">
        <f t="shared" si="97"/>
        <v>6 (32%)</v>
      </c>
      <c r="AK120" s="101" t="str">
        <f t="shared" si="98"/>
        <v>1 (4%)</v>
      </c>
      <c r="AL120" s="101" t="str">
        <f t="shared" si="99"/>
        <v>6 (14%)</v>
      </c>
      <c r="AM120" s="101" t="str">
        <f t="shared" si="100"/>
        <v>1 (8%)</v>
      </c>
      <c r="AN120" s="102" t="str">
        <f t="shared" si="101"/>
        <v>22 (19%)</v>
      </c>
      <c r="AO120" s="102"/>
      <c r="AP120" s="119" t="s">
        <v>801</v>
      </c>
      <c r="AQ120" s="120" t="str">
        <f t="shared" si="106"/>
        <v>[1T1, 1T2, 3T3] 8 (31%)</v>
      </c>
      <c r="AR120" s="120" t="str">
        <f t="shared" si="107"/>
        <v>[1T1, 1T2, 1T3] 6 (32%)</v>
      </c>
      <c r="AS120" s="120" t="str">
        <f t="shared" si="108"/>
        <v>[0T1, 0T2, 1T3] 1 (4%)</v>
      </c>
      <c r="AT120" s="120" t="str">
        <f t="shared" si="109"/>
        <v>[0T1, 3T2, 0T3] 6 (14%)</v>
      </c>
      <c r="AU120" s="120" t="str">
        <f t="shared" si="110"/>
        <v>[0T1, 0T2, 1T3] 1 (8%)</v>
      </c>
      <c r="AV120" s="121" t="str">
        <f t="shared" si="111"/>
        <v>[2T1, 5T2, 6T3] 22 (19%)</v>
      </c>
    </row>
    <row r="121" spans="1:48" x14ac:dyDescent="0.25">
      <c r="A121" s="112" t="s">
        <v>216</v>
      </c>
      <c r="B121" s="70">
        <f t="shared" ref="B121:K126" si="125">INDEX(B$5:B$42,MATCH($A121,$A$5:$A$42,0))</f>
        <v>0</v>
      </c>
      <c r="C121" s="3">
        <f t="shared" si="125"/>
        <v>0</v>
      </c>
      <c r="D121" s="3">
        <f t="shared" si="125"/>
        <v>0</v>
      </c>
      <c r="E121" s="3">
        <f t="shared" si="125"/>
        <v>0</v>
      </c>
      <c r="F121" s="3">
        <f t="shared" si="125"/>
        <v>0</v>
      </c>
      <c r="G121" s="71">
        <f t="shared" si="125"/>
        <v>0</v>
      </c>
      <c r="H121" s="70">
        <f t="shared" si="125"/>
        <v>0</v>
      </c>
      <c r="I121" s="3">
        <f t="shared" si="125"/>
        <v>0</v>
      </c>
      <c r="J121" s="3">
        <f t="shared" si="125"/>
        <v>0</v>
      </c>
      <c r="K121" s="3">
        <f t="shared" si="125"/>
        <v>0</v>
      </c>
      <c r="L121" s="3">
        <f t="shared" ref="L121:Y126" si="126">INDEX(L$5:L$42,MATCH($A121,$A$5:$A$42,0))</f>
        <v>0</v>
      </c>
      <c r="M121" s="71">
        <f t="shared" si="126"/>
        <v>0</v>
      </c>
      <c r="N121" s="70">
        <f t="shared" si="126"/>
        <v>1</v>
      </c>
      <c r="O121" s="3">
        <f t="shared" si="126"/>
        <v>0</v>
      </c>
      <c r="P121" s="3">
        <f t="shared" si="126"/>
        <v>0</v>
      </c>
      <c r="Q121" s="3">
        <f t="shared" si="126"/>
        <v>0</v>
      </c>
      <c r="R121" s="3">
        <f t="shared" si="126"/>
        <v>0</v>
      </c>
      <c r="S121" s="71">
        <f t="shared" si="126"/>
        <v>1</v>
      </c>
      <c r="T121" s="70">
        <f t="shared" si="126"/>
        <v>1</v>
      </c>
      <c r="U121" s="3">
        <f t="shared" si="126"/>
        <v>0</v>
      </c>
      <c r="V121" s="3">
        <f t="shared" si="126"/>
        <v>0</v>
      </c>
      <c r="W121" s="3">
        <f t="shared" si="126"/>
        <v>0</v>
      </c>
      <c r="X121" s="3">
        <f t="shared" si="126"/>
        <v>0</v>
      </c>
      <c r="Y121" s="71">
        <f t="shared" si="126"/>
        <v>1</v>
      </c>
      <c r="AB121" s="100">
        <f t="shared" ref="AB121:AG126" si="127">INDEX(AB$5:AB$42,MATCH($A121,$A$5:$A$42,0))</f>
        <v>5.8823529411764705E-2</v>
      </c>
      <c r="AC121" s="103">
        <f t="shared" si="127"/>
        <v>0</v>
      </c>
      <c r="AD121" s="103">
        <f t="shared" si="127"/>
        <v>0</v>
      </c>
      <c r="AE121" s="103">
        <f t="shared" si="127"/>
        <v>0</v>
      </c>
      <c r="AF121" s="103">
        <f t="shared" si="127"/>
        <v>0</v>
      </c>
      <c r="AG121" s="104">
        <f t="shared" si="127"/>
        <v>2.0833333333333332E-2</v>
      </c>
      <c r="AI121" s="100" t="str">
        <f t="shared" si="96"/>
        <v>1 (6%)</v>
      </c>
      <c r="AJ121" s="103" t="str">
        <f t="shared" si="97"/>
        <v>0 (0%)</v>
      </c>
      <c r="AK121" s="103" t="str">
        <f t="shared" si="98"/>
        <v>0 (0%)</v>
      </c>
      <c r="AL121" s="103" t="str">
        <f t="shared" si="99"/>
        <v>0 (0%)</v>
      </c>
      <c r="AM121" s="103" t="str">
        <f t="shared" si="100"/>
        <v>0 (0%)</v>
      </c>
      <c r="AN121" s="104" t="str">
        <f t="shared" si="101"/>
        <v>1 (2%)</v>
      </c>
      <c r="AO121" s="104"/>
      <c r="AP121" s="122" t="s">
        <v>216</v>
      </c>
      <c r="AQ121" s="123" t="str">
        <f t="shared" si="106"/>
        <v>[0T1, 0T2, 1T3] 1 (6%)</v>
      </c>
      <c r="AR121" s="123" t="str">
        <f t="shared" si="107"/>
        <v>[0T1, 0T2, 0T3] 0 (0%)</v>
      </c>
      <c r="AS121" s="123" t="str">
        <f t="shared" si="108"/>
        <v>[0T1, 0T2, 0T3] 0 (0%)</v>
      </c>
      <c r="AT121" s="123" t="str">
        <f t="shared" si="109"/>
        <v>[0T1, 0T2, 0T3] 0 (0%)</v>
      </c>
      <c r="AU121" s="123" t="str">
        <f t="shared" si="110"/>
        <v>[0T1, 0T2, 0T3] 0 (0%)</v>
      </c>
      <c r="AV121" s="124" t="str">
        <f t="shared" si="111"/>
        <v>[0T1, 0T2, 1T3] 1 (2%)</v>
      </c>
    </row>
    <row r="122" spans="1:48" x14ac:dyDescent="0.25">
      <c r="A122" s="112" t="s">
        <v>354</v>
      </c>
      <c r="B122" s="70">
        <f t="shared" si="125"/>
        <v>0</v>
      </c>
      <c r="C122" s="3">
        <f t="shared" si="125"/>
        <v>0</v>
      </c>
      <c r="D122" s="3">
        <f t="shared" si="125"/>
        <v>0</v>
      </c>
      <c r="E122" s="3">
        <f t="shared" si="125"/>
        <v>0</v>
      </c>
      <c r="F122" s="3">
        <f t="shared" si="125"/>
        <v>0</v>
      </c>
      <c r="G122" s="71">
        <f t="shared" si="125"/>
        <v>0</v>
      </c>
      <c r="H122" s="70">
        <f t="shared" si="125"/>
        <v>0</v>
      </c>
      <c r="I122" s="3">
        <f t="shared" si="125"/>
        <v>0</v>
      </c>
      <c r="J122" s="3">
        <f t="shared" si="125"/>
        <v>0</v>
      </c>
      <c r="K122" s="3">
        <f t="shared" si="125"/>
        <v>0</v>
      </c>
      <c r="L122" s="3">
        <f t="shared" si="126"/>
        <v>0</v>
      </c>
      <c r="M122" s="71">
        <f t="shared" si="126"/>
        <v>0</v>
      </c>
      <c r="N122" s="70">
        <f t="shared" si="126"/>
        <v>0</v>
      </c>
      <c r="O122" s="3">
        <f t="shared" si="126"/>
        <v>1</v>
      </c>
      <c r="P122" s="3">
        <f t="shared" si="126"/>
        <v>1</v>
      </c>
      <c r="Q122" s="3">
        <f t="shared" si="126"/>
        <v>0</v>
      </c>
      <c r="R122" s="3">
        <f t="shared" si="126"/>
        <v>0</v>
      </c>
      <c r="S122" s="71">
        <f t="shared" si="126"/>
        <v>2</v>
      </c>
      <c r="T122" s="70">
        <f t="shared" si="126"/>
        <v>0</v>
      </c>
      <c r="U122" s="3">
        <f t="shared" si="126"/>
        <v>1</v>
      </c>
      <c r="V122" s="3">
        <f t="shared" si="126"/>
        <v>1</v>
      </c>
      <c r="W122" s="3">
        <f t="shared" si="126"/>
        <v>0</v>
      </c>
      <c r="X122" s="3">
        <f t="shared" si="126"/>
        <v>0</v>
      </c>
      <c r="Y122" s="71">
        <f t="shared" si="126"/>
        <v>2</v>
      </c>
      <c r="AB122" s="100">
        <f t="shared" si="127"/>
        <v>0</v>
      </c>
      <c r="AC122" s="103">
        <f t="shared" si="127"/>
        <v>0.14285714285714285</v>
      </c>
      <c r="AD122" s="103">
        <f t="shared" si="127"/>
        <v>0.1111111111111111</v>
      </c>
      <c r="AE122" s="103">
        <f t="shared" si="127"/>
        <v>0</v>
      </c>
      <c r="AF122" s="103">
        <f t="shared" si="127"/>
        <v>0</v>
      </c>
      <c r="AG122" s="104">
        <f t="shared" si="127"/>
        <v>4.1666666666666664E-2</v>
      </c>
      <c r="AI122" s="100" t="str">
        <f t="shared" si="96"/>
        <v>0 (0%)</v>
      </c>
      <c r="AJ122" s="103" t="str">
        <f t="shared" si="97"/>
        <v>1 (14%)</v>
      </c>
      <c r="AK122" s="103" t="str">
        <f t="shared" si="98"/>
        <v>1 (11%)</v>
      </c>
      <c r="AL122" s="103" t="str">
        <f t="shared" si="99"/>
        <v>0 (0%)</v>
      </c>
      <c r="AM122" s="103" t="str">
        <f t="shared" si="100"/>
        <v>0 (0%)</v>
      </c>
      <c r="AN122" s="104" t="str">
        <f t="shared" si="101"/>
        <v>2 (4%)</v>
      </c>
      <c r="AO122" s="104"/>
      <c r="AP122" s="122" t="s">
        <v>354</v>
      </c>
      <c r="AQ122" s="123" t="str">
        <f t="shared" si="106"/>
        <v>[0T1, 0T2, 0T3] 0 (0%)</v>
      </c>
      <c r="AR122" s="123" t="str">
        <f t="shared" si="107"/>
        <v>[0T1, 0T2, 1T3] 1 (14%)</v>
      </c>
      <c r="AS122" s="123" t="str">
        <f t="shared" si="108"/>
        <v>[0T1, 0T2, 1T3] 1 (11%)</v>
      </c>
      <c r="AT122" s="123" t="str">
        <f t="shared" si="109"/>
        <v>[0T1, 0T2, 0T3] 0 (0%)</v>
      </c>
      <c r="AU122" s="123" t="str">
        <f t="shared" si="110"/>
        <v>[0T1, 0T2, 0T3] 0 (0%)</v>
      </c>
      <c r="AV122" s="124" t="str">
        <f t="shared" si="111"/>
        <v>[0T1, 0T2, 2T3] 2 (4%)</v>
      </c>
    </row>
    <row r="123" spans="1:48" x14ac:dyDescent="0.25">
      <c r="A123" s="112" t="s">
        <v>616</v>
      </c>
      <c r="B123" s="70">
        <f t="shared" si="125"/>
        <v>0</v>
      </c>
      <c r="C123" s="3">
        <f t="shared" si="125"/>
        <v>1</v>
      </c>
      <c r="D123" s="3">
        <f t="shared" si="125"/>
        <v>0</v>
      </c>
      <c r="E123" s="3">
        <f t="shared" si="125"/>
        <v>0</v>
      </c>
      <c r="F123" s="3">
        <f t="shared" si="125"/>
        <v>0</v>
      </c>
      <c r="G123" s="71">
        <f t="shared" si="125"/>
        <v>1</v>
      </c>
      <c r="H123" s="70">
        <f t="shared" si="125"/>
        <v>0</v>
      </c>
      <c r="I123" s="3">
        <f t="shared" si="125"/>
        <v>0</v>
      </c>
      <c r="J123" s="3">
        <f t="shared" si="125"/>
        <v>0</v>
      </c>
      <c r="K123" s="3">
        <f t="shared" si="125"/>
        <v>0</v>
      </c>
      <c r="L123" s="3">
        <f t="shared" si="126"/>
        <v>0</v>
      </c>
      <c r="M123" s="71">
        <f t="shared" si="126"/>
        <v>0</v>
      </c>
      <c r="N123" s="70">
        <f t="shared" si="126"/>
        <v>0</v>
      </c>
      <c r="O123" s="3">
        <f t="shared" si="126"/>
        <v>0</v>
      </c>
      <c r="P123" s="3">
        <f t="shared" si="126"/>
        <v>0</v>
      </c>
      <c r="Q123" s="3">
        <f t="shared" si="126"/>
        <v>0</v>
      </c>
      <c r="R123" s="3">
        <f t="shared" si="126"/>
        <v>0</v>
      </c>
      <c r="S123" s="71">
        <f t="shared" si="126"/>
        <v>0</v>
      </c>
      <c r="T123" s="70">
        <f t="shared" si="126"/>
        <v>0</v>
      </c>
      <c r="U123" s="3">
        <f t="shared" si="126"/>
        <v>3</v>
      </c>
      <c r="V123" s="3">
        <f t="shared" si="126"/>
        <v>0</v>
      </c>
      <c r="W123" s="3">
        <f t="shared" si="126"/>
        <v>0</v>
      </c>
      <c r="X123" s="3">
        <f t="shared" si="126"/>
        <v>0</v>
      </c>
      <c r="Y123" s="71">
        <f t="shared" si="126"/>
        <v>3</v>
      </c>
      <c r="AB123" s="100">
        <f t="shared" si="127"/>
        <v>0</v>
      </c>
      <c r="AC123" s="103">
        <f t="shared" si="127"/>
        <v>0.42857142857142855</v>
      </c>
      <c r="AD123" s="103">
        <f t="shared" si="127"/>
        <v>0</v>
      </c>
      <c r="AE123" s="103">
        <f t="shared" si="127"/>
        <v>0</v>
      </c>
      <c r="AF123" s="103">
        <f t="shared" si="127"/>
        <v>0</v>
      </c>
      <c r="AG123" s="104">
        <f t="shared" si="127"/>
        <v>6.25E-2</v>
      </c>
      <c r="AI123" s="100" t="str">
        <f t="shared" si="96"/>
        <v>0 (0%)</v>
      </c>
      <c r="AJ123" s="103" t="str">
        <f t="shared" si="97"/>
        <v>3 (43%)</v>
      </c>
      <c r="AK123" s="103" t="str">
        <f t="shared" si="98"/>
        <v>0 (0%)</v>
      </c>
      <c r="AL123" s="103" t="str">
        <f t="shared" si="99"/>
        <v>0 (0%)</v>
      </c>
      <c r="AM123" s="103" t="str">
        <f t="shared" si="100"/>
        <v>0 (0%)</v>
      </c>
      <c r="AN123" s="104" t="str">
        <f t="shared" si="101"/>
        <v>3 (6%)</v>
      </c>
      <c r="AO123" s="104"/>
      <c r="AP123" s="122" t="s">
        <v>616</v>
      </c>
      <c r="AQ123" s="123" t="str">
        <f t="shared" si="106"/>
        <v>[0T1, 0T2, 0T3] 0 (0%)</v>
      </c>
      <c r="AR123" s="123" t="str">
        <f t="shared" si="107"/>
        <v>[1T1, 0T2, 0T3] 3 (43%)</v>
      </c>
      <c r="AS123" s="123" t="str">
        <f t="shared" si="108"/>
        <v>[0T1, 0T2, 0T3] 0 (0%)</v>
      </c>
      <c r="AT123" s="123" t="str">
        <f t="shared" si="109"/>
        <v>[0T1, 0T2, 0T3] 0 (0%)</v>
      </c>
      <c r="AU123" s="123" t="str">
        <f t="shared" si="110"/>
        <v>[0T1, 0T2, 0T3] 0 (0%)</v>
      </c>
      <c r="AV123" s="124" t="str">
        <f t="shared" si="111"/>
        <v>[1T1, 0T2, 0T3] 3 (6%)</v>
      </c>
    </row>
    <row r="124" spans="1:48" x14ac:dyDescent="0.25">
      <c r="A124" s="112" t="s">
        <v>313</v>
      </c>
      <c r="B124" s="70">
        <f t="shared" si="125"/>
        <v>1</v>
      </c>
      <c r="C124" s="3">
        <f t="shared" si="125"/>
        <v>0</v>
      </c>
      <c r="D124" s="3">
        <f t="shared" si="125"/>
        <v>0</v>
      </c>
      <c r="E124" s="3">
        <f t="shared" si="125"/>
        <v>0</v>
      </c>
      <c r="F124" s="3">
        <f t="shared" si="125"/>
        <v>0</v>
      </c>
      <c r="G124" s="71">
        <f t="shared" si="125"/>
        <v>1</v>
      </c>
      <c r="H124" s="70">
        <f t="shared" si="125"/>
        <v>1</v>
      </c>
      <c r="I124" s="3">
        <f t="shared" si="125"/>
        <v>1</v>
      </c>
      <c r="J124" s="3">
        <f t="shared" si="125"/>
        <v>0</v>
      </c>
      <c r="K124" s="3">
        <f t="shared" si="125"/>
        <v>3</v>
      </c>
      <c r="L124" s="3">
        <f t="shared" si="126"/>
        <v>0</v>
      </c>
      <c r="M124" s="71">
        <f t="shared" si="126"/>
        <v>5</v>
      </c>
      <c r="N124" s="70">
        <f t="shared" si="126"/>
        <v>1</v>
      </c>
      <c r="O124" s="3">
        <f t="shared" si="126"/>
        <v>0</v>
      </c>
      <c r="P124" s="3">
        <f t="shared" si="126"/>
        <v>0</v>
      </c>
      <c r="Q124" s="3">
        <f t="shared" si="126"/>
        <v>0</v>
      </c>
      <c r="R124" s="3">
        <f t="shared" si="126"/>
        <v>0</v>
      </c>
      <c r="S124" s="71">
        <f t="shared" si="126"/>
        <v>1</v>
      </c>
      <c r="T124" s="70">
        <f t="shared" si="126"/>
        <v>6</v>
      </c>
      <c r="U124" s="3">
        <f t="shared" si="126"/>
        <v>2</v>
      </c>
      <c r="V124" s="3">
        <f t="shared" si="126"/>
        <v>0</v>
      </c>
      <c r="W124" s="3">
        <f t="shared" si="126"/>
        <v>6</v>
      </c>
      <c r="X124" s="3">
        <f t="shared" si="126"/>
        <v>0</v>
      </c>
      <c r="Y124" s="71">
        <f t="shared" si="126"/>
        <v>14</v>
      </c>
      <c r="AB124" s="100">
        <f t="shared" si="127"/>
        <v>0.35294117647058826</v>
      </c>
      <c r="AC124" s="103">
        <f t="shared" si="127"/>
        <v>0.2857142857142857</v>
      </c>
      <c r="AD124" s="103">
        <f t="shared" si="127"/>
        <v>0</v>
      </c>
      <c r="AE124" s="103">
        <f t="shared" si="127"/>
        <v>0.31578947368421051</v>
      </c>
      <c r="AF124" s="103">
        <f t="shared" si="127"/>
        <v>0</v>
      </c>
      <c r="AG124" s="104">
        <f t="shared" si="127"/>
        <v>0.29166666666666669</v>
      </c>
      <c r="AI124" s="100" t="str">
        <f t="shared" si="96"/>
        <v>6 (35%)</v>
      </c>
      <c r="AJ124" s="103" t="str">
        <f t="shared" si="97"/>
        <v>2 (29%)</v>
      </c>
      <c r="AK124" s="103" t="str">
        <f t="shared" si="98"/>
        <v>0 (0%)</v>
      </c>
      <c r="AL124" s="103" t="str">
        <f t="shared" si="99"/>
        <v>6 (32%)</v>
      </c>
      <c r="AM124" s="103" t="str">
        <f t="shared" si="100"/>
        <v>0 (0%)</v>
      </c>
      <c r="AN124" s="104" t="str">
        <f t="shared" si="101"/>
        <v>14 (29%)</v>
      </c>
      <c r="AO124" s="104"/>
      <c r="AP124" s="122" t="s">
        <v>313</v>
      </c>
      <c r="AQ124" s="123" t="str">
        <f t="shared" si="106"/>
        <v>[1T1, 1T2, 1T3] 6 (35%)</v>
      </c>
      <c r="AR124" s="123" t="str">
        <f t="shared" si="107"/>
        <v>[0T1, 1T2, 0T3] 2 (29%)</v>
      </c>
      <c r="AS124" s="123" t="str">
        <f t="shared" si="108"/>
        <v>[0T1, 0T2, 0T3] 0 (0%)</v>
      </c>
      <c r="AT124" s="123" t="str">
        <f t="shared" si="109"/>
        <v>[0T1, 3T2, 0T3] 6 (32%)</v>
      </c>
      <c r="AU124" s="123" t="str">
        <f t="shared" si="110"/>
        <v>[0T1, 0T2, 0T3] 0 (0%)</v>
      </c>
      <c r="AV124" s="124" t="str">
        <f t="shared" si="111"/>
        <v>[1T1, 5T2, 1T3] 14 (29%)</v>
      </c>
    </row>
    <row r="125" spans="1:48" x14ac:dyDescent="0.25">
      <c r="A125" s="112" t="s">
        <v>403</v>
      </c>
      <c r="B125" s="70">
        <f t="shared" si="125"/>
        <v>0</v>
      </c>
      <c r="C125" s="3">
        <f t="shared" si="125"/>
        <v>0</v>
      </c>
      <c r="D125" s="3">
        <f t="shared" si="125"/>
        <v>0</v>
      </c>
      <c r="E125" s="3">
        <f t="shared" si="125"/>
        <v>0</v>
      </c>
      <c r="F125" s="3">
        <f t="shared" si="125"/>
        <v>0</v>
      </c>
      <c r="G125" s="71">
        <f t="shared" si="125"/>
        <v>0</v>
      </c>
      <c r="H125" s="70">
        <f t="shared" si="125"/>
        <v>0</v>
      </c>
      <c r="I125" s="3">
        <f t="shared" si="125"/>
        <v>0</v>
      </c>
      <c r="J125" s="3">
        <f t="shared" si="125"/>
        <v>0</v>
      </c>
      <c r="K125" s="3">
        <f t="shared" si="125"/>
        <v>0</v>
      </c>
      <c r="L125" s="3">
        <f t="shared" si="126"/>
        <v>0</v>
      </c>
      <c r="M125" s="71">
        <f t="shared" si="126"/>
        <v>0</v>
      </c>
      <c r="N125" s="70">
        <f t="shared" si="126"/>
        <v>0</v>
      </c>
      <c r="O125" s="3">
        <f t="shared" si="126"/>
        <v>0</v>
      </c>
      <c r="P125" s="3">
        <f t="shared" si="126"/>
        <v>0</v>
      </c>
      <c r="Q125" s="3">
        <f t="shared" si="126"/>
        <v>0</v>
      </c>
      <c r="R125" s="3">
        <f t="shared" si="126"/>
        <v>1</v>
      </c>
      <c r="S125" s="71">
        <f t="shared" si="126"/>
        <v>1</v>
      </c>
      <c r="T125" s="70">
        <f t="shared" si="126"/>
        <v>0</v>
      </c>
      <c r="U125" s="3">
        <f t="shared" si="126"/>
        <v>0</v>
      </c>
      <c r="V125" s="3">
        <f t="shared" si="126"/>
        <v>0</v>
      </c>
      <c r="W125" s="3">
        <f t="shared" si="126"/>
        <v>0</v>
      </c>
      <c r="X125" s="3">
        <f t="shared" si="126"/>
        <v>1</v>
      </c>
      <c r="Y125" s="71">
        <f t="shared" si="126"/>
        <v>1</v>
      </c>
      <c r="AB125" s="100">
        <f t="shared" si="127"/>
        <v>0</v>
      </c>
      <c r="AC125" s="103">
        <f t="shared" si="127"/>
        <v>0</v>
      </c>
      <c r="AD125" s="103">
        <f t="shared" si="127"/>
        <v>0</v>
      </c>
      <c r="AE125" s="103">
        <f t="shared" si="127"/>
        <v>0</v>
      </c>
      <c r="AF125" s="103">
        <f t="shared" si="127"/>
        <v>0.14285714285714285</v>
      </c>
      <c r="AG125" s="104">
        <f t="shared" si="127"/>
        <v>2.0833333333333332E-2</v>
      </c>
      <c r="AI125" s="100" t="str">
        <f t="shared" si="96"/>
        <v>0 (0%)</v>
      </c>
      <c r="AJ125" s="103" t="str">
        <f t="shared" si="97"/>
        <v>0 (0%)</v>
      </c>
      <c r="AK125" s="103" t="str">
        <f t="shared" si="98"/>
        <v>0 (0%)</v>
      </c>
      <c r="AL125" s="103" t="str">
        <f t="shared" si="99"/>
        <v>0 (0%)</v>
      </c>
      <c r="AM125" s="103" t="str">
        <f t="shared" si="100"/>
        <v>1 (14%)</v>
      </c>
      <c r="AN125" s="104" t="str">
        <f t="shared" si="101"/>
        <v>1 (2%)</v>
      </c>
      <c r="AO125" s="104"/>
      <c r="AP125" s="122" t="s">
        <v>403</v>
      </c>
      <c r="AQ125" s="123" t="str">
        <f t="shared" si="106"/>
        <v>[0T1, 0T2, 0T3] 0 (0%)</v>
      </c>
      <c r="AR125" s="123" t="str">
        <f t="shared" si="107"/>
        <v>[0T1, 0T2, 0T3] 0 (0%)</v>
      </c>
      <c r="AS125" s="123" t="str">
        <f t="shared" si="108"/>
        <v>[0T1, 0T2, 0T3] 0 (0%)</v>
      </c>
      <c r="AT125" s="123" t="str">
        <f t="shared" si="109"/>
        <v>[0T1, 0T2, 0T3] 0 (0%)</v>
      </c>
      <c r="AU125" s="123" t="str">
        <f t="shared" si="110"/>
        <v>[0T1, 0T2, 1T3] 1 (14%)</v>
      </c>
      <c r="AV125" s="124" t="str">
        <f t="shared" si="111"/>
        <v>[0T1, 0T2, 1T3] 1 (2%)</v>
      </c>
    </row>
    <row r="126" spans="1:48" x14ac:dyDescent="0.25">
      <c r="A126" s="112" t="s">
        <v>460</v>
      </c>
      <c r="B126" s="70">
        <f t="shared" si="125"/>
        <v>0</v>
      </c>
      <c r="C126" s="3">
        <f t="shared" si="125"/>
        <v>0</v>
      </c>
      <c r="D126" s="3">
        <f t="shared" si="125"/>
        <v>0</v>
      </c>
      <c r="E126" s="3">
        <f t="shared" si="125"/>
        <v>0</v>
      </c>
      <c r="F126" s="3">
        <f t="shared" si="125"/>
        <v>0</v>
      </c>
      <c r="G126" s="71">
        <f t="shared" si="125"/>
        <v>0</v>
      </c>
      <c r="H126" s="70">
        <f t="shared" si="125"/>
        <v>0</v>
      </c>
      <c r="I126" s="3">
        <f t="shared" si="125"/>
        <v>0</v>
      </c>
      <c r="J126" s="3">
        <f t="shared" si="125"/>
        <v>0</v>
      </c>
      <c r="K126" s="3">
        <f t="shared" si="125"/>
        <v>0</v>
      </c>
      <c r="L126" s="3">
        <f t="shared" si="126"/>
        <v>0</v>
      </c>
      <c r="M126" s="71">
        <f t="shared" si="126"/>
        <v>0</v>
      </c>
      <c r="N126" s="70">
        <f t="shared" si="126"/>
        <v>1</v>
      </c>
      <c r="O126" s="3">
        <f t="shared" si="126"/>
        <v>0</v>
      </c>
      <c r="P126" s="3">
        <f t="shared" si="126"/>
        <v>0</v>
      </c>
      <c r="Q126" s="3">
        <f t="shared" si="126"/>
        <v>0</v>
      </c>
      <c r="R126" s="3">
        <f t="shared" si="126"/>
        <v>0</v>
      </c>
      <c r="S126" s="71">
        <f t="shared" si="126"/>
        <v>1</v>
      </c>
      <c r="T126" s="70">
        <f t="shared" si="126"/>
        <v>1</v>
      </c>
      <c r="U126" s="3">
        <f t="shared" si="126"/>
        <v>0</v>
      </c>
      <c r="V126" s="3">
        <f t="shared" si="126"/>
        <v>0</v>
      </c>
      <c r="W126" s="3">
        <f t="shared" si="126"/>
        <v>0</v>
      </c>
      <c r="X126" s="3">
        <f t="shared" si="126"/>
        <v>0</v>
      </c>
      <c r="Y126" s="71">
        <f t="shared" si="126"/>
        <v>1</v>
      </c>
      <c r="AB126" s="100">
        <f t="shared" si="127"/>
        <v>5.8823529411764705E-2</v>
      </c>
      <c r="AC126" s="103">
        <f t="shared" si="127"/>
        <v>0</v>
      </c>
      <c r="AD126" s="103">
        <f t="shared" si="127"/>
        <v>0</v>
      </c>
      <c r="AE126" s="103">
        <f t="shared" si="127"/>
        <v>0</v>
      </c>
      <c r="AF126" s="103">
        <f t="shared" si="127"/>
        <v>0</v>
      </c>
      <c r="AG126" s="104">
        <f t="shared" si="127"/>
        <v>2.0833333333333332E-2</v>
      </c>
      <c r="AI126" s="100" t="str">
        <f t="shared" si="96"/>
        <v>1 (6%)</v>
      </c>
      <c r="AJ126" s="103" t="str">
        <f t="shared" si="97"/>
        <v>0 (0%)</v>
      </c>
      <c r="AK126" s="103" t="str">
        <f t="shared" si="98"/>
        <v>0 (0%)</v>
      </c>
      <c r="AL126" s="103" t="str">
        <f t="shared" si="99"/>
        <v>0 (0%)</v>
      </c>
      <c r="AM126" s="103" t="str">
        <f t="shared" si="100"/>
        <v>0 (0%)</v>
      </c>
      <c r="AN126" s="104" t="str">
        <f t="shared" si="101"/>
        <v>1 (2%)</v>
      </c>
      <c r="AO126" s="104"/>
      <c r="AP126" s="122" t="s">
        <v>460</v>
      </c>
      <c r="AQ126" s="123" t="str">
        <f t="shared" si="106"/>
        <v>[0T1, 0T2, 1T3] 1 (6%)</v>
      </c>
      <c r="AR126" s="123" t="str">
        <f t="shared" si="107"/>
        <v>[0T1, 0T2, 0T3] 0 (0%)</v>
      </c>
      <c r="AS126" s="123" t="str">
        <f t="shared" si="108"/>
        <v>[0T1, 0T2, 0T3] 0 (0%)</v>
      </c>
      <c r="AT126" s="123" t="str">
        <f t="shared" si="109"/>
        <v>[0T1, 0T2, 0T3] 0 (0%)</v>
      </c>
      <c r="AU126" s="123" t="str">
        <f t="shared" si="110"/>
        <v>[0T1, 0T2, 0T3] 0 (0%)</v>
      </c>
      <c r="AV126" s="124" t="str">
        <f t="shared" si="111"/>
        <v>[0T1, 0T2, 1T3] 1 (2%)</v>
      </c>
    </row>
    <row r="127" spans="1:48" x14ac:dyDescent="0.25">
      <c r="A127" s="113" t="s">
        <v>802</v>
      </c>
      <c r="B127" s="96">
        <f t="shared" ref="B127:Y127" si="128">INDEX(B$73:B$78,MATCH($A127,$A$73:$A$78,0))</f>
        <v>5</v>
      </c>
      <c r="C127" s="97">
        <f t="shared" si="128"/>
        <v>5</v>
      </c>
      <c r="D127" s="97">
        <f t="shared" si="128"/>
        <v>5</v>
      </c>
      <c r="E127" s="97">
        <f t="shared" si="128"/>
        <v>8</v>
      </c>
      <c r="F127" s="97">
        <f t="shared" si="128"/>
        <v>0</v>
      </c>
      <c r="G127" s="98">
        <f t="shared" si="128"/>
        <v>23</v>
      </c>
      <c r="H127" s="96">
        <f t="shared" si="128"/>
        <v>3</v>
      </c>
      <c r="I127" s="97">
        <f t="shared" si="128"/>
        <v>1</v>
      </c>
      <c r="J127" s="97">
        <f t="shared" si="128"/>
        <v>3</v>
      </c>
      <c r="K127" s="97">
        <f t="shared" si="128"/>
        <v>6</v>
      </c>
      <c r="L127" s="97">
        <f t="shared" si="128"/>
        <v>2</v>
      </c>
      <c r="M127" s="98">
        <f t="shared" si="128"/>
        <v>15</v>
      </c>
      <c r="N127" s="96">
        <f t="shared" si="128"/>
        <v>5</v>
      </c>
      <c r="O127" s="97">
        <f t="shared" si="128"/>
        <v>2</v>
      </c>
      <c r="P127" s="97">
        <f t="shared" si="128"/>
        <v>2</v>
      </c>
      <c r="Q127" s="97">
        <f t="shared" si="128"/>
        <v>6</v>
      </c>
      <c r="R127" s="97">
        <f t="shared" si="128"/>
        <v>0</v>
      </c>
      <c r="S127" s="98">
        <f t="shared" si="128"/>
        <v>15</v>
      </c>
      <c r="T127" s="96">
        <f t="shared" si="128"/>
        <v>26</v>
      </c>
      <c r="U127" s="97">
        <f t="shared" si="128"/>
        <v>19</v>
      </c>
      <c r="V127" s="97">
        <f t="shared" si="128"/>
        <v>23</v>
      </c>
      <c r="W127" s="97">
        <f t="shared" si="128"/>
        <v>42</v>
      </c>
      <c r="X127" s="97">
        <f t="shared" si="128"/>
        <v>4</v>
      </c>
      <c r="Y127" s="98">
        <f t="shared" si="128"/>
        <v>114</v>
      </c>
      <c r="AB127" s="99">
        <f t="shared" ref="AB127:AG127" si="129">INDEX(AB$73:AB$78,MATCH($A127,$A$73:$A$78,0))</f>
        <v>1</v>
      </c>
      <c r="AC127" s="99">
        <f t="shared" si="129"/>
        <v>1</v>
      </c>
      <c r="AD127" s="99">
        <f t="shared" si="129"/>
        <v>1</v>
      </c>
      <c r="AE127" s="99">
        <f t="shared" si="129"/>
        <v>1</v>
      </c>
      <c r="AF127" s="99">
        <f t="shared" si="129"/>
        <v>0.30769230769230771</v>
      </c>
      <c r="AG127" s="99">
        <f t="shared" si="129"/>
        <v>1</v>
      </c>
      <c r="AI127" s="99" t="str">
        <f t="shared" si="96"/>
        <v>26 (100%)</v>
      </c>
      <c r="AJ127" s="101" t="str">
        <f t="shared" si="97"/>
        <v>19 (100%)</v>
      </c>
      <c r="AK127" s="101" t="str">
        <f t="shared" si="98"/>
        <v>23 (100%)</v>
      </c>
      <c r="AL127" s="101" t="str">
        <f t="shared" si="99"/>
        <v>42 (100%)</v>
      </c>
      <c r="AM127" s="101" t="str">
        <f t="shared" si="100"/>
        <v>4 (31%)</v>
      </c>
      <c r="AN127" s="102" t="str">
        <f t="shared" si="101"/>
        <v>114 (100%)</v>
      </c>
      <c r="AO127" s="102"/>
      <c r="AP127" s="119" t="s">
        <v>802</v>
      </c>
      <c r="AQ127" s="120" t="str">
        <f t="shared" si="106"/>
        <v>[5T1, 3T2, 5T3] 26 (100%)</v>
      </c>
      <c r="AR127" s="120" t="str">
        <f t="shared" si="107"/>
        <v>[5T1, 1T2, 2T3] 19 (100%)</v>
      </c>
      <c r="AS127" s="120" t="str">
        <f t="shared" si="108"/>
        <v>[5T1, 3T2, 2T3] 23 (100%)</v>
      </c>
      <c r="AT127" s="120" t="str">
        <f t="shared" si="109"/>
        <v>[8T1, 6T2, 6T3] 42 (100%)</v>
      </c>
      <c r="AU127" s="120" t="str">
        <f t="shared" si="110"/>
        <v>[0T1, 2T2, 0T3] 4 (31%)</v>
      </c>
      <c r="AV127" s="121" t="str">
        <f t="shared" si="111"/>
        <v>[23T1, 15T2, 15T3] 114 (100%)</v>
      </c>
    </row>
    <row r="128" spans="1:48" x14ac:dyDescent="0.25">
      <c r="A128" s="112" t="s">
        <v>274</v>
      </c>
      <c r="B128" s="70">
        <f t="shared" ref="B128:K133" si="130">INDEX(B$5:B$42,MATCH($A128,$A$5:$A$42,0))</f>
        <v>0</v>
      </c>
      <c r="C128" s="3">
        <f t="shared" si="130"/>
        <v>2</v>
      </c>
      <c r="D128" s="3">
        <f t="shared" si="130"/>
        <v>2</v>
      </c>
      <c r="E128" s="3">
        <f t="shared" si="130"/>
        <v>2</v>
      </c>
      <c r="F128" s="3">
        <f t="shared" si="130"/>
        <v>0</v>
      </c>
      <c r="G128" s="71">
        <f t="shared" si="130"/>
        <v>6</v>
      </c>
      <c r="H128" s="70">
        <f t="shared" si="130"/>
        <v>1</v>
      </c>
      <c r="I128" s="3">
        <f t="shared" si="130"/>
        <v>0</v>
      </c>
      <c r="J128" s="3">
        <f t="shared" si="130"/>
        <v>0</v>
      </c>
      <c r="K128" s="3">
        <f t="shared" si="130"/>
        <v>1</v>
      </c>
      <c r="L128" s="3">
        <f t="shared" ref="L128:Y133" si="131">INDEX(L$5:L$42,MATCH($A128,$A$5:$A$42,0))</f>
        <v>1</v>
      </c>
      <c r="M128" s="71">
        <f t="shared" si="131"/>
        <v>3</v>
      </c>
      <c r="N128" s="70">
        <f t="shared" si="131"/>
        <v>0</v>
      </c>
      <c r="O128" s="3">
        <f t="shared" si="131"/>
        <v>1</v>
      </c>
      <c r="P128" s="3">
        <f t="shared" si="131"/>
        <v>1</v>
      </c>
      <c r="Q128" s="3">
        <f t="shared" si="131"/>
        <v>2</v>
      </c>
      <c r="R128" s="3">
        <f t="shared" si="131"/>
        <v>0</v>
      </c>
      <c r="S128" s="71">
        <f t="shared" si="131"/>
        <v>4</v>
      </c>
      <c r="T128" s="70">
        <f t="shared" si="131"/>
        <v>2</v>
      </c>
      <c r="U128" s="3">
        <f t="shared" si="131"/>
        <v>7</v>
      </c>
      <c r="V128" s="3">
        <f t="shared" si="131"/>
        <v>7</v>
      </c>
      <c r="W128" s="3">
        <f t="shared" si="131"/>
        <v>10</v>
      </c>
      <c r="X128" s="3">
        <f t="shared" si="131"/>
        <v>2</v>
      </c>
      <c r="Y128" s="71">
        <f t="shared" si="131"/>
        <v>28</v>
      </c>
      <c r="AB128" s="100">
        <f t="shared" ref="AB128:AG133" si="132">INDEX(AB$5:AB$42,MATCH($A128,$A$5:$A$42,0))</f>
        <v>0.11764705882352941</v>
      </c>
      <c r="AC128" s="103">
        <f t="shared" si="132"/>
        <v>1</v>
      </c>
      <c r="AD128" s="103">
        <f t="shared" si="132"/>
        <v>0.77777777777777779</v>
      </c>
      <c r="AE128" s="103">
        <f t="shared" si="132"/>
        <v>0.52631578947368418</v>
      </c>
      <c r="AF128" s="103">
        <f t="shared" si="132"/>
        <v>0.2857142857142857</v>
      </c>
      <c r="AG128" s="104">
        <f t="shared" si="132"/>
        <v>0.58333333333333337</v>
      </c>
      <c r="AI128" s="100" t="str">
        <f t="shared" si="96"/>
        <v>2 (12%)</v>
      </c>
      <c r="AJ128" s="103" t="str">
        <f t="shared" si="97"/>
        <v>7 (100%)</v>
      </c>
      <c r="AK128" s="103" t="str">
        <f t="shared" si="98"/>
        <v>7 (78%)</v>
      </c>
      <c r="AL128" s="103" t="str">
        <f t="shared" si="99"/>
        <v>10 (53%)</v>
      </c>
      <c r="AM128" s="103" t="str">
        <f t="shared" si="100"/>
        <v>2 (29%)</v>
      </c>
      <c r="AN128" s="104" t="str">
        <f t="shared" si="101"/>
        <v>28 (58%)</v>
      </c>
      <c r="AO128" s="104"/>
      <c r="AP128" s="122" t="s">
        <v>274</v>
      </c>
      <c r="AQ128" s="123" t="str">
        <f t="shared" si="106"/>
        <v>[0T1, 1T2, 0T3] 2 (12%)</v>
      </c>
      <c r="AR128" s="123" t="str">
        <f t="shared" si="107"/>
        <v>[2T1, 0T2, 1T3] 7 (100%)</v>
      </c>
      <c r="AS128" s="123" t="str">
        <f t="shared" si="108"/>
        <v>[2T1, 0T2, 1T3] 7 (78%)</v>
      </c>
      <c r="AT128" s="123" t="str">
        <f t="shared" si="109"/>
        <v>[2T1, 1T2, 2T3] 10 (53%)</v>
      </c>
      <c r="AU128" s="123" t="str">
        <f t="shared" si="110"/>
        <v>[0T1, 1T2, 0T3] 2 (29%)</v>
      </c>
      <c r="AV128" s="124" t="str">
        <f t="shared" si="111"/>
        <v>[6T1, 3T2, 4T3] 28 (58%)</v>
      </c>
    </row>
    <row r="129" spans="1:48" x14ac:dyDescent="0.25">
      <c r="A129" s="112" t="s">
        <v>196</v>
      </c>
      <c r="B129" s="70">
        <f t="shared" si="130"/>
        <v>0</v>
      </c>
      <c r="C129" s="3">
        <f t="shared" si="130"/>
        <v>1</v>
      </c>
      <c r="D129" s="3">
        <f t="shared" si="130"/>
        <v>0</v>
      </c>
      <c r="E129" s="3">
        <f t="shared" si="130"/>
        <v>0</v>
      </c>
      <c r="F129" s="3">
        <f t="shared" si="130"/>
        <v>0</v>
      </c>
      <c r="G129" s="71">
        <f t="shared" si="130"/>
        <v>1</v>
      </c>
      <c r="H129" s="70">
        <f t="shared" si="130"/>
        <v>0</v>
      </c>
      <c r="I129" s="3">
        <f t="shared" si="130"/>
        <v>1</v>
      </c>
      <c r="J129" s="3">
        <f t="shared" si="130"/>
        <v>2</v>
      </c>
      <c r="K129" s="3">
        <f t="shared" si="130"/>
        <v>4</v>
      </c>
      <c r="L129" s="3">
        <f t="shared" si="131"/>
        <v>0</v>
      </c>
      <c r="M129" s="71">
        <f t="shared" si="131"/>
        <v>7</v>
      </c>
      <c r="N129" s="70">
        <f t="shared" si="131"/>
        <v>4</v>
      </c>
      <c r="O129" s="3">
        <f t="shared" si="131"/>
        <v>0</v>
      </c>
      <c r="P129" s="3">
        <f t="shared" si="131"/>
        <v>1</v>
      </c>
      <c r="Q129" s="3">
        <f t="shared" si="131"/>
        <v>2</v>
      </c>
      <c r="R129" s="3">
        <f t="shared" si="131"/>
        <v>0</v>
      </c>
      <c r="S129" s="71">
        <f t="shared" si="131"/>
        <v>7</v>
      </c>
      <c r="T129" s="70">
        <f t="shared" si="131"/>
        <v>4</v>
      </c>
      <c r="U129" s="3">
        <f t="shared" si="131"/>
        <v>5</v>
      </c>
      <c r="V129" s="3">
        <f t="shared" si="131"/>
        <v>5</v>
      </c>
      <c r="W129" s="3">
        <f t="shared" si="131"/>
        <v>10</v>
      </c>
      <c r="X129" s="3">
        <f t="shared" si="131"/>
        <v>0</v>
      </c>
      <c r="Y129" s="71">
        <f t="shared" si="131"/>
        <v>24</v>
      </c>
      <c r="AB129" s="100">
        <f t="shared" si="132"/>
        <v>0.23529411764705882</v>
      </c>
      <c r="AC129" s="103">
        <f t="shared" si="132"/>
        <v>0.7142857142857143</v>
      </c>
      <c r="AD129" s="103">
        <f t="shared" si="132"/>
        <v>0.55555555555555558</v>
      </c>
      <c r="AE129" s="103">
        <f t="shared" si="132"/>
        <v>0.52631578947368418</v>
      </c>
      <c r="AF129" s="103">
        <f t="shared" si="132"/>
        <v>0</v>
      </c>
      <c r="AG129" s="104">
        <f t="shared" si="132"/>
        <v>0.5</v>
      </c>
      <c r="AI129" s="100" t="str">
        <f t="shared" si="96"/>
        <v>4 (24%)</v>
      </c>
      <c r="AJ129" s="103" t="str">
        <f t="shared" si="97"/>
        <v>5 (71%)</v>
      </c>
      <c r="AK129" s="103" t="str">
        <f t="shared" si="98"/>
        <v>5 (56%)</v>
      </c>
      <c r="AL129" s="103" t="str">
        <f t="shared" si="99"/>
        <v>10 (53%)</v>
      </c>
      <c r="AM129" s="103" t="str">
        <f t="shared" si="100"/>
        <v>0 (0%)</v>
      </c>
      <c r="AN129" s="104" t="str">
        <f t="shared" si="101"/>
        <v>24 (50%)</v>
      </c>
      <c r="AO129" s="104"/>
      <c r="AP129" s="122" t="s">
        <v>196</v>
      </c>
      <c r="AQ129" s="123" t="str">
        <f t="shared" si="106"/>
        <v>[0T1, 0T2, 4T3] 4 (24%)</v>
      </c>
      <c r="AR129" s="123" t="str">
        <f t="shared" si="107"/>
        <v>[1T1, 1T2, 0T3] 5 (71%)</v>
      </c>
      <c r="AS129" s="123" t="str">
        <f t="shared" si="108"/>
        <v>[0T1, 2T2, 1T3] 5 (56%)</v>
      </c>
      <c r="AT129" s="123" t="str">
        <f t="shared" si="109"/>
        <v>[0T1, 4T2, 2T3] 10 (53%)</v>
      </c>
      <c r="AU129" s="123" t="str">
        <f t="shared" si="110"/>
        <v>[0T1, 0T2, 0T3] 0 (0%)</v>
      </c>
      <c r="AV129" s="124" t="str">
        <f t="shared" si="111"/>
        <v>[1T1, 7T2, 7T3] 24 (50%)</v>
      </c>
    </row>
    <row r="130" spans="1:48" x14ac:dyDescent="0.25">
      <c r="A130" s="112" t="s">
        <v>302</v>
      </c>
      <c r="B130" s="70">
        <f t="shared" si="130"/>
        <v>4</v>
      </c>
      <c r="C130" s="3">
        <f t="shared" si="130"/>
        <v>2</v>
      </c>
      <c r="D130" s="3">
        <f t="shared" si="130"/>
        <v>3</v>
      </c>
      <c r="E130" s="3">
        <f t="shared" si="130"/>
        <v>6</v>
      </c>
      <c r="F130" s="3">
        <f t="shared" si="130"/>
        <v>0</v>
      </c>
      <c r="G130" s="71">
        <f t="shared" si="130"/>
        <v>15</v>
      </c>
      <c r="H130" s="70">
        <f t="shared" si="130"/>
        <v>0</v>
      </c>
      <c r="I130" s="3">
        <f t="shared" si="130"/>
        <v>0</v>
      </c>
      <c r="J130" s="3">
        <f t="shared" si="130"/>
        <v>0</v>
      </c>
      <c r="K130" s="3">
        <f t="shared" si="130"/>
        <v>0</v>
      </c>
      <c r="L130" s="3">
        <f t="shared" si="131"/>
        <v>1</v>
      </c>
      <c r="M130" s="71">
        <f t="shared" si="131"/>
        <v>1</v>
      </c>
      <c r="N130" s="70">
        <f t="shared" si="131"/>
        <v>0</v>
      </c>
      <c r="O130" s="3">
        <f t="shared" si="131"/>
        <v>0</v>
      </c>
      <c r="P130" s="3">
        <f t="shared" si="131"/>
        <v>0</v>
      </c>
      <c r="Q130" s="3">
        <f t="shared" si="131"/>
        <v>1</v>
      </c>
      <c r="R130" s="3">
        <f t="shared" si="131"/>
        <v>0</v>
      </c>
      <c r="S130" s="71">
        <f t="shared" si="131"/>
        <v>1</v>
      </c>
      <c r="T130" s="70">
        <f t="shared" si="131"/>
        <v>12</v>
      </c>
      <c r="U130" s="3">
        <f t="shared" si="131"/>
        <v>6</v>
      </c>
      <c r="V130" s="3">
        <f t="shared" si="131"/>
        <v>9</v>
      </c>
      <c r="W130" s="3">
        <f t="shared" si="131"/>
        <v>19</v>
      </c>
      <c r="X130" s="3">
        <f t="shared" si="131"/>
        <v>2</v>
      </c>
      <c r="Y130" s="71">
        <f t="shared" si="131"/>
        <v>48</v>
      </c>
      <c r="AB130" s="100">
        <f t="shared" si="132"/>
        <v>0.70588235294117652</v>
      </c>
      <c r="AC130" s="103">
        <f t="shared" si="132"/>
        <v>0.8571428571428571</v>
      </c>
      <c r="AD130" s="103">
        <f t="shared" si="132"/>
        <v>1</v>
      </c>
      <c r="AE130" s="103">
        <f t="shared" si="132"/>
        <v>1</v>
      </c>
      <c r="AF130" s="103">
        <f t="shared" si="132"/>
        <v>0.2857142857142857</v>
      </c>
      <c r="AG130" s="104">
        <f t="shared" si="132"/>
        <v>1</v>
      </c>
      <c r="AI130" s="100" t="str">
        <f t="shared" si="96"/>
        <v>12 (71%)</v>
      </c>
      <c r="AJ130" s="103" t="str">
        <f t="shared" si="97"/>
        <v>6 (86%)</v>
      </c>
      <c r="AK130" s="103" t="str">
        <f t="shared" si="98"/>
        <v>9 (100%)</v>
      </c>
      <c r="AL130" s="103" t="str">
        <f t="shared" si="99"/>
        <v>19 (100%)</v>
      </c>
      <c r="AM130" s="103" t="str">
        <f t="shared" si="100"/>
        <v>2 (29%)</v>
      </c>
      <c r="AN130" s="104" t="str">
        <f t="shared" si="101"/>
        <v>48 (100%)</v>
      </c>
      <c r="AO130" s="104"/>
      <c r="AP130" s="122" t="s">
        <v>302</v>
      </c>
      <c r="AQ130" s="123" t="str">
        <f t="shared" si="106"/>
        <v>[4T1, 0T2, 0T3] 12 (71%)</v>
      </c>
      <c r="AR130" s="123" t="str">
        <f t="shared" si="107"/>
        <v>[2T1, 0T2, 0T3] 6 (86%)</v>
      </c>
      <c r="AS130" s="123" t="str">
        <f t="shared" si="108"/>
        <v>[3T1, 0T2, 0T3] 9 (100%)</v>
      </c>
      <c r="AT130" s="123" t="str">
        <f t="shared" si="109"/>
        <v>[6T1, 0T2, 1T3] 19 (100%)</v>
      </c>
      <c r="AU130" s="123" t="str">
        <f t="shared" si="110"/>
        <v>[0T1, 1T2, 0T3] 2 (29%)</v>
      </c>
      <c r="AV130" s="124" t="str">
        <f t="shared" si="111"/>
        <v>[15T1, 1T2, 1T3] 48 (100%)</v>
      </c>
    </row>
    <row r="131" spans="1:48" x14ac:dyDescent="0.25">
      <c r="A131" s="112" t="s">
        <v>608</v>
      </c>
      <c r="B131" s="70">
        <f t="shared" si="130"/>
        <v>0</v>
      </c>
      <c r="C131" s="3">
        <f t="shared" si="130"/>
        <v>0</v>
      </c>
      <c r="D131" s="3">
        <f t="shared" si="130"/>
        <v>0</v>
      </c>
      <c r="E131" s="3">
        <f t="shared" si="130"/>
        <v>0</v>
      </c>
      <c r="F131" s="3">
        <f t="shared" si="130"/>
        <v>0</v>
      </c>
      <c r="G131" s="71">
        <f t="shared" si="130"/>
        <v>0</v>
      </c>
      <c r="H131" s="70">
        <f t="shared" si="130"/>
        <v>0</v>
      </c>
      <c r="I131" s="3">
        <f t="shared" si="130"/>
        <v>0</v>
      </c>
      <c r="J131" s="3">
        <f t="shared" si="130"/>
        <v>0</v>
      </c>
      <c r="K131" s="3">
        <f t="shared" si="130"/>
        <v>0</v>
      </c>
      <c r="L131" s="3">
        <f t="shared" si="131"/>
        <v>0</v>
      </c>
      <c r="M131" s="71">
        <f t="shared" si="131"/>
        <v>0</v>
      </c>
      <c r="N131" s="70">
        <f t="shared" si="131"/>
        <v>0</v>
      </c>
      <c r="O131" s="3">
        <f t="shared" si="131"/>
        <v>0</v>
      </c>
      <c r="P131" s="3">
        <f t="shared" si="131"/>
        <v>0</v>
      </c>
      <c r="Q131" s="3">
        <f t="shared" si="131"/>
        <v>1</v>
      </c>
      <c r="R131" s="3">
        <f t="shared" si="131"/>
        <v>0</v>
      </c>
      <c r="S131" s="71">
        <f t="shared" si="131"/>
        <v>1</v>
      </c>
      <c r="T131" s="70">
        <f t="shared" si="131"/>
        <v>0</v>
      </c>
      <c r="U131" s="3">
        <f t="shared" si="131"/>
        <v>0</v>
      </c>
      <c r="V131" s="3">
        <f t="shared" si="131"/>
        <v>0</v>
      </c>
      <c r="W131" s="3">
        <f t="shared" si="131"/>
        <v>1</v>
      </c>
      <c r="X131" s="3">
        <f t="shared" si="131"/>
        <v>0</v>
      </c>
      <c r="Y131" s="71">
        <f t="shared" si="131"/>
        <v>1</v>
      </c>
      <c r="AB131" s="100">
        <f t="shared" si="132"/>
        <v>0</v>
      </c>
      <c r="AC131" s="103">
        <f t="shared" si="132"/>
        <v>0</v>
      </c>
      <c r="AD131" s="103">
        <f t="shared" si="132"/>
        <v>0</v>
      </c>
      <c r="AE131" s="103">
        <f t="shared" si="132"/>
        <v>5.2631578947368418E-2</v>
      </c>
      <c r="AF131" s="103">
        <f t="shared" si="132"/>
        <v>0</v>
      </c>
      <c r="AG131" s="104">
        <f t="shared" si="132"/>
        <v>2.0833333333333332E-2</v>
      </c>
      <c r="AI131" s="100" t="str">
        <f t="shared" si="96"/>
        <v>0 (0%)</v>
      </c>
      <c r="AJ131" s="103" t="str">
        <f t="shared" si="97"/>
        <v>0 (0%)</v>
      </c>
      <c r="AK131" s="103" t="str">
        <f t="shared" si="98"/>
        <v>0 (0%)</v>
      </c>
      <c r="AL131" s="103" t="str">
        <f t="shared" si="99"/>
        <v>1 (5%)</v>
      </c>
      <c r="AM131" s="103" t="str">
        <f t="shared" si="100"/>
        <v>0 (0%)</v>
      </c>
      <c r="AN131" s="104" t="str">
        <f t="shared" si="101"/>
        <v>1 (2%)</v>
      </c>
      <c r="AO131" s="104"/>
      <c r="AP131" s="122" t="s">
        <v>608</v>
      </c>
      <c r="AQ131" s="123" t="str">
        <f t="shared" si="106"/>
        <v>[0T1, 0T2, 0T3] 0 (0%)</v>
      </c>
      <c r="AR131" s="123" t="str">
        <f t="shared" si="107"/>
        <v>[0T1, 0T2, 0T3] 0 (0%)</v>
      </c>
      <c r="AS131" s="123" t="str">
        <f t="shared" si="108"/>
        <v>[0T1, 0T2, 0T3] 0 (0%)</v>
      </c>
      <c r="AT131" s="123" t="str">
        <f t="shared" si="109"/>
        <v>[0T1, 0T2, 1T3] 1 (5%)</v>
      </c>
      <c r="AU131" s="123" t="str">
        <f t="shared" si="110"/>
        <v>[0T1, 0T2, 0T3] 0 (0%)</v>
      </c>
      <c r="AV131" s="124" t="str">
        <f t="shared" si="111"/>
        <v>[0T1, 0T2, 1T3] 1 (2%)</v>
      </c>
    </row>
    <row r="132" spans="1:48" x14ac:dyDescent="0.25">
      <c r="A132" s="112" t="s">
        <v>458</v>
      </c>
      <c r="B132" s="70">
        <f t="shared" si="130"/>
        <v>1</v>
      </c>
      <c r="C132" s="3">
        <f t="shared" si="130"/>
        <v>0</v>
      </c>
      <c r="D132" s="3">
        <f t="shared" si="130"/>
        <v>0</v>
      </c>
      <c r="E132" s="3">
        <f t="shared" si="130"/>
        <v>0</v>
      </c>
      <c r="F132" s="3">
        <f t="shared" si="130"/>
        <v>0</v>
      </c>
      <c r="G132" s="71">
        <f t="shared" si="130"/>
        <v>1</v>
      </c>
      <c r="H132" s="70">
        <f t="shared" si="130"/>
        <v>1</v>
      </c>
      <c r="I132" s="3">
        <f t="shared" si="130"/>
        <v>0</v>
      </c>
      <c r="J132" s="3">
        <f t="shared" si="130"/>
        <v>1</v>
      </c>
      <c r="K132" s="3">
        <f t="shared" si="130"/>
        <v>1</v>
      </c>
      <c r="L132" s="3">
        <f t="shared" si="131"/>
        <v>0</v>
      </c>
      <c r="M132" s="71">
        <f t="shared" si="131"/>
        <v>3</v>
      </c>
      <c r="N132" s="70">
        <f t="shared" si="131"/>
        <v>1</v>
      </c>
      <c r="O132" s="3">
        <f t="shared" si="131"/>
        <v>1</v>
      </c>
      <c r="P132" s="3">
        <f t="shared" si="131"/>
        <v>0</v>
      </c>
      <c r="Q132" s="3">
        <f t="shared" si="131"/>
        <v>0</v>
      </c>
      <c r="R132" s="3">
        <f t="shared" si="131"/>
        <v>0</v>
      </c>
      <c r="S132" s="71">
        <f t="shared" si="131"/>
        <v>2</v>
      </c>
      <c r="T132" s="70">
        <f t="shared" si="131"/>
        <v>6</v>
      </c>
      <c r="U132" s="3">
        <f t="shared" si="131"/>
        <v>1</v>
      </c>
      <c r="V132" s="3">
        <f t="shared" si="131"/>
        <v>2</v>
      </c>
      <c r="W132" s="3">
        <f t="shared" si="131"/>
        <v>2</v>
      </c>
      <c r="X132" s="3">
        <f t="shared" si="131"/>
        <v>0</v>
      </c>
      <c r="Y132" s="71">
        <f t="shared" si="131"/>
        <v>11</v>
      </c>
      <c r="AB132" s="100">
        <f t="shared" si="132"/>
        <v>0.35294117647058826</v>
      </c>
      <c r="AC132" s="103">
        <f t="shared" si="132"/>
        <v>0.14285714285714285</v>
      </c>
      <c r="AD132" s="103">
        <f t="shared" si="132"/>
        <v>0.22222222222222221</v>
      </c>
      <c r="AE132" s="103">
        <f t="shared" si="132"/>
        <v>0.10526315789473684</v>
      </c>
      <c r="AF132" s="103">
        <f t="shared" si="132"/>
        <v>0</v>
      </c>
      <c r="AG132" s="104">
        <f t="shared" si="132"/>
        <v>0.22916666666666666</v>
      </c>
      <c r="AI132" s="100" t="str">
        <f t="shared" si="96"/>
        <v>6 (35%)</v>
      </c>
      <c r="AJ132" s="103" t="str">
        <f t="shared" si="97"/>
        <v>1 (14%)</v>
      </c>
      <c r="AK132" s="103" t="str">
        <f t="shared" si="98"/>
        <v>2 (22%)</v>
      </c>
      <c r="AL132" s="103" t="str">
        <f t="shared" si="99"/>
        <v>2 (11%)</v>
      </c>
      <c r="AM132" s="103" t="str">
        <f t="shared" si="100"/>
        <v>0 (0%)</v>
      </c>
      <c r="AN132" s="104" t="str">
        <f t="shared" si="101"/>
        <v>11 (23%)</v>
      </c>
      <c r="AO132" s="104"/>
      <c r="AP132" s="122" t="s">
        <v>458</v>
      </c>
      <c r="AQ132" s="123" t="str">
        <f t="shared" si="106"/>
        <v>[1T1, 1T2, 1T3] 6 (35%)</v>
      </c>
      <c r="AR132" s="123" t="str">
        <f t="shared" si="107"/>
        <v>[0T1, 0T2, 1T3] 1 (14%)</v>
      </c>
      <c r="AS132" s="123" t="str">
        <f t="shared" si="108"/>
        <v>[0T1, 1T2, 0T3] 2 (22%)</v>
      </c>
      <c r="AT132" s="123" t="str">
        <f t="shared" si="109"/>
        <v>[0T1, 1T2, 0T3] 2 (11%)</v>
      </c>
      <c r="AU132" s="123" t="str">
        <f t="shared" si="110"/>
        <v>[0T1, 0T2, 0T3] 0 (0%)</v>
      </c>
      <c r="AV132" s="124" t="str">
        <f t="shared" si="111"/>
        <v>[1T1, 3T2, 2T3] 11 (23%)</v>
      </c>
    </row>
    <row r="133" spans="1:48" x14ac:dyDescent="0.25">
      <c r="A133" s="112" t="s">
        <v>429</v>
      </c>
      <c r="B133" s="70">
        <f t="shared" si="130"/>
        <v>0</v>
      </c>
      <c r="C133" s="3">
        <f t="shared" si="130"/>
        <v>0</v>
      </c>
      <c r="D133" s="3">
        <f t="shared" si="130"/>
        <v>0</v>
      </c>
      <c r="E133" s="3">
        <f t="shared" si="130"/>
        <v>0</v>
      </c>
      <c r="F133" s="3">
        <f t="shared" si="130"/>
        <v>0</v>
      </c>
      <c r="G133" s="71">
        <f t="shared" si="130"/>
        <v>0</v>
      </c>
      <c r="H133" s="70">
        <f t="shared" si="130"/>
        <v>1</v>
      </c>
      <c r="I133" s="3">
        <f t="shared" si="130"/>
        <v>0</v>
      </c>
      <c r="J133" s="3">
        <f t="shared" si="130"/>
        <v>0</v>
      </c>
      <c r="K133" s="3">
        <f t="shared" si="130"/>
        <v>0</v>
      </c>
      <c r="L133" s="3">
        <f t="shared" si="131"/>
        <v>0</v>
      </c>
      <c r="M133" s="71">
        <f t="shared" si="131"/>
        <v>1</v>
      </c>
      <c r="N133" s="70">
        <f t="shared" si="131"/>
        <v>0</v>
      </c>
      <c r="O133" s="3">
        <f t="shared" si="131"/>
        <v>0</v>
      </c>
      <c r="P133" s="3">
        <f t="shared" si="131"/>
        <v>0</v>
      </c>
      <c r="Q133" s="3">
        <f t="shared" si="131"/>
        <v>0</v>
      </c>
      <c r="R133" s="3">
        <f t="shared" si="131"/>
        <v>0</v>
      </c>
      <c r="S133" s="71">
        <f t="shared" si="131"/>
        <v>0</v>
      </c>
      <c r="T133" s="70">
        <f t="shared" si="131"/>
        <v>2</v>
      </c>
      <c r="U133" s="3">
        <f t="shared" si="131"/>
        <v>0</v>
      </c>
      <c r="V133" s="3">
        <f t="shared" si="131"/>
        <v>0</v>
      </c>
      <c r="W133" s="3">
        <f t="shared" si="131"/>
        <v>0</v>
      </c>
      <c r="X133" s="3">
        <f t="shared" si="131"/>
        <v>0</v>
      </c>
      <c r="Y133" s="71">
        <f t="shared" si="131"/>
        <v>2</v>
      </c>
      <c r="AB133" s="100">
        <f t="shared" si="132"/>
        <v>0.11764705882352941</v>
      </c>
      <c r="AC133" s="103">
        <f t="shared" si="132"/>
        <v>0</v>
      </c>
      <c r="AD133" s="103">
        <f t="shared" si="132"/>
        <v>0</v>
      </c>
      <c r="AE133" s="103">
        <f t="shared" si="132"/>
        <v>0</v>
      </c>
      <c r="AF133" s="103">
        <f t="shared" si="132"/>
        <v>0</v>
      </c>
      <c r="AG133" s="104">
        <f t="shared" si="132"/>
        <v>4.1666666666666664E-2</v>
      </c>
      <c r="AI133" s="100" t="str">
        <f t="shared" si="96"/>
        <v>2 (12%)</v>
      </c>
      <c r="AJ133" s="103" t="str">
        <f t="shared" si="97"/>
        <v>0 (0%)</v>
      </c>
      <c r="AK133" s="103" t="str">
        <f t="shared" si="98"/>
        <v>0 (0%)</v>
      </c>
      <c r="AL133" s="103" t="str">
        <f t="shared" si="99"/>
        <v>0 (0%)</v>
      </c>
      <c r="AM133" s="103" t="str">
        <f t="shared" si="100"/>
        <v>0 (0%)</v>
      </c>
      <c r="AN133" s="104" t="str">
        <f t="shared" si="101"/>
        <v>2 (4%)</v>
      </c>
      <c r="AO133" s="104"/>
      <c r="AP133" s="122" t="s">
        <v>429</v>
      </c>
      <c r="AQ133" s="123" t="str">
        <f t="shared" si="106"/>
        <v>[0T1, 1T2, 0T3] 2 (12%)</v>
      </c>
      <c r="AR133" s="123" t="str">
        <f t="shared" si="107"/>
        <v>[0T1, 0T2, 0T3] 0 (0%)</v>
      </c>
      <c r="AS133" s="123" t="str">
        <f t="shared" si="108"/>
        <v>[0T1, 0T2, 0T3] 0 (0%)</v>
      </c>
      <c r="AT133" s="123" t="str">
        <f t="shared" si="109"/>
        <v>[0T1, 0T2, 0T3] 0 (0%)</v>
      </c>
      <c r="AU133" s="123" t="str">
        <f t="shared" si="110"/>
        <v>[0T1, 0T2, 0T3] 0 (0%)</v>
      </c>
      <c r="AV133" s="124" t="str">
        <f t="shared" si="111"/>
        <v>[0T1, 1T2, 0T3] 2 (4%)</v>
      </c>
    </row>
    <row r="134" spans="1:48" x14ac:dyDescent="0.25">
      <c r="A134" s="113" t="s">
        <v>803</v>
      </c>
      <c r="B134" s="96">
        <f t="shared" ref="B134:Y134" si="133">INDEX(B$73:B$78,MATCH($A134,$A$73:$A$78,0))</f>
        <v>1</v>
      </c>
      <c r="C134" s="97">
        <f t="shared" si="133"/>
        <v>0</v>
      </c>
      <c r="D134" s="97">
        <f t="shared" si="133"/>
        <v>3</v>
      </c>
      <c r="E134" s="97">
        <f t="shared" si="133"/>
        <v>1</v>
      </c>
      <c r="F134" s="97">
        <f t="shared" si="133"/>
        <v>1</v>
      </c>
      <c r="G134" s="98">
        <f t="shared" si="133"/>
        <v>6</v>
      </c>
      <c r="H134" s="96">
        <f t="shared" si="133"/>
        <v>2</v>
      </c>
      <c r="I134" s="97">
        <f t="shared" si="133"/>
        <v>2</v>
      </c>
      <c r="J134" s="97">
        <f t="shared" si="133"/>
        <v>1</v>
      </c>
      <c r="K134" s="97">
        <f t="shared" si="133"/>
        <v>3</v>
      </c>
      <c r="L134" s="97">
        <f t="shared" si="133"/>
        <v>1</v>
      </c>
      <c r="M134" s="98">
        <f t="shared" si="133"/>
        <v>9</v>
      </c>
      <c r="N134" s="96">
        <f t="shared" si="133"/>
        <v>3</v>
      </c>
      <c r="O134" s="97">
        <f t="shared" si="133"/>
        <v>1</v>
      </c>
      <c r="P134" s="97">
        <f t="shared" si="133"/>
        <v>1</v>
      </c>
      <c r="Q134" s="97">
        <f t="shared" si="133"/>
        <v>2</v>
      </c>
      <c r="R134" s="97">
        <f t="shared" si="133"/>
        <v>1</v>
      </c>
      <c r="S134" s="98">
        <f t="shared" si="133"/>
        <v>8</v>
      </c>
      <c r="T134" s="96">
        <f t="shared" si="133"/>
        <v>10</v>
      </c>
      <c r="U134" s="97">
        <f t="shared" si="133"/>
        <v>5</v>
      </c>
      <c r="V134" s="97">
        <f t="shared" si="133"/>
        <v>12</v>
      </c>
      <c r="W134" s="97">
        <f t="shared" si="133"/>
        <v>11</v>
      </c>
      <c r="X134" s="97">
        <f t="shared" si="133"/>
        <v>6</v>
      </c>
      <c r="Y134" s="98">
        <f t="shared" si="133"/>
        <v>44</v>
      </c>
      <c r="AB134" s="99">
        <f t="shared" ref="AB134:AG134" si="134">INDEX(AB$73:AB$78,MATCH($A134,$A$73:$A$78,0))</f>
        <v>0.38461538461538464</v>
      </c>
      <c r="AC134" s="99">
        <f t="shared" si="134"/>
        <v>0.26315789473684209</v>
      </c>
      <c r="AD134" s="99">
        <f t="shared" si="134"/>
        <v>0.52173913043478259</v>
      </c>
      <c r="AE134" s="99">
        <f t="shared" si="134"/>
        <v>0.26190476190476192</v>
      </c>
      <c r="AF134" s="99">
        <f t="shared" si="134"/>
        <v>0.46153846153846156</v>
      </c>
      <c r="AG134" s="99">
        <f t="shared" si="134"/>
        <v>0.38596491228070173</v>
      </c>
      <c r="AI134" s="99" t="str">
        <f t="shared" si="96"/>
        <v>10 (38%)</v>
      </c>
      <c r="AJ134" s="101" t="str">
        <f t="shared" si="97"/>
        <v>5 (26%)</v>
      </c>
      <c r="AK134" s="101" t="str">
        <f t="shared" si="98"/>
        <v>12 (52%)</v>
      </c>
      <c r="AL134" s="101" t="str">
        <f t="shared" si="99"/>
        <v>11 (26%)</v>
      </c>
      <c r="AM134" s="101" t="str">
        <f t="shared" si="100"/>
        <v>6 (46%)</v>
      </c>
      <c r="AN134" s="102" t="str">
        <f t="shared" si="101"/>
        <v>44 (39%)</v>
      </c>
      <c r="AO134" s="102"/>
      <c r="AP134" s="119" t="s">
        <v>803</v>
      </c>
      <c r="AQ134" s="120" t="str">
        <f t="shared" si="106"/>
        <v>[1T1, 2T2, 3T3] 10 (38%)</v>
      </c>
      <c r="AR134" s="120" t="str">
        <f t="shared" si="107"/>
        <v>[0T1, 2T2, 1T3] 5 (26%)</v>
      </c>
      <c r="AS134" s="120" t="str">
        <f t="shared" si="108"/>
        <v>[3T1, 1T2, 1T3] 12 (52%)</v>
      </c>
      <c r="AT134" s="120" t="str">
        <f t="shared" si="109"/>
        <v>[1T1, 3T2, 2T3] 11 (26%)</v>
      </c>
      <c r="AU134" s="120" t="str">
        <f t="shared" si="110"/>
        <v>[1T1, 1T2, 1T3] 6 (46%)</v>
      </c>
      <c r="AV134" s="121" t="str">
        <f t="shared" si="111"/>
        <v>[6T1, 9T2, 8T3] 44 (39%)</v>
      </c>
    </row>
    <row r="135" spans="1:48" x14ac:dyDescent="0.25">
      <c r="A135" s="112" t="s">
        <v>179</v>
      </c>
      <c r="B135" s="70">
        <f t="shared" ref="B135:K145" si="135">INDEX(B$5:B$42,MATCH($A135,$A$5:$A$42,0))</f>
        <v>0</v>
      </c>
      <c r="C135" s="3">
        <f t="shared" si="135"/>
        <v>0</v>
      </c>
      <c r="D135" s="3">
        <f t="shared" si="135"/>
        <v>0</v>
      </c>
      <c r="E135" s="3">
        <f t="shared" si="135"/>
        <v>0</v>
      </c>
      <c r="F135" s="3">
        <f t="shared" si="135"/>
        <v>0</v>
      </c>
      <c r="G135" s="71">
        <f t="shared" si="135"/>
        <v>0</v>
      </c>
      <c r="H135" s="70">
        <f t="shared" si="135"/>
        <v>1</v>
      </c>
      <c r="I135" s="3">
        <f t="shared" si="135"/>
        <v>2</v>
      </c>
      <c r="J135" s="3">
        <f t="shared" si="135"/>
        <v>0</v>
      </c>
      <c r="K135" s="3">
        <f t="shared" si="135"/>
        <v>2</v>
      </c>
      <c r="L135" s="3">
        <f t="shared" ref="L135:Y145" si="136">INDEX(L$5:L$42,MATCH($A135,$A$5:$A$42,0))</f>
        <v>0</v>
      </c>
      <c r="M135" s="71">
        <f t="shared" si="136"/>
        <v>5</v>
      </c>
      <c r="N135" s="70">
        <f t="shared" si="136"/>
        <v>0</v>
      </c>
      <c r="O135" s="3">
        <f t="shared" si="136"/>
        <v>0</v>
      </c>
      <c r="P135" s="3">
        <f t="shared" si="136"/>
        <v>0</v>
      </c>
      <c r="Q135" s="3">
        <f t="shared" si="136"/>
        <v>1</v>
      </c>
      <c r="R135" s="3">
        <f t="shared" si="136"/>
        <v>0</v>
      </c>
      <c r="S135" s="71">
        <f t="shared" si="136"/>
        <v>1</v>
      </c>
      <c r="T135" s="70">
        <f t="shared" si="136"/>
        <v>2</v>
      </c>
      <c r="U135" s="3">
        <f t="shared" si="136"/>
        <v>4</v>
      </c>
      <c r="V135" s="3">
        <f t="shared" si="136"/>
        <v>0</v>
      </c>
      <c r="W135" s="3">
        <f t="shared" si="136"/>
        <v>5</v>
      </c>
      <c r="X135" s="3">
        <f t="shared" si="136"/>
        <v>0</v>
      </c>
      <c r="Y135" s="71">
        <f t="shared" si="136"/>
        <v>11</v>
      </c>
      <c r="AB135" s="100">
        <f t="shared" ref="AB135:AG145" si="137">INDEX(AB$5:AB$42,MATCH($A135,$A$5:$A$42,0))</f>
        <v>0.11764705882352941</v>
      </c>
      <c r="AC135" s="103">
        <f t="shared" si="137"/>
        <v>0.5714285714285714</v>
      </c>
      <c r="AD135" s="103">
        <f t="shared" si="137"/>
        <v>0</v>
      </c>
      <c r="AE135" s="103">
        <f t="shared" si="137"/>
        <v>0.26315789473684209</v>
      </c>
      <c r="AF135" s="103">
        <f t="shared" si="137"/>
        <v>0</v>
      </c>
      <c r="AG135" s="104">
        <f t="shared" si="137"/>
        <v>0.22916666666666666</v>
      </c>
      <c r="AI135" s="100" t="str">
        <f t="shared" si="96"/>
        <v>2 (12%)</v>
      </c>
      <c r="AJ135" s="103" t="str">
        <f t="shared" si="97"/>
        <v>4 (57%)</v>
      </c>
      <c r="AK135" s="103" t="str">
        <f t="shared" si="98"/>
        <v>0 (0%)</v>
      </c>
      <c r="AL135" s="103" t="str">
        <f t="shared" si="99"/>
        <v>5 (26%)</v>
      </c>
      <c r="AM135" s="103" t="str">
        <f t="shared" si="100"/>
        <v>0 (0%)</v>
      </c>
      <c r="AN135" s="104" t="str">
        <f t="shared" si="101"/>
        <v>11 (23%)</v>
      </c>
      <c r="AO135" s="104"/>
      <c r="AP135" s="122" t="s">
        <v>179</v>
      </c>
      <c r="AQ135" s="123" t="str">
        <f t="shared" si="106"/>
        <v>[0T1, 1T2, 0T3] 2 (12%)</v>
      </c>
      <c r="AR135" s="123" t="str">
        <f t="shared" si="107"/>
        <v>[0T1, 2T2, 0T3] 4 (57%)</v>
      </c>
      <c r="AS135" s="123" t="str">
        <f t="shared" si="108"/>
        <v>[0T1, 0T2, 0T3] 0 (0%)</v>
      </c>
      <c r="AT135" s="123" t="str">
        <f t="shared" si="109"/>
        <v>[0T1, 2T2, 1T3] 5 (26%)</v>
      </c>
      <c r="AU135" s="123" t="str">
        <f t="shared" si="110"/>
        <v>[0T1, 0T2, 0T3] 0 (0%)</v>
      </c>
      <c r="AV135" s="124" t="str">
        <f t="shared" si="111"/>
        <v>[0T1, 5T2, 1T3] 11 (23%)</v>
      </c>
    </row>
    <row r="136" spans="1:48" x14ac:dyDescent="0.25">
      <c r="A136" s="112" t="s">
        <v>577</v>
      </c>
      <c r="B136" s="70">
        <f t="shared" si="135"/>
        <v>0</v>
      </c>
      <c r="C136" s="3">
        <f t="shared" si="135"/>
        <v>0</v>
      </c>
      <c r="D136" s="3">
        <f t="shared" si="135"/>
        <v>0</v>
      </c>
      <c r="E136" s="3">
        <f t="shared" si="135"/>
        <v>0</v>
      </c>
      <c r="F136" s="3">
        <f t="shared" si="135"/>
        <v>0</v>
      </c>
      <c r="G136" s="71">
        <f t="shared" si="135"/>
        <v>0</v>
      </c>
      <c r="H136" s="70">
        <f t="shared" si="135"/>
        <v>0</v>
      </c>
      <c r="I136" s="3">
        <f t="shared" si="135"/>
        <v>0</v>
      </c>
      <c r="J136" s="3">
        <f t="shared" si="135"/>
        <v>0</v>
      </c>
      <c r="K136" s="3">
        <f t="shared" si="135"/>
        <v>0</v>
      </c>
      <c r="L136" s="3">
        <f t="shared" si="136"/>
        <v>0</v>
      </c>
      <c r="M136" s="71">
        <f t="shared" si="136"/>
        <v>0</v>
      </c>
      <c r="N136" s="70">
        <f t="shared" si="136"/>
        <v>0</v>
      </c>
      <c r="O136" s="3">
        <f t="shared" si="136"/>
        <v>0</v>
      </c>
      <c r="P136" s="3">
        <f t="shared" si="136"/>
        <v>0</v>
      </c>
      <c r="Q136" s="3">
        <f t="shared" si="136"/>
        <v>1</v>
      </c>
      <c r="R136" s="3">
        <f t="shared" si="136"/>
        <v>0</v>
      </c>
      <c r="S136" s="71">
        <f t="shared" si="136"/>
        <v>1</v>
      </c>
      <c r="T136" s="70">
        <f t="shared" si="136"/>
        <v>0</v>
      </c>
      <c r="U136" s="3">
        <f t="shared" si="136"/>
        <v>0</v>
      </c>
      <c r="V136" s="3">
        <f t="shared" si="136"/>
        <v>0</v>
      </c>
      <c r="W136" s="3">
        <f t="shared" si="136"/>
        <v>1</v>
      </c>
      <c r="X136" s="3">
        <f t="shared" si="136"/>
        <v>0</v>
      </c>
      <c r="Y136" s="71">
        <f t="shared" si="136"/>
        <v>1</v>
      </c>
      <c r="AB136" s="100">
        <f t="shared" si="137"/>
        <v>0</v>
      </c>
      <c r="AC136" s="103">
        <f t="shared" si="137"/>
        <v>0</v>
      </c>
      <c r="AD136" s="103">
        <f t="shared" si="137"/>
        <v>0</v>
      </c>
      <c r="AE136" s="103">
        <f t="shared" si="137"/>
        <v>5.2631578947368418E-2</v>
      </c>
      <c r="AF136" s="103">
        <f t="shared" si="137"/>
        <v>0</v>
      </c>
      <c r="AG136" s="104">
        <f t="shared" si="137"/>
        <v>2.0833333333333332E-2</v>
      </c>
      <c r="AI136" s="100" t="str">
        <f t="shared" si="96"/>
        <v>0 (0%)</v>
      </c>
      <c r="AJ136" s="103" t="str">
        <f t="shared" si="97"/>
        <v>0 (0%)</v>
      </c>
      <c r="AK136" s="103" t="str">
        <f t="shared" si="98"/>
        <v>0 (0%)</v>
      </c>
      <c r="AL136" s="103" t="str">
        <f t="shared" si="99"/>
        <v>1 (5%)</v>
      </c>
      <c r="AM136" s="103" t="str">
        <f t="shared" si="100"/>
        <v>0 (0%)</v>
      </c>
      <c r="AN136" s="104" t="str">
        <f t="shared" si="101"/>
        <v>1 (2%)</v>
      </c>
      <c r="AO136" s="104"/>
      <c r="AP136" s="122" t="s">
        <v>577</v>
      </c>
      <c r="AQ136" s="123" t="str">
        <f t="shared" si="106"/>
        <v>[0T1, 0T2, 0T3] 0 (0%)</v>
      </c>
      <c r="AR136" s="123" t="str">
        <f t="shared" si="107"/>
        <v>[0T1, 0T2, 0T3] 0 (0%)</v>
      </c>
      <c r="AS136" s="123" t="str">
        <f t="shared" si="108"/>
        <v>[0T1, 0T2, 0T3] 0 (0%)</v>
      </c>
      <c r="AT136" s="123" t="str">
        <f t="shared" si="109"/>
        <v>[0T1, 0T2, 1T3] 1 (5%)</v>
      </c>
      <c r="AU136" s="123" t="str">
        <f t="shared" si="110"/>
        <v>[0T1, 0T2, 0T3] 0 (0%)</v>
      </c>
      <c r="AV136" s="124" t="str">
        <f t="shared" si="111"/>
        <v>[0T1, 0T2, 1T3] 1 (2%)</v>
      </c>
    </row>
    <row r="137" spans="1:48" s="138" customFormat="1" x14ac:dyDescent="0.25">
      <c r="A137" s="134" t="s">
        <v>243</v>
      </c>
      <c r="B137" s="135">
        <f t="shared" si="135"/>
        <v>0</v>
      </c>
      <c r="C137" s="136">
        <f t="shared" si="135"/>
        <v>0</v>
      </c>
      <c r="D137" s="136">
        <f t="shared" si="135"/>
        <v>0</v>
      </c>
      <c r="E137" s="136">
        <f t="shared" si="135"/>
        <v>0</v>
      </c>
      <c r="F137" s="136">
        <f t="shared" si="135"/>
        <v>0</v>
      </c>
      <c r="G137" s="137">
        <f t="shared" si="135"/>
        <v>0</v>
      </c>
      <c r="H137" s="135">
        <f t="shared" si="135"/>
        <v>0</v>
      </c>
      <c r="I137" s="136">
        <f t="shared" si="135"/>
        <v>0</v>
      </c>
      <c r="J137" s="136">
        <f t="shared" si="135"/>
        <v>0</v>
      </c>
      <c r="K137" s="136">
        <f t="shared" si="135"/>
        <v>0</v>
      </c>
      <c r="L137" s="136">
        <f t="shared" si="136"/>
        <v>0</v>
      </c>
      <c r="M137" s="137">
        <f t="shared" si="136"/>
        <v>0</v>
      </c>
      <c r="N137" s="135">
        <f t="shared" si="136"/>
        <v>0</v>
      </c>
      <c r="O137" s="136">
        <f t="shared" si="136"/>
        <v>0</v>
      </c>
      <c r="P137" s="136">
        <f t="shared" si="136"/>
        <v>0</v>
      </c>
      <c r="Q137" s="136">
        <f t="shared" si="136"/>
        <v>0</v>
      </c>
      <c r="R137" s="136">
        <f t="shared" si="136"/>
        <v>0</v>
      </c>
      <c r="S137" s="137">
        <f t="shared" si="136"/>
        <v>0</v>
      </c>
      <c r="T137" s="135">
        <f t="shared" si="136"/>
        <v>0</v>
      </c>
      <c r="U137" s="136">
        <f t="shared" si="136"/>
        <v>0</v>
      </c>
      <c r="V137" s="136">
        <f t="shared" si="136"/>
        <v>0</v>
      </c>
      <c r="W137" s="136">
        <f t="shared" si="136"/>
        <v>0</v>
      </c>
      <c r="X137" s="136">
        <f t="shared" si="136"/>
        <v>0</v>
      </c>
      <c r="Y137" s="137">
        <f t="shared" si="136"/>
        <v>0</v>
      </c>
      <c r="AB137" s="139">
        <f t="shared" si="137"/>
        <v>0</v>
      </c>
      <c r="AC137" s="140">
        <f t="shared" si="137"/>
        <v>0</v>
      </c>
      <c r="AD137" s="140">
        <f t="shared" si="137"/>
        <v>0</v>
      </c>
      <c r="AE137" s="140">
        <f t="shared" si="137"/>
        <v>0</v>
      </c>
      <c r="AF137" s="140">
        <f t="shared" si="137"/>
        <v>0</v>
      </c>
      <c r="AG137" s="141">
        <f t="shared" si="137"/>
        <v>0</v>
      </c>
      <c r="AI137" s="139" t="str">
        <f t="shared" si="96"/>
        <v>0 (0%)</v>
      </c>
      <c r="AJ137" s="140" t="str">
        <f t="shared" si="97"/>
        <v>0 (0%)</v>
      </c>
      <c r="AK137" s="140" t="str">
        <f t="shared" si="98"/>
        <v>0 (0%)</v>
      </c>
      <c r="AL137" s="140" t="str">
        <f t="shared" si="99"/>
        <v>0 (0%)</v>
      </c>
      <c r="AM137" s="140" t="str">
        <f t="shared" si="100"/>
        <v>0 (0%)</v>
      </c>
      <c r="AN137" s="141" t="str">
        <f t="shared" si="101"/>
        <v>0 (0%)</v>
      </c>
      <c r="AO137" s="141"/>
      <c r="AP137" s="142" t="s">
        <v>243</v>
      </c>
      <c r="AQ137" s="143" t="str">
        <f t="shared" si="106"/>
        <v>[0T1, 0T2, 0T3] 0 (0%)</v>
      </c>
      <c r="AR137" s="143" t="str">
        <f t="shared" si="107"/>
        <v>[0T1, 0T2, 0T3] 0 (0%)</v>
      </c>
      <c r="AS137" s="143" t="str">
        <f t="shared" si="108"/>
        <v>[0T1, 0T2, 0T3] 0 (0%)</v>
      </c>
      <c r="AT137" s="143" t="str">
        <f t="shared" si="109"/>
        <v>[0T1, 0T2, 0T3] 0 (0%)</v>
      </c>
      <c r="AU137" s="143" t="str">
        <f t="shared" si="110"/>
        <v>[0T1, 0T2, 0T3] 0 (0%)</v>
      </c>
      <c r="AV137" s="144" t="str">
        <f t="shared" si="111"/>
        <v>[0T1, 0T2, 0T3] 0 (0%)</v>
      </c>
    </row>
    <row r="138" spans="1:48" x14ac:dyDescent="0.25">
      <c r="A138" s="112" t="s">
        <v>488</v>
      </c>
      <c r="B138" s="70">
        <f t="shared" si="135"/>
        <v>0</v>
      </c>
      <c r="C138" s="3">
        <f t="shared" si="135"/>
        <v>0</v>
      </c>
      <c r="D138" s="3">
        <f t="shared" si="135"/>
        <v>1</v>
      </c>
      <c r="E138" s="3">
        <f t="shared" si="135"/>
        <v>0</v>
      </c>
      <c r="F138" s="3">
        <f t="shared" si="135"/>
        <v>0</v>
      </c>
      <c r="G138" s="71">
        <f t="shared" si="135"/>
        <v>1</v>
      </c>
      <c r="H138" s="70">
        <f t="shared" si="135"/>
        <v>0</v>
      </c>
      <c r="I138" s="3">
        <f t="shared" si="135"/>
        <v>0</v>
      </c>
      <c r="J138" s="3">
        <f t="shared" si="135"/>
        <v>0</v>
      </c>
      <c r="K138" s="3">
        <f t="shared" si="135"/>
        <v>0</v>
      </c>
      <c r="L138" s="3">
        <f t="shared" si="136"/>
        <v>0</v>
      </c>
      <c r="M138" s="71">
        <f t="shared" si="136"/>
        <v>0</v>
      </c>
      <c r="N138" s="70">
        <f t="shared" si="136"/>
        <v>0</v>
      </c>
      <c r="O138" s="3">
        <f t="shared" si="136"/>
        <v>0</v>
      </c>
      <c r="P138" s="3">
        <f t="shared" si="136"/>
        <v>0</v>
      </c>
      <c r="Q138" s="3">
        <f t="shared" si="136"/>
        <v>0</v>
      </c>
      <c r="R138" s="3">
        <f t="shared" si="136"/>
        <v>0</v>
      </c>
      <c r="S138" s="71">
        <f t="shared" si="136"/>
        <v>0</v>
      </c>
      <c r="T138" s="70">
        <f t="shared" si="136"/>
        <v>0</v>
      </c>
      <c r="U138" s="3">
        <f t="shared" si="136"/>
        <v>0</v>
      </c>
      <c r="V138" s="3">
        <f t="shared" si="136"/>
        <v>3</v>
      </c>
      <c r="W138" s="3">
        <f t="shared" si="136"/>
        <v>0</v>
      </c>
      <c r="X138" s="3">
        <f t="shared" si="136"/>
        <v>0</v>
      </c>
      <c r="Y138" s="71">
        <f t="shared" si="136"/>
        <v>3</v>
      </c>
      <c r="AB138" s="100">
        <f t="shared" si="137"/>
        <v>0</v>
      </c>
      <c r="AC138" s="103">
        <f t="shared" si="137"/>
        <v>0</v>
      </c>
      <c r="AD138" s="103">
        <f t="shared" si="137"/>
        <v>0.33333333333333331</v>
      </c>
      <c r="AE138" s="103">
        <f t="shared" si="137"/>
        <v>0</v>
      </c>
      <c r="AF138" s="103">
        <f t="shared" si="137"/>
        <v>0</v>
      </c>
      <c r="AG138" s="104">
        <f t="shared" si="137"/>
        <v>6.25E-2</v>
      </c>
      <c r="AI138" s="100" t="str">
        <f t="shared" si="96"/>
        <v>0 (0%)</v>
      </c>
      <c r="AJ138" s="103" t="str">
        <f t="shared" si="97"/>
        <v>0 (0%)</v>
      </c>
      <c r="AK138" s="103" t="str">
        <f t="shared" si="98"/>
        <v>3 (33%)</v>
      </c>
      <c r="AL138" s="103" t="str">
        <f t="shared" si="99"/>
        <v>0 (0%)</v>
      </c>
      <c r="AM138" s="103" t="str">
        <f t="shared" si="100"/>
        <v>0 (0%)</v>
      </c>
      <c r="AN138" s="104" t="str">
        <f t="shared" si="101"/>
        <v>3 (6%)</v>
      </c>
      <c r="AO138" s="104"/>
      <c r="AP138" s="122" t="s">
        <v>488</v>
      </c>
      <c r="AQ138" s="123" t="str">
        <f t="shared" si="106"/>
        <v>[0T1, 0T2, 0T3] 0 (0%)</v>
      </c>
      <c r="AR138" s="123" t="str">
        <f t="shared" si="107"/>
        <v>[0T1, 0T2, 0T3] 0 (0%)</v>
      </c>
      <c r="AS138" s="123" t="str">
        <f t="shared" si="108"/>
        <v>[1T1, 0T2, 0T3] 3 (33%)</v>
      </c>
      <c r="AT138" s="123" t="str">
        <f t="shared" si="109"/>
        <v>[0T1, 0T2, 0T3] 0 (0%)</v>
      </c>
      <c r="AU138" s="123" t="str">
        <f t="shared" si="110"/>
        <v>[0T1, 0T2, 0T3] 0 (0%)</v>
      </c>
      <c r="AV138" s="124" t="str">
        <f t="shared" si="111"/>
        <v>[1T1, 0T2, 0T3] 3 (6%)</v>
      </c>
    </row>
    <row r="139" spans="1:48" x14ac:dyDescent="0.25">
      <c r="A139" s="112" t="s">
        <v>538</v>
      </c>
      <c r="B139" s="70">
        <f t="shared" si="135"/>
        <v>0</v>
      </c>
      <c r="C139" s="3">
        <f t="shared" si="135"/>
        <v>0</v>
      </c>
      <c r="D139" s="3">
        <f t="shared" si="135"/>
        <v>0</v>
      </c>
      <c r="E139" s="3">
        <f t="shared" si="135"/>
        <v>0</v>
      </c>
      <c r="F139" s="3">
        <f t="shared" si="135"/>
        <v>0</v>
      </c>
      <c r="G139" s="71">
        <f t="shared" si="135"/>
        <v>0</v>
      </c>
      <c r="H139" s="70">
        <f t="shared" si="135"/>
        <v>0</v>
      </c>
      <c r="I139" s="3">
        <f t="shared" si="135"/>
        <v>0</v>
      </c>
      <c r="J139" s="3">
        <f t="shared" si="135"/>
        <v>0</v>
      </c>
      <c r="K139" s="3">
        <f t="shared" si="135"/>
        <v>0</v>
      </c>
      <c r="L139" s="3">
        <f t="shared" si="136"/>
        <v>0</v>
      </c>
      <c r="M139" s="71">
        <f t="shared" si="136"/>
        <v>0</v>
      </c>
      <c r="N139" s="70">
        <f t="shared" si="136"/>
        <v>1</v>
      </c>
      <c r="O139" s="3">
        <f t="shared" si="136"/>
        <v>0</v>
      </c>
      <c r="P139" s="3">
        <f t="shared" si="136"/>
        <v>0</v>
      </c>
      <c r="Q139" s="3">
        <f t="shared" si="136"/>
        <v>0</v>
      </c>
      <c r="R139" s="3">
        <f t="shared" si="136"/>
        <v>0</v>
      </c>
      <c r="S139" s="71">
        <f t="shared" si="136"/>
        <v>1</v>
      </c>
      <c r="T139" s="70">
        <f t="shared" si="136"/>
        <v>1</v>
      </c>
      <c r="U139" s="3">
        <f t="shared" si="136"/>
        <v>0</v>
      </c>
      <c r="V139" s="3">
        <f t="shared" si="136"/>
        <v>0</v>
      </c>
      <c r="W139" s="3">
        <f t="shared" si="136"/>
        <v>0</v>
      </c>
      <c r="X139" s="3">
        <f t="shared" si="136"/>
        <v>0</v>
      </c>
      <c r="Y139" s="71">
        <f t="shared" si="136"/>
        <v>1</v>
      </c>
      <c r="AB139" s="100">
        <f t="shared" si="137"/>
        <v>5.8823529411764705E-2</v>
      </c>
      <c r="AC139" s="103">
        <f t="shared" si="137"/>
        <v>0</v>
      </c>
      <c r="AD139" s="103">
        <f t="shared" si="137"/>
        <v>0</v>
      </c>
      <c r="AE139" s="103">
        <f t="shared" si="137"/>
        <v>0</v>
      </c>
      <c r="AF139" s="103">
        <f t="shared" si="137"/>
        <v>0</v>
      </c>
      <c r="AG139" s="104">
        <f t="shared" si="137"/>
        <v>2.0833333333333332E-2</v>
      </c>
      <c r="AI139" s="100" t="str">
        <f t="shared" si="96"/>
        <v>1 (6%)</v>
      </c>
      <c r="AJ139" s="103" t="str">
        <f t="shared" si="97"/>
        <v>0 (0%)</v>
      </c>
      <c r="AK139" s="103" t="str">
        <f t="shared" si="98"/>
        <v>0 (0%)</v>
      </c>
      <c r="AL139" s="103" t="str">
        <f t="shared" si="99"/>
        <v>0 (0%)</v>
      </c>
      <c r="AM139" s="103" t="str">
        <f t="shared" si="100"/>
        <v>0 (0%)</v>
      </c>
      <c r="AN139" s="104" t="str">
        <f t="shared" si="101"/>
        <v>1 (2%)</v>
      </c>
      <c r="AO139" s="104"/>
      <c r="AP139" s="122" t="s">
        <v>538</v>
      </c>
      <c r="AQ139" s="123" t="str">
        <f t="shared" si="106"/>
        <v>[0T1, 0T2, 1T3] 1 (6%)</v>
      </c>
      <c r="AR139" s="123" t="str">
        <f t="shared" si="107"/>
        <v>[0T1, 0T2, 0T3] 0 (0%)</v>
      </c>
      <c r="AS139" s="123" t="str">
        <f t="shared" si="108"/>
        <v>[0T1, 0T2, 0T3] 0 (0%)</v>
      </c>
      <c r="AT139" s="123" t="str">
        <f t="shared" si="109"/>
        <v>[0T1, 0T2, 0T3] 0 (0%)</v>
      </c>
      <c r="AU139" s="123" t="str">
        <f t="shared" si="110"/>
        <v>[0T1, 0T2, 0T3] 0 (0%)</v>
      </c>
      <c r="AV139" s="124" t="str">
        <f t="shared" si="111"/>
        <v>[0T1, 0T2, 1T3] 1 (2%)</v>
      </c>
    </row>
    <row r="140" spans="1:48" x14ac:dyDescent="0.25">
      <c r="A140" s="112" t="s">
        <v>253</v>
      </c>
      <c r="B140" s="70">
        <f t="shared" si="135"/>
        <v>0</v>
      </c>
      <c r="C140" s="3">
        <f t="shared" si="135"/>
        <v>0</v>
      </c>
      <c r="D140" s="3">
        <f t="shared" si="135"/>
        <v>0</v>
      </c>
      <c r="E140" s="3">
        <f t="shared" si="135"/>
        <v>0</v>
      </c>
      <c r="F140" s="3">
        <f t="shared" si="135"/>
        <v>0</v>
      </c>
      <c r="G140" s="71">
        <f t="shared" si="135"/>
        <v>0</v>
      </c>
      <c r="H140" s="70">
        <f t="shared" si="135"/>
        <v>1</v>
      </c>
      <c r="I140" s="3">
        <f t="shared" si="135"/>
        <v>0</v>
      </c>
      <c r="J140" s="3">
        <f t="shared" si="135"/>
        <v>0</v>
      </c>
      <c r="K140" s="3">
        <f t="shared" si="135"/>
        <v>0</v>
      </c>
      <c r="L140" s="3">
        <f t="shared" si="136"/>
        <v>0</v>
      </c>
      <c r="M140" s="71">
        <f t="shared" si="136"/>
        <v>1</v>
      </c>
      <c r="N140" s="70">
        <f t="shared" si="136"/>
        <v>0</v>
      </c>
      <c r="O140" s="3">
        <f t="shared" si="136"/>
        <v>0</v>
      </c>
      <c r="P140" s="3">
        <f t="shared" si="136"/>
        <v>0</v>
      </c>
      <c r="Q140" s="3">
        <f t="shared" si="136"/>
        <v>0</v>
      </c>
      <c r="R140" s="3">
        <f t="shared" si="136"/>
        <v>0</v>
      </c>
      <c r="S140" s="71">
        <f t="shared" si="136"/>
        <v>0</v>
      </c>
      <c r="T140" s="70">
        <f t="shared" si="136"/>
        <v>2</v>
      </c>
      <c r="U140" s="3">
        <f t="shared" si="136"/>
        <v>0</v>
      </c>
      <c r="V140" s="3">
        <f t="shared" si="136"/>
        <v>0</v>
      </c>
      <c r="W140" s="3">
        <f t="shared" si="136"/>
        <v>0</v>
      </c>
      <c r="X140" s="3">
        <f t="shared" si="136"/>
        <v>0</v>
      </c>
      <c r="Y140" s="71">
        <f t="shared" si="136"/>
        <v>2</v>
      </c>
      <c r="AB140" s="100">
        <f t="shared" si="137"/>
        <v>0.11764705882352941</v>
      </c>
      <c r="AC140" s="103">
        <f t="shared" si="137"/>
        <v>0</v>
      </c>
      <c r="AD140" s="103">
        <f t="shared" si="137"/>
        <v>0</v>
      </c>
      <c r="AE140" s="103">
        <f t="shared" si="137"/>
        <v>0</v>
      </c>
      <c r="AF140" s="103">
        <f t="shared" si="137"/>
        <v>0</v>
      </c>
      <c r="AG140" s="104">
        <f t="shared" si="137"/>
        <v>4.1666666666666664E-2</v>
      </c>
      <c r="AI140" s="100" t="str">
        <f t="shared" si="96"/>
        <v>2 (12%)</v>
      </c>
      <c r="AJ140" s="103" t="str">
        <f t="shared" si="97"/>
        <v>0 (0%)</v>
      </c>
      <c r="AK140" s="103" t="str">
        <f t="shared" si="98"/>
        <v>0 (0%)</v>
      </c>
      <c r="AL140" s="103" t="str">
        <f t="shared" si="99"/>
        <v>0 (0%)</v>
      </c>
      <c r="AM140" s="103" t="str">
        <f t="shared" si="100"/>
        <v>0 (0%)</v>
      </c>
      <c r="AN140" s="104" t="str">
        <f t="shared" si="101"/>
        <v>2 (4%)</v>
      </c>
      <c r="AO140" s="104"/>
      <c r="AP140" s="122" t="s">
        <v>253</v>
      </c>
      <c r="AQ140" s="123" t="str">
        <f t="shared" si="106"/>
        <v>[0T1, 1T2, 0T3] 2 (12%)</v>
      </c>
      <c r="AR140" s="123" t="str">
        <f t="shared" si="107"/>
        <v>[0T1, 0T2, 0T3] 0 (0%)</v>
      </c>
      <c r="AS140" s="123" t="str">
        <f t="shared" si="108"/>
        <v>[0T1, 0T2, 0T3] 0 (0%)</v>
      </c>
      <c r="AT140" s="123" t="str">
        <f t="shared" si="109"/>
        <v>[0T1, 0T2, 0T3] 0 (0%)</v>
      </c>
      <c r="AU140" s="123" t="str">
        <f t="shared" si="110"/>
        <v>[0T1, 0T2, 0T3] 0 (0%)</v>
      </c>
      <c r="AV140" s="124" t="str">
        <f t="shared" si="111"/>
        <v>[0T1, 1T2, 0T3] 2 (4%)</v>
      </c>
    </row>
    <row r="141" spans="1:48" x14ac:dyDescent="0.25">
      <c r="A141" s="112" t="s">
        <v>258</v>
      </c>
      <c r="B141" s="70">
        <f t="shared" si="135"/>
        <v>0</v>
      </c>
      <c r="C141" s="3">
        <f t="shared" si="135"/>
        <v>0</v>
      </c>
      <c r="D141" s="3">
        <f t="shared" si="135"/>
        <v>0</v>
      </c>
      <c r="E141" s="3">
        <f t="shared" si="135"/>
        <v>1</v>
      </c>
      <c r="F141" s="3">
        <f t="shared" si="135"/>
        <v>0</v>
      </c>
      <c r="G141" s="71">
        <f t="shared" si="135"/>
        <v>1</v>
      </c>
      <c r="H141" s="70">
        <f t="shared" si="135"/>
        <v>0</v>
      </c>
      <c r="I141" s="3">
        <f t="shared" si="135"/>
        <v>0</v>
      </c>
      <c r="J141" s="3">
        <f t="shared" si="135"/>
        <v>1</v>
      </c>
      <c r="K141" s="3">
        <f t="shared" si="135"/>
        <v>0</v>
      </c>
      <c r="L141" s="3">
        <f t="shared" si="136"/>
        <v>0</v>
      </c>
      <c r="M141" s="71">
        <f t="shared" si="136"/>
        <v>1</v>
      </c>
      <c r="N141" s="70">
        <f t="shared" si="136"/>
        <v>0</v>
      </c>
      <c r="O141" s="3">
        <f t="shared" si="136"/>
        <v>0</v>
      </c>
      <c r="P141" s="3">
        <f t="shared" si="136"/>
        <v>0</v>
      </c>
      <c r="Q141" s="3">
        <f t="shared" si="136"/>
        <v>0</v>
      </c>
      <c r="R141" s="3">
        <f t="shared" si="136"/>
        <v>0</v>
      </c>
      <c r="S141" s="71">
        <f t="shared" si="136"/>
        <v>0</v>
      </c>
      <c r="T141" s="70">
        <f t="shared" si="136"/>
        <v>0</v>
      </c>
      <c r="U141" s="3">
        <f t="shared" si="136"/>
        <v>0</v>
      </c>
      <c r="V141" s="3">
        <f t="shared" si="136"/>
        <v>2</v>
      </c>
      <c r="W141" s="3">
        <f t="shared" si="136"/>
        <v>3</v>
      </c>
      <c r="X141" s="3">
        <f t="shared" si="136"/>
        <v>0</v>
      </c>
      <c r="Y141" s="71">
        <f t="shared" si="136"/>
        <v>5</v>
      </c>
      <c r="AB141" s="100">
        <f t="shared" si="137"/>
        <v>0</v>
      </c>
      <c r="AC141" s="103">
        <f t="shared" si="137"/>
        <v>0</v>
      </c>
      <c r="AD141" s="103">
        <f t="shared" si="137"/>
        <v>0.22222222222222221</v>
      </c>
      <c r="AE141" s="103">
        <f t="shared" si="137"/>
        <v>0.15789473684210525</v>
      </c>
      <c r="AF141" s="103">
        <f t="shared" si="137"/>
        <v>0</v>
      </c>
      <c r="AG141" s="104">
        <f t="shared" si="137"/>
        <v>0.10416666666666667</v>
      </c>
      <c r="AI141" s="100" t="str">
        <f t="shared" si="96"/>
        <v>0 (0%)</v>
      </c>
      <c r="AJ141" s="103" t="str">
        <f t="shared" si="97"/>
        <v>0 (0%)</v>
      </c>
      <c r="AK141" s="103" t="str">
        <f t="shared" si="98"/>
        <v>2 (22%)</v>
      </c>
      <c r="AL141" s="103" t="str">
        <f t="shared" si="99"/>
        <v>3 (16%)</v>
      </c>
      <c r="AM141" s="103" t="str">
        <f t="shared" si="100"/>
        <v>0 (0%)</v>
      </c>
      <c r="AN141" s="104" t="str">
        <f t="shared" si="101"/>
        <v>5 (10%)</v>
      </c>
      <c r="AO141" s="104"/>
      <c r="AP141" s="122" t="s">
        <v>258</v>
      </c>
      <c r="AQ141" s="123" t="str">
        <f t="shared" si="106"/>
        <v>[0T1, 0T2, 0T3] 0 (0%)</v>
      </c>
      <c r="AR141" s="123" t="str">
        <f t="shared" si="107"/>
        <v>[0T1, 0T2, 0T3] 0 (0%)</v>
      </c>
      <c r="AS141" s="123" t="str">
        <f t="shared" si="108"/>
        <v>[0T1, 1T2, 0T3] 2 (22%)</v>
      </c>
      <c r="AT141" s="123" t="str">
        <f t="shared" si="109"/>
        <v>[1T1, 0T2, 0T3] 3 (16%)</v>
      </c>
      <c r="AU141" s="123" t="str">
        <f t="shared" si="110"/>
        <v>[0T1, 0T2, 0T3] 0 (0%)</v>
      </c>
      <c r="AV141" s="124" t="str">
        <f t="shared" si="111"/>
        <v>[1T1, 1T2, 0T3] 5 (10%)</v>
      </c>
    </row>
    <row r="142" spans="1:48" x14ac:dyDescent="0.25">
      <c r="A142" s="112" t="s">
        <v>622</v>
      </c>
      <c r="B142" s="70">
        <f t="shared" si="135"/>
        <v>1</v>
      </c>
      <c r="C142" s="3">
        <f t="shared" si="135"/>
        <v>0</v>
      </c>
      <c r="D142" s="3">
        <f t="shared" si="135"/>
        <v>0</v>
      </c>
      <c r="E142" s="3">
        <f t="shared" si="135"/>
        <v>0</v>
      </c>
      <c r="F142" s="3">
        <f t="shared" si="135"/>
        <v>0</v>
      </c>
      <c r="G142" s="71">
        <f t="shared" si="135"/>
        <v>1</v>
      </c>
      <c r="H142" s="70">
        <f t="shared" si="135"/>
        <v>0</v>
      </c>
      <c r="I142" s="3">
        <f t="shared" si="135"/>
        <v>0</v>
      </c>
      <c r="J142" s="3">
        <f t="shared" si="135"/>
        <v>0</v>
      </c>
      <c r="K142" s="3">
        <f t="shared" si="135"/>
        <v>0</v>
      </c>
      <c r="L142" s="3">
        <f t="shared" si="136"/>
        <v>0</v>
      </c>
      <c r="M142" s="71">
        <f t="shared" si="136"/>
        <v>0</v>
      </c>
      <c r="N142" s="70">
        <f t="shared" si="136"/>
        <v>0</v>
      </c>
      <c r="O142" s="3">
        <f t="shared" si="136"/>
        <v>0</v>
      </c>
      <c r="P142" s="3">
        <f t="shared" si="136"/>
        <v>0</v>
      </c>
      <c r="Q142" s="3">
        <f t="shared" si="136"/>
        <v>0</v>
      </c>
      <c r="R142" s="3">
        <f t="shared" si="136"/>
        <v>0</v>
      </c>
      <c r="S142" s="71">
        <f t="shared" si="136"/>
        <v>0</v>
      </c>
      <c r="T142" s="70">
        <f t="shared" si="136"/>
        <v>3</v>
      </c>
      <c r="U142" s="3">
        <f t="shared" si="136"/>
        <v>0</v>
      </c>
      <c r="V142" s="3">
        <f t="shared" si="136"/>
        <v>0</v>
      </c>
      <c r="W142" s="3">
        <f t="shared" si="136"/>
        <v>0</v>
      </c>
      <c r="X142" s="3">
        <f t="shared" si="136"/>
        <v>0</v>
      </c>
      <c r="Y142" s="71">
        <f t="shared" si="136"/>
        <v>3</v>
      </c>
      <c r="AB142" s="100">
        <f t="shared" si="137"/>
        <v>0.17647058823529413</v>
      </c>
      <c r="AC142" s="103">
        <f t="shared" si="137"/>
        <v>0</v>
      </c>
      <c r="AD142" s="103">
        <f t="shared" si="137"/>
        <v>0</v>
      </c>
      <c r="AE142" s="103">
        <f t="shared" si="137"/>
        <v>0</v>
      </c>
      <c r="AF142" s="103">
        <f t="shared" si="137"/>
        <v>0</v>
      </c>
      <c r="AG142" s="104">
        <f t="shared" si="137"/>
        <v>6.25E-2</v>
      </c>
      <c r="AI142" s="100" t="str">
        <f t="shared" si="96"/>
        <v>3 (18%)</v>
      </c>
      <c r="AJ142" s="103" t="str">
        <f t="shared" si="97"/>
        <v>0 (0%)</v>
      </c>
      <c r="AK142" s="103" t="str">
        <f t="shared" si="98"/>
        <v>0 (0%)</v>
      </c>
      <c r="AL142" s="103" t="str">
        <f t="shared" si="99"/>
        <v>0 (0%)</v>
      </c>
      <c r="AM142" s="103" t="str">
        <f t="shared" si="100"/>
        <v>0 (0%)</v>
      </c>
      <c r="AN142" s="104" t="str">
        <f t="shared" si="101"/>
        <v>3 (6%)</v>
      </c>
      <c r="AO142" s="104"/>
      <c r="AP142" s="122" t="s">
        <v>622</v>
      </c>
      <c r="AQ142" s="123" t="str">
        <f t="shared" si="106"/>
        <v>[1T1, 0T2, 0T3] 3 (18%)</v>
      </c>
      <c r="AR142" s="123" t="str">
        <f t="shared" si="107"/>
        <v>[0T1, 0T2, 0T3] 0 (0%)</v>
      </c>
      <c r="AS142" s="123" t="str">
        <f t="shared" si="108"/>
        <v>[0T1, 0T2, 0T3] 0 (0%)</v>
      </c>
      <c r="AT142" s="123" t="str">
        <f t="shared" si="109"/>
        <v>[0T1, 0T2, 0T3] 0 (0%)</v>
      </c>
      <c r="AU142" s="123" t="str">
        <f t="shared" si="110"/>
        <v>[0T1, 0T2, 0T3] 0 (0%)</v>
      </c>
      <c r="AV142" s="124" t="str">
        <f t="shared" si="111"/>
        <v>[1T1, 0T2, 0T3] 3 (6%)</v>
      </c>
    </row>
    <row r="143" spans="1:48" x14ac:dyDescent="0.25">
      <c r="A143" s="112" t="s">
        <v>252</v>
      </c>
      <c r="B143" s="70">
        <f t="shared" si="135"/>
        <v>0</v>
      </c>
      <c r="C143" s="3">
        <f t="shared" si="135"/>
        <v>0</v>
      </c>
      <c r="D143" s="3">
        <f t="shared" si="135"/>
        <v>1</v>
      </c>
      <c r="E143" s="3">
        <f t="shared" si="135"/>
        <v>0</v>
      </c>
      <c r="F143" s="3">
        <f t="shared" si="135"/>
        <v>0</v>
      </c>
      <c r="G143" s="71">
        <f t="shared" si="135"/>
        <v>1</v>
      </c>
      <c r="H143" s="70">
        <f t="shared" si="135"/>
        <v>0</v>
      </c>
      <c r="I143" s="3">
        <f t="shared" si="135"/>
        <v>0</v>
      </c>
      <c r="J143" s="3">
        <f t="shared" si="135"/>
        <v>0</v>
      </c>
      <c r="K143" s="3">
        <f t="shared" si="135"/>
        <v>0</v>
      </c>
      <c r="L143" s="3">
        <f t="shared" si="136"/>
        <v>0</v>
      </c>
      <c r="M143" s="71">
        <f t="shared" si="136"/>
        <v>0</v>
      </c>
      <c r="N143" s="70">
        <f t="shared" si="136"/>
        <v>0</v>
      </c>
      <c r="O143" s="3">
        <f t="shared" si="136"/>
        <v>0</v>
      </c>
      <c r="P143" s="3">
        <f t="shared" si="136"/>
        <v>0</v>
      </c>
      <c r="Q143" s="3">
        <f t="shared" si="136"/>
        <v>0</v>
      </c>
      <c r="R143" s="3">
        <f t="shared" si="136"/>
        <v>0</v>
      </c>
      <c r="S143" s="71">
        <f t="shared" si="136"/>
        <v>0</v>
      </c>
      <c r="T143" s="70">
        <f t="shared" si="136"/>
        <v>0</v>
      </c>
      <c r="U143" s="3">
        <f t="shared" si="136"/>
        <v>0</v>
      </c>
      <c r="V143" s="3">
        <f t="shared" si="136"/>
        <v>3</v>
      </c>
      <c r="W143" s="3">
        <f t="shared" si="136"/>
        <v>0</v>
      </c>
      <c r="X143" s="3">
        <f t="shared" si="136"/>
        <v>0</v>
      </c>
      <c r="Y143" s="71">
        <f t="shared" si="136"/>
        <v>3</v>
      </c>
      <c r="AB143" s="100">
        <f t="shared" si="137"/>
        <v>0</v>
      </c>
      <c r="AC143" s="103">
        <f t="shared" si="137"/>
        <v>0</v>
      </c>
      <c r="AD143" s="103">
        <f t="shared" si="137"/>
        <v>0.33333333333333331</v>
      </c>
      <c r="AE143" s="103">
        <f t="shared" si="137"/>
        <v>0</v>
      </c>
      <c r="AF143" s="103">
        <f t="shared" si="137"/>
        <v>0</v>
      </c>
      <c r="AG143" s="104">
        <f t="shared" si="137"/>
        <v>6.25E-2</v>
      </c>
      <c r="AI143" s="100" t="str">
        <f t="shared" si="96"/>
        <v>0 (0%)</v>
      </c>
      <c r="AJ143" s="103" t="str">
        <f t="shared" si="97"/>
        <v>0 (0%)</v>
      </c>
      <c r="AK143" s="103" t="str">
        <f t="shared" si="98"/>
        <v>3 (33%)</v>
      </c>
      <c r="AL143" s="103" t="str">
        <f t="shared" si="99"/>
        <v>0 (0%)</v>
      </c>
      <c r="AM143" s="103" t="str">
        <f t="shared" si="100"/>
        <v>0 (0%)</v>
      </c>
      <c r="AN143" s="104" t="str">
        <f t="shared" si="101"/>
        <v>3 (6%)</v>
      </c>
      <c r="AO143" s="104"/>
      <c r="AP143" s="122" t="s">
        <v>252</v>
      </c>
      <c r="AQ143" s="123" t="str">
        <f t="shared" si="106"/>
        <v>[0T1, 0T2, 0T3] 0 (0%)</v>
      </c>
      <c r="AR143" s="123" t="str">
        <f t="shared" si="107"/>
        <v>[0T1, 0T2, 0T3] 0 (0%)</v>
      </c>
      <c r="AS143" s="123" t="str">
        <f t="shared" si="108"/>
        <v>[1T1, 0T2, 0T3] 3 (33%)</v>
      </c>
      <c r="AT143" s="123" t="str">
        <f t="shared" si="109"/>
        <v>[0T1, 0T2, 0T3] 0 (0%)</v>
      </c>
      <c r="AU143" s="123" t="str">
        <f t="shared" si="110"/>
        <v>[0T1, 0T2, 0T3] 0 (0%)</v>
      </c>
      <c r="AV143" s="124" t="str">
        <f t="shared" si="111"/>
        <v>[1T1, 0T2, 0T3] 3 (6%)</v>
      </c>
    </row>
    <row r="144" spans="1:48" x14ac:dyDescent="0.25">
      <c r="A144" s="112" t="s">
        <v>304</v>
      </c>
      <c r="B144" s="70">
        <f t="shared" si="135"/>
        <v>0</v>
      </c>
      <c r="C144" s="3">
        <f t="shared" si="135"/>
        <v>0</v>
      </c>
      <c r="D144" s="3">
        <f t="shared" si="135"/>
        <v>1</v>
      </c>
      <c r="E144" s="3">
        <f t="shared" si="135"/>
        <v>0</v>
      </c>
      <c r="F144" s="3">
        <f t="shared" si="135"/>
        <v>0</v>
      </c>
      <c r="G144" s="71">
        <f t="shared" si="135"/>
        <v>1</v>
      </c>
      <c r="H144" s="70">
        <f t="shared" si="135"/>
        <v>0</v>
      </c>
      <c r="I144" s="3">
        <f t="shared" si="135"/>
        <v>0</v>
      </c>
      <c r="J144" s="3">
        <f t="shared" si="135"/>
        <v>0</v>
      </c>
      <c r="K144" s="3">
        <f t="shared" si="135"/>
        <v>1</v>
      </c>
      <c r="L144" s="3">
        <f t="shared" si="136"/>
        <v>1</v>
      </c>
      <c r="M144" s="71">
        <f t="shared" si="136"/>
        <v>2</v>
      </c>
      <c r="N144" s="70">
        <f t="shared" si="136"/>
        <v>0</v>
      </c>
      <c r="O144" s="3">
        <f t="shared" si="136"/>
        <v>1</v>
      </c>
      <c r="P144" s="3">
        <f t="shared" si="136"/>
        <v>0</v>
      </c>
      <c r="Q144" s="3">
        <f t="shared" si="136"/>
        <v>0</v>
      </c>
      <c r="R144" s="3">
        <f t="shared" si="136"/>
        <v>1</v>
      </c>
      <c r="S144" s="71">
        <f t="shared" si="136"/>
        <v>2</v>
      </c>
      <c r="T144" s="70">
        <f t="shared" si="136"/>
        <v>0</v>
      </c>
      <c r="U144" s="3">
        <f t="shared" si="136"/>
        <v>1</v>
      </c>
      <c r="V144" s="3">
        <f t="shared" si="136"/>
        <v>3</v>
      </c>
      <c r="W144" s="3">
        <f t="shared" si="136"/>
        <v>2</v>
      </c>
      <c r="X144" s="3">
        <f t="shared" si="136"/>
        <v>3</v>
      </c>
      <c r="Y144" s="71">
        <f t="shared" si="136"/>
        <v>9</v>
      </c>
      <c r="AB144" s="100">
        <f t="shared" si="137"/>
        <v>0</v>
      </c>
      <c r="AC144" s="103">
        <f t="shared" si="137"/>
        <v>0.14285714285714285</v>
      </c>
      <c r="AD144" s="103">
        <f t="shared" si="137"/>
        <v>0.33333333333333331</v>
      </c>
      <c r="AE144" s="103">
        <f t="shared" si="137"/>
        <v>0.10526315789473684</v>
      </c>
      <c r="AF144" s="103">
        <f t="shared" si="137"/>
        <v>0.42857142857142855</v>
      </c>
      <c r="AG144" s="104">
        <f t="shared" si="137"/>
        <v>0.1875</v>
      </c>
      <c r="AI144" s="100" t="str">
        <f t="shared" si="96"/>
        <v>0 (0%)</v>
      </c>
      <c r="AJ144" s="103" t="str">
        <f t="shared" si="97"/>
        <v>1 (14%)</v>
      </c>
      <c r="AK144" s="103" t="str">
        <f t="shared" si="98"/>
        <v>3 (33%)</v>
      </c>
      <c r="AL144" s="103" t="str">
        <f t="shared" si="99"/>
        <v>2 (11%)</v>
      </c>
      <c r="AM144" s="103" t="str">
        <f t="shared" si="100"/>
        <v>3 (43%)</v>
      </c>
      <c r="AN144" s="104" t="str">
        <f t="shared" si="101"/>
        <v>9 (19%)</v>
      </c>
      <c r="AO144" s="104"/>
      <c r="AP144" s="122" t="s">
        <v>304</v>
      </c>
      <c r="AQ144" s="123" t="str">
        <f t="shared" si="106"/>
        <v>[0T1, 0T2, 0T3] 0 (0%)</v>
      </c>
      <c r="AR144" s="123" t="str">
        <f t="shared" si="107"/>
        <v>[0T1, 0T2, 1T3] 1 (14%)</v>
      </c>
      <c r="AS144" s="123" t="str">
        <f t="shared" si="108"/>
        <v>[1T1, 0T2, 0T3] 3 (33%)</v>
      </c>
      <c r="AT144" s="123" t="str">
        <f t="shared" si="109"/>
        <v>[0T1, 1T2, 0T3] 2 (11%)</v>
      </c>
      <c r="AU144" s="123" t="str">
        <f t="shared" si="110"/>
        <v>[0T1, 1T2, 1T3] 3 (43%)</v>
      </c>
      <c r="AV144" s="124" t="str">
        <f t="shared" si="111"/>
        <v>[1T1, 2T2, 2T3] 9 (19%)</v>
      </c>
    </row>
    <row r="145" spans="1:48" ht="15.75" thickBot="1" x14ac:dyDescent="0.3">
      <c r="A145" s="114" t="s">
        <v>172</v>
      </c>
      <c r="B145" s="72">
        <f t="shared" si="135"/>
        <v>0</v>
      </c>
      <c r="C145" s="73">
        <f t="shared" si="135"/>
        <v>0</v>
      </c>
      <c r="D145" s="73">
        <f t="shared" si="135"/>
        <v>0</v>
      </c>
      <c r="E145" s="73">
        <f t="shared" si="135"/>
        <v>0</v>
      </c>
      <c r="F145" s="73">
        <f t="shared" si="135"/>
        <v>1</v>
      </c>
      <c r="G145" s="74">
        <f t="shared" si="135"/>
        <v>1</v>
      </c>
      <c r="H145" s="72">
        <f t="shared" si="135"/>
        <v>0</v>
      </c>
      <c r="I145" s="73">
        <f t="shared" si="135"/>
        <v>0</v>
      </c>
      <c r="J145" s="73">
        <f t="shared" si="135"/>
        <v>0</v>
      </c>
      <c r="K145" s="73">
        <f t="shared" si="135"/>
        <v>0</v>
      </c>
      <c r="L145" s="73">
        <f t="shared" si="136"/>
        <v>0</v>
      </c>
      <c r="M145" s="74">
        <f t="shared" si="136"/>
        <v>0</v>
      </c>
      <c r="N145" s="72">
        <f t="shared" si="136"/>
        <v>2</v>
      </c>
      <c r="O145" s="73">
        <f t="shared" si="136"/>
        <v>0</v>
      </c>
      <c r="P145" s="73">
        <f t="shared" si="136"/>
        <v>1</v>
      </c>
      <c r="Q145" s="73">
        <f t="shared" si="136"/>
        <v>0</v>
      </c>
      <c r="R145" s="73">
        <f t="shared" si="136"/>
        <v>0</v>
      </c>
      <c r="S145" s="74">
        <f t="shared" si="136"/>
        <v>3</v>
      </c>
      <c r="T145" s="72">
        <f t="shared" si="136"/>
        <v>2</v>
      </c>
      <c r="U145" s="73">
        <f t="shared" si="136"/>
        <v>0</v>
      </c>
      <c r="V145" s="73">
        <f t="shared" si="136"/>
        <v>1</v>
      </c>
      <c r="W145" s="73">
        <f t="shared" si="136"/>
        <v>0</v>
      </c>
      <c r="X145" s="73">
        <f t="shared" si="136"/>
        <v>3</v>
      </c>
      <c r="Y145" s="74">
        <f t="shared" si="136"/>
        <v>6</v>
      </c>
      <c r="AB145" s="107">
        <f t="shared" si="137"/>
        <v>0.11764705882352941</v>
      </c>
      <c r="AC145" s="105">
        <f t="shared" si="137"/>
        <v>0</v>
      </c>
      <c r="AD145" s="105">
        <f t="shared" si="137"/>
        <v>0.1111111111111111</v>
      </c>
      <c r="AE145" s="105">
        <f t="shared" si="137"/>
        <v>0</v>
      </c>
      <c r="AF145" s="105">
        <f t="shared" si="137"/>
        <v>0.42857142857142855</v>
      </c>
      <c r="AG145" s="106">
        <f t="shared" si="137"/>
        <v>0.125</v>
      </c>
      <c r="AI145" s="107" t="str">
        <f t="shared" si="96"/>
        <v>2 (12%)</v>
      </c>
      <c r="AJ145" s="105" t="str">
        <f t="shared" si="97"/>
        <v>0 (0%)</v>
      </c>
      <c r="AK145" s="105" t="str">
        <f t="shared" si="98"/>
        <v>1 (11%)</v>
      </c>
      <c r="AL145" s="105" t="str">
        <f t="shared" si="99"/>
        <v>0 (0%)</v>
      </c>
      <c r="AM145" s="105" t="str">
        <f t="shared" si="100"/>
        <v>3 (43%)</v>
      </c>
      <c r="AN145" s="106" t="str">
        <f t="shared" si="101"/>
        <v>6 (13%)</v>
      </c>
      <c r="AO145" s="106"/>
      <c r="AP145" s="125" t="s">
        <v>172</v>
      </c>
      <c r="AQ145" s="126" t="str">
        <f t="shared" si="106"/>
        <v>[0T1, 0T2, 2T3] 2 (12%)</v>
      </c>
      <c r="AR145" s="126" t="str">
        <f t="shared" si="107"/>
        <v>[0T1, 0T2, 0T3] 0 (0%)</v>
      </c>
      <c r="AS145" s="126" t="str">
        <f t="shared" si="108"/>
        <v>[0T1, 0T2, 1T3] 1 (11%)</v>
      </c>
      <c r="AT145" s="126" t="str">
        <f t="shared" si="109"/>
        <v>[0T1, 0T2, 0T3] 0 (0%)</v>
      </c>
      <c r="AU145" s="126" t="str">
        <f t="shared" si="110"/>
        <v>[1T1, 0T2, 0T3] 3 (43%)</v>
      </c>
      <c r="AV145" s="127" t="str">
        <f t="shared" si="111"/>
        <v>[1T1, 0T2, 3T3] 6 (13%)</v>
      </c>
    </row>
    <row r="146" spans="1:48" ht="15.75" thickTop="1" x14ac:dyDescent="0.25"/>
    <row r="148" spans="1:48" x14ac:dyDescent="0.25">
      <c r="A148" t="s">
        <v>812</v>
      </c>
      <c r="G148">
        <f>G102+G110+G114+G120+G127+G134</f>
        <v>51</v>
      </c>
      <c r="M148">
        <f>M102+M110+M114+M120+M127+M134</f>
        <v>50</v>
      </c>
      <c r="S148">
        <f>S102+S110+S114+S120+S127+S134</f>
        <v>47</v>
      </c>
      <c r="Y148">
        <f>Y102+Y110+Y114+Y120+Y127+Y134</f>
        <v>300</v>
      </c>
    </row>
    <row r="149" spans="1:48" x14ac:dyDescent="0.25">
      <c r="A149" t="s">
        <v>813</v>
      </c>
      <c r="G149">
        <f>G145+G144+G143+G142+G141+G140+G139+G138+G137+G136+G135+G133+G132+G131+G130+G129+G128+G126+G125+G124+G123+G122+G121+G119+G118+G117+G116+G115+G113+G112+G111+G109+G108+G107+G106+G105+G104+G103</f>
        <v>51</v>
      </c>
      <c r="M149">
        <f>M145+M144+M143+M142+M141+M140+M139+M138+M137+M136+M135+M133+M132+M131+M130+M129+M128+M126+M125+M124+M123+M122+M121+M119+M118+M117+M116+M115+M113+M112+M111+M109+M108+M107+M106+M105+M104+M103</f>
        <v>50</v>
      </c>
      <c r="S149">
        <f>S145+S144+S143+S142+S141+S140+S139+S138+S137+S136+S135+S133+S132+S131+S130+S129+S128+S126+S125+S124+S123+S122+S121+S119+S118+S117+S116+S115+S113+S112+S111+S109+S108+S107+S106+S105+S104+S103</f>
        <v>47</v>
      </c>
      <c r="Y149">
        <f>Y145+Y144+Y143+Y142+Y141+Y140+Y139+Y138+Y137+Y136+Y135+Y133+Y132+Y131+Y130+Y129+Y128+Y126+Y125+Y124+Y123+Y122+Y121+Y119+Y118+Y117+Y116+Y115+Y113+Y112+Y111+Y109+Y108+Y107+Y106+Y105+Y104+Y103</f>
        <v>300</v>
      </c>
    </row>
    <row r="150" spans="1:48" x14ac:dyDescent="0.25">
      <c r="A150" t="s">
        <v>814</v>
      </c>
    </row>
    <row r="152" spans="1:48" x14ac:dyDescent="0.25">
      <c r="B152" s="23"/>
      <c r="C152" s="23"/>
      <c r="D152" s="23"/>
      <c r="E152" s="23"/>
      <c r="F152" s="23"/>
      <c r="G152" s="23"/>
    </row>
    <row r="153" spans="1:48" ht="35.25" customHeight="1" x14ac:dyDescent="0.25">
      <c r="A153" s="129" t="s">
        <v>883</v>
      </c>
      <c r="B153" s="156" t="s">
        <v>887</v>
      </c>
      <c r="C153" s="269" t="s">
        <v>884</v>
      </c>
      <c r="D153" s="269"/>
      <c r="E153" s="269"/>
      <c r="F153" s="269"/>
      <c r="G153" s="269"/>
      <c r="H153" s="156" t="s">
        <v>889</v>
      </c>
      <c r="I153" s="269" t="s">
        <v>885</v>
      </c>
      <c r="J153" s="269"/>
      <c r="K153" s="269"/>
      <c r="L153" s="269"/>
      <c r="M153" s="269"/>
    </row>
    <row r="154" spans="1:48" ht="109.5" customHeight="1" x14ac:dyDescent="0.25">
      <c r="A154" s="129" t="s">
        <v>154</v>
      </c>
      <c r="B154" s="154">
        <f>COUNTIFS($T$5:$T$42,"&gt;0")</f>
        <v>23</v>
      </c>
      <c r="C154" s="268" t="str">
        <f>ConcatenateIfs($A$5:$A$42,$T$5:$T$42,"&gt;",0,", ")</f>
        <v>Alcoholism, Climate Change, Deforestation, Disease/Epidemics, Drought, Early marriage, Earthquakes, Fire, Floods, Food Insecurity, Lack of Access to Basic Services, Lack of Access to Water, Landslides, Migration, Pollution, River swelling, Road Accidents, Storms, Stray Animals, Tornado, Traffic Congestion, Violence, Wildlife Attacks</v>
      </c>
      <c r="D154" s="268"/>
      <c r="E154" s="268"/>
      <c r="F154" s="268"/>
      <c r="G154" s="268"/>
      <c r="H154" s="154">
        <f>COUNTIFS(AS5:AS42,"UNIQUE")</f>
        <v>9</v>
      </c>
      <c r="I154" s="231" t="str">
        <f>ConcatenateIfs($A$5:$A$42,AS5:AS42,"=","UNIQUE",", ")</f>
        <v>Climate Change, Deforestation, Early marriage, Food Insecurity, Migration, Pollution, River swelling, Stray Animals, Tornado</v>
      </c>
      <c r="J154" s="231"/>
      <c r="K154" s="231"/>
      <c r="L154" s="231"/>
      <c r="M154" s="231"/>
    </row>
    <row r="155" spans="1:48" ht="85.5" customHeight="1" x14ac:dyDescent="0.25">
      <c r="A155" s="129" t="s">
        <v>193</v>
      </c>
      <c r="B155" s="154">
        <f>COUNTIFS($U$5:$U$42,"&gt;0")</f>
        <v>14</v>
      </c>
      <c r="C155" s="268" t="str">
        <f>ConcatenateIfs($A$5:$A$42,$U$5:$U$42,"&gt;",0,", ")</f>
        <v>Alcoholism, Crop Damage, Drought, Earthquakes, Fire, Floods, Hail, Hurricanes, Lack of Access to Water, Landslides, Road Accidents, Storms, Unemployment, Wildlife Attacks</v>
      </c>
      <c r="D155" s="268"/>
      <c r="E155" s="268"/>
      <c r="F155" s="268"/>
      <c r="G155" s="268"/>
      <c r="H155" s="154">
        <f>COUNTIFS(AT5:AT42,"UNIQUE")</f>
        <v>2</v>
      </c>
      <c r="I155" s="231" t="str">
        <f>ConcatenateIfs($A$5:$A$42,AT5:AT42,"=","UNIQUE",", ")</f>
        <v>Crop Damage, Hurricanes</v>
      </c>
      <c r="J155" s="231"/>
      <c r="K155" s="231"/>
      <c r="L155" s="231"/>
      <c r="M155" s="231"/>
    </row>
    <row r="156" spans="1:48" ht="105.75" customHeight="1" x14ac:dyDescent="0.25">
      <c r="A156" s="129" t="s">
        <v>251</v>
      </c>
      <c r="B156" s="154">
        <f>COUNTIFS($V$5:$V$42,"&gt;0")</f>
        <v>15</v>
      </c>
      <c r="C156" s="268" t="str">
        <f>ConcatenateIfs($A$5:$A$42,$V$5:$V$42,"&gt;",0,", ")</f>
        <v>Disease/Epidemics, Drought, Drug Addiction, Earthquakes, Fire, Floods, Hail, High Cost of Living, Lack of Access to Basic Services, Lack of Access to Water, Landslides, Poverty, Road Accidents, Unemployment, Violence</v>
      </c>
      <c r="D156" s="268"/>
      <c r="E156" s="268"/>
      <c r="F156" s="268"/>
      <c r="G156" s="268"/>
      <c r="H156" s="154">
        <f>COUNTIFS(AU5:AU42,"UNIQUE")</f>
        <v>2</v>
      </c>
      <c r="I156" s="231" t="str">
        <f>ConcatenateIfs($A$5:$A$42,AU5:AU42,"=","UNIQUE",", ")</f>
        <v>Drug Addiction, Poverty</v>
      </c>
      <c r="J156" s="231"/>
      <c r="K156" s="231"/>
      <c r="L156" s="231"/>
      <c r="M156" s="231"/>
    </row>
    <row r="157" spans="1:48" ht="103.5" customHeight="1" x14ac:dyDescent="0.25">
      <c r="A157" s="129" t="s">
        <v>273</v>
      </c>
      <c r="B157" s="154">
        <f>COUNTIFS($W$5:$W$42,"&gt;0")</f>
        <v>17</v>
      </c>
      <c r="C157" s="268" t="str">
        <f>ConcatenateIfs($A$5:$A$42,$W$5:$W$42,"&gt;",0,", ")</f>
        <v>Alcoholism, Child Abuse and Exploitation, Disease/Epidemics, Drought, Earthquakes, Fire, Floods, Heavy Rainfall, High Cost of Living, Lack of Access to Water, Lack of Preparedness, Landslides, Road Accidents, Storms, Traffic Congestion, Unemployment, Wildlife Attacks</v>
      </c>
      <c r="D157" s="268"/>
      <c r="E157" s="268"/>
      <c r="F157" s="268"/>
      <c r="G157" s="268"/>
      <c r="H157" s="154">
        <f>COUNTIFS(AV5:AV42,"UNIQUE")</f>
        <v>3</v>
      </c>
      <c r="I157" s="231" t="str">
        <f>ConcatenateIfs($A$5:$A$42,AV5:AV42,"=","UNIQUE",", ")</f>
        <v>Child Abuse and Exploitation, Heavy Rainfall, Lack of Preparedness</v>
      </c>
      <c r="J157" s="231"/>
      <c r="K157" s="231"/>
      <c r="L157" s="231"/>
      <c r="M157" s="231"/>
    </row>
    <row r="158" spans="1:48" ht="110.25" customHeight="1" x14ac:dyDescent="0.25">
      <c r="A158" s="129" t="s">
        <v>330</v>
      </c>
      <c r="B158" s="154">
        <f>COUNTIFS($X$5:$X$42,"&gt;0")</f>
        <v>11</v>
      </c>
      <c r="C158" s="268" t="str">
        <f>ConcatenateIfs($A$5:$A$42,$X$5:$X$42,"&gt;",0,", ")</f>
        <v>Disease/Epidemics, Earthquakes, Floods, Lack of Access to Basic Services, Lack of Access to Water, Reduction In Irrigation, Road Accidents, Temperature Rise, Unemployment, Violence, Wildlife Attacks</v>
      </c>
      <c r="D158" s="268"/>
      <c r="E158" s="268"/>
      <c r="F158" s="268"/>
      <c r="G158" s="268"/>
      <c r="H158" s="154">
        <f>COUNTIFS(AW5:AW42,"UNIQUE")</f>
        <v>2</v>
      </c>
      <c r="I158" s="231" t="str">
        <f>ConcatenateIfs($A$5:$A$42,AW5:AW42,"=","UNIQUE",", ")</f>
        <v>Reduction In Irrigation, Temperature Rise</v>
      </c>
      <c r="J158" s="231"/>
      <c r="K158" s="231"/>
      <c r="L158" s="231"/>
      <c r="M158" s="231"/>
    </row>
    <row r="159" spans="1:48" ht="144.75" customHeight="1" x14ac:dyDescent="0.25">
      <c r="A159" s="129" t="s">
        <v>700</v>
      </c>
      <c r="B159" s="155">
        <f>COUNTIFS($Y$5:$Y$42,"&gt;0")</f>
        <v>35</v>
      </c>
      <c r="C159" s="268" t="str">
        <f>ConcatenateIfs($A$5:$A$42,$Y$5:$Y$42,"&gt;",0,", ")</f>
        <v>Alcoholism, Child Abuse and Exploitation, Climate Change, Crop Damage, Deforestation, Disease/Epidemics, Drought, Drug Addiction, Early marriage, Earthquakes, Fire, Floods, Food Insecurity, Hail, Heavy Rainfall, High Cost of Living, Hurricanes, Lack of Access to Basic Services, Lack of Access to Water, Lack of Preparedness, Landslides, Migration, Pollution, Poverty, Reduction In Irrigation, River swelling, Road Accidents, Storms, Stray Animals, Temperature Rise, Tornado, Traffic Congestion, Unemployment, Violence, Wildlife Attacks</v>
      </c>
      <c r="D159" s="268"/>
      <c r="E159" s="268"/>
      <c r="F159" s="268"/>
      <c r="G159" s="268"/>
      <c r="H159" s="155">
        <f>COUNTIFS(AS5:AW42,"UNIQUE")</f>
        <v>18</v>
      </c>
      <c r="I159" s="231"/>
      <c r="J159" s="231"/>
      <c r="K159" s="231"/>
      <c r="L159" s="231"/>
      <c r="M159" s="231"/>
    </row>
    <row r="160" spans="1:48" x14ac:dyDescent="0.25">
      <c r="B160" s="31"/>
      <c r="C160" s="31"/>
      <c r="D160" s="31"/>
      <c r="E160" s="31"/>
      <c r="F160" s="31"/>
    </row>
    <row r="161" spans="1:7" x14ac:dyDescent="0.25">
      <c r="B161" s="31"/>
      <c r="C161" s="31"/>
      <c r="D161" s="31"/>
      <c r="E161" s="31"/>
      <c r="F161" s="31"/>
    </row>
    <row r="162" spans="1:7" ht="87.75" customHeight="1" x14ac:dyDescent="0.25">
      <c r="A162" s="129" t="s">
        <v>886</v>
      </c>
      <c r="B162" s="154">
        <f>COUNTIF(AX5:AX42,TRUE)</f>
        <v>4</v>
      </c>
      <c r="C162" s="268" t="str">
        <f>ConcatenateIfs(A5:A42,AX5:AX42,"=",TRUE,", ")</f>
        <v>Earthquakes, Floods, Lack of Access to Water, Road Accidents</v>
      </c>
      <c r="D162" s="268"/>
      <c r="E162" s="268"/>
      <c r="F162" s="268"/>
      <c r="G162" s="268"/>
    </row>
    <row r="163" spans="1:7" x14ac:dyDescent="0.25">
      <c r="A163" s="31"/>
      <c r="B163" s="31"/>
      <c r="C163" s="31"/>
      <c r="D163" s="31"/>
      <c r="E163" s="31"/>
      <c r="F163" s="31"/>
    </row>
    <row r="164" spans="1:7" x14ac:dyDescent="0.25">
      <c r="A164" s="31"/>
      <c r="B164" s="31"/>
      <c r="C164" s="31"/>
      <c r="D164" s="31"/>
      <c r="E164" s="31"/>
      <c r="F164" s="31"/>
    </row>
  </sheetData>
  <sortState ref="A373:B410">
    <sortCondition descending="1" ref="B373:B410"/>
  </sortState>
  <mergeCells count="46">
    <mergeCell ref="I158:M158"/>
    <mergeCell ref="I159:M159"/>
    <mergeCell ref="C162:G162"/>
    <mergeCell ref="I153:M153"/>
    <mergeCell ref="I154:M154"/>
    <mergeCell ref="I155:M155"/>
    <mergeCell ref="I156:M156"/>
    <mergeCell ref="I157:M157"/>
    <mergeCell ref="C153:G153"/>
    <mergeCell ref="C154:G154"/>
    <mergeCell ref="C155:G155"/>
    <mergeCell ref="C156:G156"/>
    <mergeCell ref="C157:G157"/>
    <mergeCell ref="C158:G158"/>
    <mergeCell ref="C159:G159"/>
    <mergeCell ref="AQ99:AV99"/>
    <mergeCell ref="AI99:AN99"/>
    <mergeCell ref="B70:G70"/>
    <mergeCell ref="H70:M70"/>
    <mergeCell ref="N70:S70"/>
    <mergeCell ref="T70:Y70"/>
    <mergeCell ref="AP99:AP100"/>
    <mergeCell ref="A84:G84"/>
    <mergeCell ref="A92:H92"/>
    <mergeCell ref="T99:Y99"/>
    <mergeCell ref="AB99:AG99"/>
    <mergeCell ref="B99:G99"/>
    <mergeCell ref="H99:M99"/>
    <mergeCell ref="N99:S99"/>
    <mergeCell ref="AB70:AG70"/>
    <mergeCell ref="A55:G55"/>
    <mergeCell ref="A62:H62"/>
    <mergeCell ref="B2:G2"/>
    <mergeCell ref="B46:Y46"/>
    <mergeCell ref="B47:G47"/>
    <mergeCell ref="H47:M47"/>
    <mergeCell ref="N47:S47"/>
    <mergeCell ref="T47:X47"/>
    <mergeCell ref="AK1:AP1"/>
    <mergeCell ref="B1:S1"/>
    <mergeCell ref="AB1:AG1"/>
    <mergeCell ref="AB2:AF2"/>
    <mergeCell ref="T2:X2"/>
    <mergeCell ref="T1:Y1"/>
    <mergeCell ref="H2:M2"/>
    <mergeCell ref="N2:S2"/>
  </mergeCells>
  <conditionalFormatting sqref="T5:X42">
    <cfRule type="colorScale" priority="19">
      <colorScale>
        <cfvo type="min"/>
        <cfvo type="max"/>
        <color rgb="FFFCFCFF"/>
        <color rgb="FFF8696B"/>
      </colorScale>
    </cfRule>
  </conditionalFormatting>
  <conditionalFormatting sqref="B5:F42">
    <cfRule type="colorScale" priority="18">
      <colorScale>
        <cfvo type="min"/>
        <cfvo type="max"/>
        <color rgb="FFFCFCFF"/>
        <color rgb="FFF8696B"/>
      </colorScale>
    </cfRule>
  </conditionalFormatting>
  <conditionalFormatting sqref="H5:L42">
    <cfRule type="colorScale" priority="17">
      <colorScale>
        <cfvo type="min"/>
        <cfvo type="max"/>
        <color rgb="FFFCFCFF"/>
        <color rgb="FFF8696B"/>
      </colorScale>
    </cfRule>
  </conditionalFormatting>
  <conditionalFormatting sqref="N5:R42">
    <cfRule type="colorScale" priority="16">
      <colorScale>
        <cfvo type="min"/>
        <cfvo type="max"/>
        <color rgb="FFFCFCFF"/>
        <color rgb="FFF8696B"/>
      </colorScale>
    </cfRule>
  </conditionalFormatting>
  <conditionalFormatting sqref="AB5:AG42 AI5:AI42">
    <cfRule type="colorScale" priority="15">
      <colorScale>
        <cfvo type="min"/>
        <cfvo type="max"/>
        <color rgb="FFFCFCFF"/>
        <color rgb="FFF8696B"/>
      </colorScale>
    </cfRule>
  </conditionalFormatting>
  <conditionalFormatting sqref="AB73:AF78">
    <cfRule type="colorScale" priority="14">
      <colorScale>
        <cfvo type="min"/>
        <cfvo type="max"/>
        <color rgb="FFFCFCFF"/>
        <color rgb="FFF8696B"/>
      </colorScale>
    </cfRule>
  </conditionalFormatting>
  <conditionalFormatting sqref="B86:G89">
    <cfRule type="colorScale" priority="13">
      <colorScale>
        <cfvo type="min"/>
        <cfvo type="max"/>
        <color rgb="FFFCFCFF"/>
        <color rgb="FFF8696B"/>
      </colorScale>
    </cfRule>
  </conditionalFormatting>
  <conditionalFormatting sqref="A5:A42">
    <cfRule type="expression" dxfId="5" priority="9">
      <formula>$AG$5=0</formula>
    </cfRule>
  </conditionalFormatting>
  <conditionalFormatting sqref="K86:P89">
    <cfRule type="colorScale" priority="8">
      <colorScale>
        <cfvo type="min"/>
        <cfvo type="max"/>
        <color rgb="FFFCFCFF"/>
        <color rgb="FFF8696B"/>
      </colorScale>
    </cfRule>
  </conditionalFormatting>
  <conditionalFormatting sqref="AK5:AO42 AQ5:AQ42">
    <cfRule type="colorScale" priority="6">
      <colorScale>
        <cfvo type="min"/>
        <cfvo type="max"/>
        <color rgb="FFFCFCFF"/>
        <color rgb="FFF8696B"/>
      </colorScale>
    </cfRule>
  </conditionalFormatting>
  <conditionalFormatting sqref="AP5:AP42">
    <cfRule type="colorScale" priority="5">
      <colorScale>
        <cfvo type="min"/>
        <cfvo type="max"/>
        <color rgb="FFFCFCFF"/>
        <color rgb="FFF8696B"/>
      </colorScale>
    </cfRule>
  </conditionalFormatting>
  <conditionalFormatting sqref="B159">
    <cfRule type="expression" dxfId="4" priority="3">
      <formula>"&lt;&gt;SUM($B$202:$B$206)"</formula>
    </cfRule>
    <cfRule type="expression" dxfId="3" priority="4">
      <formula>SUM($B$154:$B$158)</formula>
    </cfRule>
  </conditionalFormatting>
  <conditionalFormatting sqref="H159">
    <cfRule type="expression" dxfId="2" priority="1">
      <formula>"&lt;&gt;SUM($H$202:$H$206)"</formula>
    </cfRule>
    <cfRule type="expression" dxfId="1" priority="2">
      <formula>SUM($H$154:$H$158)</formula>
    </cfRule>
  </conditionalFormatting>
  <conditionalFormatting sqref="B152:G152">
    <cfRule type="colorScale" priority="41">
      <colorScale>
        <cfvo type="min"/>
        <cfvo type="max"/>
        <color rgb="FFFCFCFF"/>
        <color rgb="FFF8696B"/>
      </colorScale>
    </cfRule>
  </conditionalFormatting>
  <pageMargins left="2.0699999999999998" right="1.06" top="0.75" bottom="0.75" header="0.3" footer="0.3"/>
  <pageSetup scale="10" orientation="landscape"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76"/>
  <sheetViews>
    <sheetView workbookViewId="0">
      <selection activeCell="AH8" sqref="AH8"/>
    </sheetView>
  </sheetViews>
  <sheetFormatPr defaultRowHeight="15" x14ac:dyDescent="0.25"/>
  <cols>
    <col min="1" max="1" width="29" bestFit="1" customWidth="1"/>
    <col min="6" max="6" width="10.28515625" customWidth="1"/>
    <col min="15" max="15" width="17.85546875" customWidth="1"/>
    <col min="16" max="16" width="18.85546875" customWidth="1"/>
    <col min="17" max="17" width="15.85546875" customWidth="1"/>
    <col min="18" max="18" width="21.28515625" customWidth="1"/>
    <col min="19" max="19" width="20.85546875" customWidth="1"/>
  </cols>
  <sheetData>
    <row r="1" spans="1:19" x14ac:dyDescent="0.25">
      <c r="B1" s="271" t="s">
        <v>782</v>
      </c>
      <c r="C1" s="271"/>
      <c r="D1" s="271"/>
      <c r="E1" s="271"/>
      <c r="F1" s="271"/>
      <c r="G1" s="271"/>
      <c r="I1" s="271"/>
      <c r="J1" s="271"/>
      <c r="K1" s="271"/>
      <c r="L1" s="271"/>
      <c r="M1" s="271"/>
    </row>
    <row r="2" spans="1:19" x14ac:dyDescent="0.25">
      <c r="A2" t="s">
        <v>786</v>
      </c>
      <c r="B2" s="270" t="s">
        <v>154</v>
      </c>
      <c r="C2" s="270" t="s">
        <v>193</v>
      </c>
      <c r="D2" s="270" t="s">
        <v>251</v>
      </c>
      <c r="E2" s="270" t="s">
        <v>273</v>
      </c>
      <c r="F2" s="270" t="s">
        <v>330</v>
      </c>
      <c r="G2" s="270" t="s">
        <v>700</v>
      </c>
      <c r="I2" s="270" t="s">
        <v>154</v>
      </c>
      <c r="J2" s="270" t="s">
        <v>193</v>
      </c>
      <c r="K2" s="270" t="s">
        <v>251</v>
      </c>
      <c r="L2" s="270" t="s">
        <v>273</v>
      </c>
      <c r="M2" s="270" t="s">
        <v>330</v>
      </c>
      <c r="O2" s="270" t="s">
        <v>154</v>
      </c>
      <c r="P2" s="270" t="s">
        <v>193</v>
      </c>
      <c r="Q2" s="270" t="s">
        <v>251</v>
      </c>
      <c r="R2" s="270" t="s">
        <v>273</v>
      </c>
      <c r="S2" s="270" t="s">
        <v>330</v>
      </c>
    </row>
    <row r="3" spans="1:19" ht="30.75" customHeight="1" x14ac:dyDescent="0.25">
      <c r="A3" t="s">
        <v>788</v>
      </c>
      <c r="B3" s="270"/>
      <c r="C3" s="270"/>
      <c r="D3" s="270"/>
      <c r="E3" s="270"/>
      <c r="F3" s="270"/>
      <c r="G3" s="270"/>
      <c r="I3" s="270"/>
      <c r="J3" s="270"/>
      <c r="K3" s="270"/>
      <c r="L3" s="270"/>
      <c r="M3" s="270"/>
      <c r="O3" s="270"/>
      <c r="P3" s="270"/>
      <c r="Q3" s="270"/>
      <c r="R3" s="270"/>
      <c r="S3" s="270"/>
    </row>
    <row r="4" spans="1:19" x14ac:dyDescent="0.25">
      <c r="A4" t="s">
        <v>179</v>
      </c>
      <c r="B4">
        <v>1</v>
      </c>
      <c r="C4">
        <v>2</v>
      </c>
      <c r="D4">
        <v>0</v>
      </c>
      <c r="E4">
        <v>3</v>
      </c>
      <c r="F4">
        <v>0</v>
      </c>
      <c r="G4">
        <v>6</v>
      </c>
      <c r="I4" t="str">
        <f>IF((B4=$G4),"UNIQUE","")</f>
        <v/>
      </c>
      <c r="J4" t="str">
        <f t="shared" ref="J4:M4" si="0">IF((C4=$G4),"UNIQUE","")</f>
        <v/>
      </c>
      <c r="K4" t="str">
        <f t="shared" si="0"/>
        <v/>
      </c>
      <c r="L4" t="str">
        <f t="shared" si="0"/>
        <v/>
      </c>
      <c r="M4" t="str">
        <f t="shared" si="0"/>
        <v/>
      </c>
      <c r="O4" s="153" t="s">
        <v>878</v>
      </c>
      <c r="P4" s="153" t="s">
        <v>879</v>
      </c>
      <c r="Q4" s="153" t="s">
        <v>880</v>
      </c>
      <c r="R4" s="153" t="s">
        <v>881</v>
      </c>
      <c r="S4" s="153" t="s">
        <v>882</v>
      </c>
    </row>
    <row r="5" spans="1:19" x14ac:dyDescent="0.25">
      <c r="A5" t="s">
        <v>577</v>
      </c>
      <c r="B5">
        <v>0</v>
      </c>
      <c r="C5">
        <v>0</v>
      </c>
      <c r="D5">
        <v>0</v>
      </c>
      <c r="E5">
        <v>1</v>
      </c>
      <c r="F5">
        <v>0</v>
      </c>
      <c r="G5">
        <v>1</v>
      </c>
      <c r="I5" t="str">
        <f t="shared" ref="I5:I41" si="1">IF((B5=$G5),"UNIQUE","")</f>
        <v/>
      </c>
      <c r="J5" t="str">
        <f t="shared" ref="J5:J41" si="2">IF((C5=$G5),"UNIQUE","")</f>
        <v/>
      </c>
      <c r="K5" t="str">
        <f t="shared" ref="K5:K41" si="3">IF((D5=$G5),"UNIQUE","")</f>
        <v/>
      </c>
      <c r="L5" t="str">
        <f t="shared" ref="L5:L41" si="4">IF((E5=$G5),"UNIQUE","")</f>
        <v>UNIQUE</v>
      </c>
      <c r="M5" t="str">
        <f t="shared" ref="M5:M41" si="5">IF((F5=$G5),"UNIQUE","")</f>
        <v/>
      </c>
      <c r="O5" s="153"/>
      <c r="P5" s="153"/>
      <c r="Q5" s="153"/>
      <c r="R5" s="153"/>
      <c r="S5" s="153"/>
    </row>
    <row r="6" spans="1:19" x14ac:dyDescent="0.25">
      <c r="A6" t="s">
        <v>216</v>
      </c>
      <c r="B6">
        <v>1</v>
      </c>
      <c r="C6">
        <v>0</v>
      </c>
      <c r="D6">
        <v>0</v>
      </c>
      <c r="E6">
        <v>0</v>
      </c>
      <c r="F6">
        <v>0</v>
      </c>
      <c r="G6">
        <v>1</v>
      </c>
      <c r="I6" t="str">
        <f t="shared" si="1"/>
        <v>UNIQUE</v>
      </c>
      <c r="J6" t="str">
        <f t="shared" si="2"/>
        <v/>
      </c>
      <c r="K6" t="str">
        <f t="shared" si="3"/>
        <v/>
      </c>
      <c r="L6" t="str">
        <f t="shared" si="4"/>
        <v/>
      </c>
      <c r="M6" t="str">
        <f t="shared" si="5"/>
        <v/>
      </c>
      <c r="O6" s="153"/>
      <c r="P6" s="153"/>
      <c r="Q6" s="153"/>
      <c r="R6" s="153"/>
      <c r="S6" s="153"/>
    </row>
    <row r="7" spans="1:19" x14ac:dyDescent="0.25">
      <c r="A7" t="s">
        <v>243</v>
      </c>
      <c r="B7">
        <v>0</v>
      </c>
      <c r="C7">
        <v>0</v>
      </c>
      <c r="D7">
        <v>0</v>
      </c>
      <c r="E7">
        <v>0</v>
      </c>
      <c r="F7">
        <v>0</v>
      </c>
      <c r="G7">
        <v>0</v>
      </c>
      <c r="I7" t="str">
        <f t="shared" si="1"/>
        <v>UNIQUE</v>
      </c>
      <c r="J7" t="str">
        <f t="shared" si="2"/>
        <v>UNIQUE</v>
      </c>
      <c r="K7" t="str">
        <f t="shared" si="3"/>
        <v>UNIQUE</v>
      </c>
      <c r="L7" t="str">
        <f t="shared" si="4"/>
        <v>UNIQUE</v>
      </c>
      <c r="M7" t="str">
        <f t="shared" si="5"/>
        <v>UNIQUE</v>
      </c>
      <c r="O7" s="153"/>
      <c r="P7" s="153"/>
      <c r="Q7" s="153"/>
      <c r="R7" s="153"/>
      <c r="S7" s="153"/>
    </row>
    <row r="8" spans="1:19" x14ac:dyDescent="0.25">
      <c r="A8" t="s">
        <v>287</v>
      </c>
      <c r="B8">
        <v>0</v>
      </c>
      <c r="C8">
        <v>1</v>
      </c>
      <c r="D8">
        <v>0</v>
      </c>
      <c r="E8">
        <v>0</v>
      </c>
      <c r="F8">
        <v>0</v>
      </c>
      <c r="G8">
        <v>1</v>
      </c>
      <c r="I8" t="str">
        <f t="shared" si="1"/>
        <v/>
      </c>
      <c r="J8" t="str">
        <f t="shared" si="2"/>
        <v>UNIQUE</v>
      </c>
      <c r="K8" t="str">
        <f t="shared" si="3"/>
        <v/>
      </c>
      <c r="L8" t="str">
        <f t="shared" si="4"/>
        <v/>
      </c>
      <c r="M8" t="str">
        <f t="shared" si="5"/>
        <v/>
      </c>
      <c r="O8" s="153"/>
      <c r="P8" s="153"/>
      <c r="Q8" s="153"/>
      <c r="R8" s="153"/>
      <c r="S8" s="153"/>
    </row>
    <row r="9" spans="1:19" x14ac:dyDescent="0.25">
      <c r="A9" t="s">
        <v>233</v>
      </c>
      <c r="B9">
        <v>1</v>
      </c>
      <c r="C9">
        <v>0</v>
      </c>
      <c r="D9">
        <v>0</v>
      </c>
      <c r="E9">
        <v>0</v>
      </c>
      <c r="F9">
        <v>0</v>
      </c>
      <c r="G9">
        <v>1</v>
      </c>
      <c r="I9" t="str">
        <f t="shared" si="1"/>
        <v>UNIQUE</v>
      </c>
      <c r="J9" t="str">
        <f t="shared" si="2"/>
        <v/>
      </c>
      <c r="K9" t="str">
        <f t="shared" si="3"/>
        <v/>
      </c>
      <c r="L9" t="str">
        <f t="shared" si="4"/>
        <v/>
      </c>
      <c r="M9" t="str">
        <f t="shared" si="5"/>
        <v/>
      </c>
      <c r="O9" s="153"/>
      <c r="P9" s="153"/>
      <c r="Q9" s="153"/>
      <c r="R9" s="153"/>
      <c r="S9" s="153"/>
    </row>
    <row r="10" spans="1:19" x14ac:dyDescent="0.25">
      <c r="A10" t="s">
        <v>263</v>
      </c>
      <c r="B10">
        <v>3</v>
      </c>
      <c r="C10">
        <v>0</v>
      </c>
      <c r="D10">
        <v>2</v>
      </c>
      <c r="E10">
        <v>1</v>
      </c>
      <c r="F10">
        <v>1</v>
      </c>
      <c r="G10">
        <v>7</v>
      </c>
      <c r="I10" t="str">
        <f t="shared" si="1"/>
        <v/>
      </c>
      <c r="J10" t="str">
        <f t="shared" si="2"/>
        <v/>
      </c>
      <c r="K10" t="str">
        <f t="shared" si="3"/>
        <v/>
      </c>
      <c r="L10" t="str">
        <f t="shared" si="4"/>
        <v/>
      </c>
      <c r="M10" t="str">
        <f t="shared" si="5"/>
        <v/>
      </c>
      <c r="O10" s="153"/>
      <c r="P10" s="153"/>
      <c r="Q10" s="153"/>
      <c r="R10" s="153"/>
      <c r="S10" s="153"/>
    </row>
    <row r="11" spans="1:19" x14ac:dyDescent="0.25">
      <c r="A11" t="s">
        <v>202</v>
      </c>
      <c r="B11">
        <v>2</v>
      </c>
      <c r="C11">
        <v>2</v>
      </c>
      <c r="D11">
        <v>1</v>
      </c>
      <c r="E11">
        <v>2</v>
      </c>
      <c r="F11">
        <v>0</v>
      </c>
      <c r="G11">
        <v>7</v>
      </c>
      <c r="I11" t="str">
        <f t="shared" si="1"/>
        <v/>
      </c>
      <c r="J11" t="str">
        <f t="shared" si="2"/>
        <v/>
      </c>
      <c r="K11" t="str">
        <f t="shared" si="3"/>
        <v/>
      </c>
      <c r="L11" t="str">
        <f t="shared" si="4"/>
        <v/>
      </c>
      <c r="M11" t="str">
        <f t="shared" si="5"/>
        <v/>
      </c>
      <c r="O11" s="153"/>
      <c r="P11" s="153"/>
      <c r="Q11" s="153"/>
      <c r="R11" s="153"/>
      <c r="S11" s="153"/>
    </row>
    <row r="12" spans="1:19" x14ac:dyDescent="0.25">
      <c r="A12" t="s">
        <v>488</v>
      </c>
      <c r="B12">
        <v>0</v>
      </c>
      <c r="C12">
        <v>0</v>
      </c>
      <c r="D12">
        <v>1</v>
      </c>
      <c r="E12">
        <v>0</v>
      </c>
      <c r="F12">
        <v>0</v>
      </c>
      <c r="G12">
        <v>1</v>
      </c>
      <c r="I12" t="str">
        <f t="shared" si="1"/>
        <v/>
      </c>
      <c r="J12" t="str">
        <f t="shared" si="2"/>
        <v/>
      </c>
      <c r="K12" t="str">
        <f t="shared" si="3"/>
        <v>UNIQUE</v>
      </c>
      <c r="L12" t="str">
        <f t="shared" si="4"/>
        <v/>
      </c>
      <c r="M12" t="str">
        <f t="shared" si="5"/>
        <v/>
      </c>
      <c r="O12" s="153"/>
      <c r="P12" s="153"/>
      <c r="Q12" s="153"/>
      <c r="R12" s="153"/>
      <c r="S12" s="153"/>
    </row>
    <row r="13" spans="1:19" x14ac:dyDescent="0.25">
      <c r="A13" t="s">
        <v>538</v>
      </c>
      <c r="B13">
        <v>1</v>
      </c>
      <c r="C13">
        <v>0</v>
      </c>
      <c r="D13">
        <v>0</v>
      </c>
      <c r="E13">
        <v>0</v>
      </c>
      <c r="F13">
        <v>0</v>
      </c>
      <c r="G13">
        <v>1</v>
      </c>
      <c r="I13" t="str">
        <f t="shared" si="1"/>
        <v>UNIQUE</v>
      </c>
      <c r="J13" t="str">
        <f t="shared" si="2"/>
        <v/>
      </c>
      <c r="K13" t="str">
        <f t="shared" si="3"/>
        <v/>
      </c>
      <c r="L13" t="str">
        <f t="shared" si="4"/>
        <v/>
      </c>
      <c r="M13" t="str">
        <f t="shared" si="5"/>
        <v/>
      </c>
      <c r="O13" s="153"/>
      <c r="P13" s="153"/>
      <c r="Q13" s="153"/>
      <c r="R13" s="153"/>
      <c r="S13" s="153"/>
    </row>
    <row r="14" spans="1:19" x14ac:dyDescent="0.25">
      <c r="A14" t="s">
        <v>274</v>
      </c>
      <c r="B14">
        <v>1</v>
      </c>
      <c r="C14">
        <v>3</v>
      </c>
      <c r="D14">
        <v>3</v>
      </c>
      <c r="E14">
        <v>5</v>
      </c>
      <c r="F14">
        <v>1</v>
      </c>
      <c r="G14">
        <v>13</v>
      </c>
      <c r="I14" t="str">
        <f t="shared" si="1"/>
        <v/>
      </c>
      <c r="J14" t="str">
        <f t="shared" si="2"/>
        <v/>
      </c>
      <c r="K14" t="str">
        <f t="shared" si="3"/>
        <v/>
      </c>
      <c r="L14" t="str">
        <f t="shared" si="4"/>
        <v/>
      </c>
      <c r="M14" t="str">
        <f t="shared" si="5"/>
        <v/>
      </c>
      <c r="O14" s="153"/>
      <c r="P14" s="153"/>
      <c r="Q14" s="153"/>
      <c r="R14" s="153"/>
      <c r="S14" s="153"/>
    </row>
    <row r="15" spans="1:19" x14ac:dyDescent="0.25">
      <c r="A15" t="s">
        <v>495</v>
      </c>
      <c r="B15">
        <v>0</v>
      </c>
      <c r="C15">
        <v>0</v>
      </c>
      <c r="D15">
        <v>0</v>
      </c>
      <c r="E15">
        <v>0</v>
      </c>
      <c r="F15">
        <v>0</v>
      </c>
      <c r="G15">
        <v>0</v>
      </c>
      <c r="I15" t="str">
        <f t="shared" si="1"/>
        <v>UNIQUE</v>
      </c>
      <c r="J15" t="str">
        <f t="shared" si="2"/>
        <v>UNIQUE</v>
      </c>
      <c r="K15" t="str">
        <f t="shared" si="3"/>
        <v>UNIQUE</v>
      </c>
      <c r="L15" t="str">
        <f t="shared" si="4"/>
        <v>UNIQUE</v>
      </c>
      <c r="M15" t="str">
        <f t="shared" si="5"/>
        <v>UNIQUE</v>
      </c>
      <c r="O15" s="153"/>
      <c r="P15" s="153"/>
      <c r="Q15" s="153"/>
      <c r="R15" s="153"/>
      <c r="S15" s="153"/>
    </row>
    <row r="16" spans="1:19" x14ac:dyDescent="0.25">
      <c r="A16" t="s">
        <v>196</v>
      </c>
      <c r="B16">
        <v>4</v>
      </c>
      <c r="C16">
        <v>2</v>
      </c>
      <c r="D16">
        <v>3</v>
      </c>
      <c r="E16">
        <v>6</v>
      </c>
      <c r="F16">
        <v>0</v>
      </c>
      <c r="G16">
        <v>15</v>
      </c>
      <c r="I16" t="str">
        <f t="shared" si="1"/>
        <v/>
      </c>
      <c r="J16" t="str">
        <f t="shared" si="2"/>
        <v/>
      </c>
      <c r="K16" t="str">
        <f t="shared" si="3"/>
        <v/>
      </c>
      <c r="L16" t="str">
        <f t="shared" si="4"/>
        <v/>
      </c>
      <c r="M16" t="str">
        <f t="shared" si="5"/>
        <v/>
      </c>
      <c r="O16" s="153"/>
      <c r="P16" s="153"/>
      <c r="Q16" s="153"/>
      <c r="R16" s="153"/>
      <c r="S16" s="153"/>
    </row>
    <row r="17" spans="1:19" x14ac:dyDescent="0.25">
      <c r="A17" t="s">
        <v>302</v>
      </c>
      <c r="B17">
        <v>4</v>
      </c>
      <c r="C17">
        <v>2</v>
      </c>
      <c r="D17">
        <v>3</v>
      </c>
      <c r="E17">
        <v>7</v>
      </c>
      <c r="F17">
        <v>1</v>
      </c>
      <c r="G17">
        <v>17</v>
      </c>
      <c r="I17" t="str">
        <f t="shared" si="1"/>
        <v/>
      </c>
      <c r="J17" t="str">
        <f t="shared" si="2"/>
        <v/>
      </c>
      <c r="K17" t="str">
        <f t="shared" si="3"/>
        <v/>
      </c>
      <c r="L17" t="str">
        <f t="shared" si="4"/>
        <v/>
      </c>
      <c r="M17" t="str">
        <f t="shared" si="5"/>
        <v/>
      </c>
      <c r="O17" s="153"/>
      <c r="P17" s="153"/>
      <c r="Q17" s="153"/>
      <c r="R17" s="153"/>
      <c r="S17" s="153"/>
    </row>
    <row r="18" spans="1:19" x14ac:dyDescent="0.25">
      <c r="A18" t="s">
        <v>253</v>
      </c>
      <c r="B18">
        <v>1</v>
      </c>
      <c r="C18">
        <v>0</v>
      </c>
      <c r="D18">
        <v>0</v>
      </c>
      <c r="E18">
        <v>0</v>
      </c>
      <c r="F18">
        <v>0</v>
      </c>
      <c r="G18">
        <v>1</v>
      </c>
      <c r="I18" t="str">
        <f t="shared" si="1"/>
        <v>UNIQUE</v>
      </c>
      <c r="J18" t="str">
        <f t="shared" si="2"/>
        <v/>
      </c>
      <c r="K18" t="str">
        <f t="shared" si="3"/>
        <v/>
      </c>
      <c r="L18" t="str">
        <f t="shared" si="4"/>
        <v/>
      </c>
      <c r="M18" t="str">
        <f t="shared" si="5"/>
        <v/>
      </c>
      <c r="O18" s="153"/>
      <c r="P18" s="153"/>
      <c r="Q18" s="153"/>
      <c r="R18" s="153"/>
      <c r="S18" s="153"/>
    </row>
    <row r="19" spans="1:19" x14ac:dyDescent="0.25">
      <c r="A19" t="s">
        <v>354</v>
      </c>
      <c r="B19">
        <v>0</v>
      </c>
      <c r="C19">
        <v>1</v>
      </c>
      <c r="D19">
        <v>1</v>
      </c>
      <c r="E19">
        <v>0</v>
      </c>
      <c r="F19">
        <v>0</v>
      </c>
      <c r="G19">
        <v>2</v>
      </c>
      <c r="I19" t="str">
        <f t="shared" si="1"/>
        <v/>
      </c>
      <c r="J19" t="str">
        <f t="shared" si="2"/>
        <v/>
      </c>
      <c r="K19" t="str">
        <f t="shared" si="3"/>
        <v/>
      </c>
      <c r="L19" t="str">
        <f t="shared" si="4"/>
        <v/>
      </c>
      <c r="M19" t="str">
        <f t="shared" si="5"/>
        <v/>
      </c>
      <c r="O19" s="153"/>
      <c r="P19" s="153"/>
      <c r="Q19" s="153"/>
      <c r="R19" s="153"/>
      <c r="S19" s="153"/>
    </row>
    <row r="20" spans="1:19" x14ac:dyDescent="0.25">
      <c r="A20" t="s">
        <v>608</v>
      </c>
      <c r="B20">
        <v>0</v>
      </c>
      <c r="C20">
        <v>0</v>
      </c>
      <c r="D20">
        <v>0</v>
      </c>
      <c r="E20">
        <v>1</v>
      </c>
      <c r="F20">
        <v>0</v>
      </c>
      <c r="G20">
        <v>1</v>
      </c>
      <c r="I20" t="str">
        <f t="shared" si="1"/>
        <v/>
      </c>
      <c r="J20" t="str">
        <f t="shared" si="2"/>
        <v/>
      </c>
      <c r="K20" t="str">
        <f t="shared" si="3"/>
        <v/>
      </c>
      <c r="L20" t="str">
        <f t="shared" si="4"/>
        <v>UNIQUE</v>
      </c>
      <c r="M20" t="str">
        <f t="shared" si="5"/>
        <v/>
      </c>
      <c r="O20" s="153"/>
      <c r="P20" s="153"/>
      <c r="Q20" s="153"/>
      <c r="R20" s="153"/>
      <c r="S20" s="153"/>
    </row>
    <row r="21" spans="1:19" x14ac:dyDescent="0.25">
      <c r="A21" t="s">
        <v>258</v>
      </c>
      <c r="B21">
        <v>0</v>
      </c>
      <c r="C21">
        <v>0</v>
      </c>
      <c r="D21">
        <v>1</v>
      </c>
      <c r="E21">
        <v>1</v>
      </c>
      <c r="F21">
        <v>0</v>
      </c>
      <c r="G21">
        <v>2</v>
      </c>
      <c r="I21" t="str">
        <f t="shared" si="1"/>
        <v/>
      </c>
      <c r="J21" t="str">
        <f t="shared" si="2"/>
        <v/>
      </c>
      <c r="K21" t="str">
        <f t="shared" si="3"/>
        <v/>
      </c>
      <c r="L21" t="str">
        <f t="shared" si="4"/>
        <v/>
      </c>
      <c r="M21" t="str">
        <f t="shared" si="5"/>
        <v/>
      </c>
      <c r="O21" s="153"/>
      <c r="P21" s="153"/>
      <c r="Q21" s="153"/>
      <c r="R21" s="153"/>
      <c r="S21" s="153"/>
    </row>
    <row r="22" spans="1:19" x14ac:dyDescent="0.25">
      <c r="A22" t="s">
        <v>616</v>
      </c>
      <c r="B22">
        <v>0</v>
      </c>
      <c r="C22">
        <v>1</v>
      </c>
      <c r="D22">
        <v>0</v>
      </c>
      <c r="E22">
        <v>0</v>
      </c>
      <c r="F22">
        <v>0</v>
      </c>
      <c r="G22">
        <v>1</v>
      </c>
      <c r="I22" t="str">
        <f t="shared" si="1"/>
        <v/>
      </c>
      <c r="J22" t="str">
        <f t="shared" si="2"/>
        <v>UNIQUE</v>
      </c>
      <c r="K22" t="str">
        <f t="shared" si="3"/>
        <v/>
      </c>
      <c r="L22" t="str">
        <f t="shared" si="4"/>
        <v/>
      </c>
      <c r="M22" t="str">
        <f t="shared" si="5"/>
        <v/>
      </c>
      <c r="O22" s="153"/>
      <c r="P22" s="153"/>
      <c r="Q22" s="153"/>
      <c r="R22" s="153"/>
      <c r="S22" s="153"/>
    </row>
    <row r="23" spans="1:19" x14ac:dyDescent="0.25">
      <c r="A23" t="s">
        <v>327</v>
      </c>
      <c r="B23">
        <v>0</v>
      </c>
      <c r="C23">
        <v>0</v>
      </c>
      <c r="D23">
        <v>0</v>
      </c>
      <c r="E23">
        <v>0</v>
      </c>
      <c r="F23">
        <v>0</v>
      </c>
      <c r="G23">
        <v>0</v>
      </c>
      <c r="I23" t="str">
        <f t="shared" si="1"/>
        <v>UNIQUE</v>
      </c>
      <c r="J23" t="str">
        <f t="shared" si="2"/>
        <v>UNIQUE</v>
      </c>
      <c r="K23" t="str">
        <f t="shared" si="3"/>
        <v>UNIQUE</v>
      </c>
      <c r="L23" t="str">
        <f t="shared" si="4"/>
        <v>UNIQUE</v>
      </c>
      <c r="M23" t="str">
        <f t="shared" si="5"/>
        <v>UNIQUE</v>
      </c>
      <c r="O23" s="153"/>
      <c r="P23" s="153"/>
      <c r="Q23" s="153"/>
      <c r="R23" s="153"/>
      <c r="S23" s="153"/>
    </row>
    <row r="24" spans="1:19" x14ac:dyDescent="0.25">
      <c r="A24" t="s">
        <v>536</v>
      </c>
      <c r="B24">
        <v>1</v>
      </c>
      <c r="C24">
        <v>0</v>
      </c>
      <c r="D24">
        <v>1</v>
      </c>
      <c r="E24">
        <v>0</v>
      </c>
      <c r="F24">
        <v>3</v>
      </c>
      <c r="G24">
        <v>5</v>
      </c>
      <c r="I24" t="str">
        <f t="shared" si="1"/>
        <v/>
      </c>
      <c r="J24" t="str">
        <f t="shared" si="2"/>
        <v/>
      </c>
      <c r="K24" t="str">
        <f t="shared" si="3"/>
        <v/>
      </c>
      <c r="L24" t="str">
        <f t="shared" si="4"/>
        <v/>
      </c>
      <c r="M24" t="str">
        <f t="shared" si="5"/>
        <v/>
      </c>
      <c r="O24" s="153"/>
      <c r="P24" s="153"/>
      <c r="Q24" s="153"/>
      <c r="R24" s="153"/>
      <c r="S24" s="153"/>
    </row>
    <row r="25" spans="1:19" x14ac:dyDescent="0.25">
      <c r="A25" t="s">
        <v>156</v>
      </c>
      <c r="B25">
        <v>6</v>
      </c>
      <c r="C25">
        <v>3</v>
      </c>
      <c r="D25">
        <v>2</v>
      </c>
      <c r="E25">
        <v>3</v>
      </c>
      <c r="F25">
        <v>2</v>
      </c>
      <c r="G25">
        <v>16</v>
      </c>
      <c r="I25" t="str">
        <f t="shared" si="1"/>
        <v/>
      </c>
      <c r="J25" t="str">
        <f t="shared" si="2"/>
        <v/>
      </c>
      <c r="K25" t="str">
        <f t="shared" si="3"/>
        <v/>
      </c>
      <c r="L25" t="str">
        <f t="shared" si="4"/>
        <v/>
      </c>
      <c r="M25" t="str">
        <f t="shared" si="5"/>
        <v/>
      </c>
      <c r="O25" s="153"/>
      <c r="P25" s="153"/>
      <c r="Q25" s="153"/>
      <c r="R25" s="153"/>
      <c r="S25" s="153"/>
    </row>
    <row r="26" spans="1:19" x14ac:dyDescent="0.25">
      <c r="A26" t="s">
        <v>568</v>
      </c>
      <c r="B26">
        <v>0</v>
      </c>
      <c r="C26">
        <v>0</v>
      </c>
      <c r="D26">
        <v>0</v>
      </c>
      <c r="E26">
        <v>1</v>
      </c>
      <c r="F26">
        <v>0</v>
      </c>
      <c r="G26">
        <v>1</v>
      </c>
      <c r="I26" t="str">
        <f t="shared" si="1"/>
        <v/>
      </c>
      <c r="J26" t="str">
        <f t="shared" si="2"/>
        <v/>
      </c>
      <c r="K26" t="str">
        <f t="shared" si="3"/>
        <v/>
      </c>
      <c r="L26" t="str">
        <f t="shared" si="4"/>
        <v>UNIQUE</v>
      </c>
      <c r="M26" t="str">
        <f t="shared" si="5"/>
        <v/>
      </c>
      <c r="O26" s="153"/>
      <c r="P26" s="153"/>
      <c r="Q26" s="153"/>
      <c r="R26" s="153"/>
      <c r="S26" s="153"/>
    </row>
    <row r="27" spans="1:19" x14ac:dyDescent="0.25">
      <c r="A27" t="s">
        <v>458</v>
      </c>
      <c r="B27">
        <v>3</v>
      </c>
      <c r="C27">
        <v>1</v>
      </c>
      <c r="D27">
        <v>1</v>
      </c>
      <c r="E27">
        <v>1</v>
      </c>
      <c r="F27">
        <v>0</v>
      </c>
      <c r="G27">
        <v>6</v>
      </c>
      <c r="I27" t="str">
        <f t="shared" si="1"/>
        <v/>
      </c>
      <c r="J27" t="str">
        <f t="shared" si="2"/>
        <v/>
      </c>
      <c r="K27" t="str">
        <f t="shared" si="3"/>
        <v/>
      </c>
      <c r="L27" t="str">
        <f t="shared" si="4"/>
        <v/>
      </c>
      <c r="M27" t="str">
        <f t="shared" si="5"/>
        <v/>
      </c>
      <c r="O27" s="153"/>
      <c r="P27" s="153"/>
      <c r="Q27" s="153"/>
      <c r="R27" s="153"/>
      <c r="S27" s="153"/>
    </row>
    <row r="28" spans="1:19" x14ac:dyDescent="0.25">
      <c r="A28" t="s">
        <v>622</v>
      </c>
      <c r="B28">
        <v>1</v>
      </c>
      <c r="C28">
        <v>0</v>
      </c>
      <c r="D28">
        <v>0</v>
      </c>
      <c r="E28">
        <v>0</v>
      </c>
      <c r="F28">
        <v>0</v>
      </c>
      <c r="G28">
        <v>1</v>
      </c>
      <c r="I28" t="str">
        <f t="shared" si="1"/>
        <v>UNIQUE</v>
      </c>
      <c r="J28" t="str">
        <f t="shared" si="2"/>
        <v/>
      </c>
      <c r="K28" t="str">
        <f t="shared" si="3"/>
        <v/>
      </c>
      <c r="L28" t="str">
        <f t="shared" si="4"/>
        <v/>
      </c>
      <c r="M28" t="str">
        <f t="shared" si="5"/>
        <v/>
      </c>
      <c r="O28" s="153"/>
      <c r="P28" s="153"/>
      <c r="Q28" s="153"/>
      <c r="R28" s="153"/>
      <c r="S28" s="153"/>
    </row>
    <row r="29" spans="1:19" x14ac:dyDescent="0.25">
      <c r="A29" t="s">
        <v>242</v>
      </c>
      <c r="B29">
        <v>1</v>
      </c>
      <c r="C29">
        <v>0</v>
      </c>
      <c r="D29">
        <v>0</v>
      </c>
      <c r="E29">
        <v>0</v>
      </c>
      <c r="F29">
        <v>0</v>
      </c>
      <c r="G29">
        <v>1</v>
      </c>
      <c r="I29" t="str">
        <f t="shared" si="1"/>
        <v>UNIQUE</v>
      </c>
      <c r="J29" t="str">
        <f t="shared" si="2"/>
        <v/>
      </c>
      <c r="K29" t="str">
        <f t="shared" si="3"/>
        <v/>
      </c>
      <c r="L29" t="str">
        <f t="shared" si="4"/>
        <v/>
      </c>
      <c r="M29" t="str">
        <f t="shared" si="5"/>
        <v/>
      </c>
      <c r="O29" s="153"/>
      <c r="P29" s="153"/>
      <c r="Q29" s="153"/>
      <c r="R29" s="153"/>
      <c r="S29" s="153"/>
    </row>
    <row r="30" spans="1:19" x14ac:dyDescent="0.25">
      <c r="A30" t="s">
        <v>252</v>
      </c>
      <c r="B30">
        <v>0</v>
      </c>
      <c r="C30">
        <v>0</v>
      </c>
      <c r="D30">
        <v>1</v>
      </c>
      <c r="E30">
        <v>0</v>
      </c>
      <c r="F30">
        <v>0</v>
      </c>
      <c r="G30">
        <v>1</v>
      </c>
      <c r="I30" t="str">
        <f t="shared" si="1"/>
        <v/>
      </c>
      <c r="J30" t="str">
        <f t="shared" si="2"/>
        <v/>
      </c>
      <c r="K30" t="str">
        <f t="shared" si="3"/>
        <v>UNIQUE</v>
      </c>
      <c r="L30" t="str">
        <f t="shared" si="4"/>
        <v/>
      </c>
      <c r="M30" t="str">
        <f t="shared" si="5"/>
        <v/>
      </c>
      <c r="O30" s="153"/>
      <c r="P30" s="153"/>
      <c r="Q30" s="153"/>
      <c r="R30" s="153"/>
      <c r="S30" s="153"/>
    </row>
    <row r="31" spans="1:19" x14ac:dyDescent="0.25">
      <c r="A31" t="s">
        <v>215</v>
      </c>
      <c r="B31">
        <v>0</v>
      </c>
      <c r="C31">
        <v>0</v>
      </c>
      <c r="D31">
        <v>0</v>
      </c>
      <c r="E31">
        <v>0</v>
      </c>
      <c r="F31">
        <v>1</v>
      </c>
      <c r="G31">
        <v>1</v>
      </c>
      <c r="I31" t="str">
        <f t="shared" si="1"/>
        <v/>
      </c>
      <c r="J31" t="str">
        <f t="shared" si="2"/>
        <v/>
      </c>
      <c r="K31" t="str">
        <f t="shared" si="3"/>
        <v/>
      </c>
      <c r="L31" t="str">
        <f t="shared" si="4"/>
        <v/>
      </c>
      <c r="M31" t="str">
        <f t="shared" si="5"/>
        <v>UNIQUE</v>
      </c>
      <c r="O31" s="153"/>
      <c r="P31" s="153"/>
      <c r="Q31" s="153"/>
      <c r="R31" s="153"/>
      <c r="S31" s="153"/>
    </row>
    <row r="32" spans="1:19" x14ac:dyDescent="0.25">
      <c r="A32" t="s">
        <v>429</v>
      </c>
      <c r="B32">
        <v>1</v>
      </c>
      <c r="C32">
        <v>0</v>
      </c>
      <c r="D32">
        <v>0</v>
      </c>
      <c r="E32">
        <v>0</v>
      </c>
      <c r="F32">
        <v>0</v>
      </c>
      <c r="G32">
        <v>1</v>
      </c>
      <c r="I32" t="str">
        <f t="shared" si="1"/>
        <v>UNIQUE</v>
      </c>
      <c r="J32" t="str">
        <f t="shared" si="2"/>
        <v/>
      </c>
      <c r="K32" t="str">
        <f t="shared" si="3"/>
        <v/>
      </c>
      <c r="L32" t="str">
        <f t="shared" si="4"/>
        <v/>
      </c>
      <c r="M32" t="str">
        <f t="shared" si="5"/>
        <v/>
      </c>
      <c r="O32" s="153"/>
      <c r="P32" s="153"/>
      <c r="Q32" s="153"/>
      <c r="R32" s="153"/>
      <c r="S32" s="153"/>
    </row>
    <row r="33" spans="1:19" x14ac:dyDescent="0.25">
      <c r="A33" t="s">
        <v>178</v>
      </c>
      <c r="B33">
        <v>2</v>
      </c>
      <c r="C33">
        <v>2</v>
      </c>
      <c r="D33">
        <v>2</v>
      </c>
      <c r="E33">
        <v>3</v>
      </c>
      <c r="F33">
        <v>1</v>
      </c>
      <c r="G33">
        <v>10</v>
      </c>
      <c r="I33" t="str">
        <f t="shared" si="1"/>
        <v/>
      </c>
      <c r="J33" t="str">
        <f t="shared" si="2"/>
        <v/>
      </c>
      <c r="K33" t="str">
        <f t="shared" si="3"/>
        <v/>
      </c>
      <c r="L33" t="str">
        <f t="shared" si="4"/>
        <v/>
      </c>
      <c r="M33" t="str">
        <f t="shared" si="5"/>
        <v/>
      </c>
      <c r="O33" s="153"/>
      <c r="P33" s="153"/>
      <c r="Q33" s="153"/>
      <c r="R33" s="153"/>
      <c r="S33" s="153"/>
    </row>
    <row r="34" spans="1:19" x14ac:dyDescent="0.25">
      <c r="A34" t="s">
        <v>313</v>
      </c>
      <c r="B34">
        <v>3</v>
      </c>
      <c r="C34">
        <v>1</v>
      </c>
      <c r="D34">
        <v>0</v>
      </c>
      <c r="E34">
        <v>3</v>
      </c>
      <c r="F34">
        <v>0</v>
      </c>
      <c r="G34">
        <v>7</v>
      </c>
      <c r="I34" t="str">
        <f t="shared" si="1"/>
        <v/>
      </c>
      <c r="J34" t="str">
        <f t="shared" si="2"/>
        <v/>
      </c>
      <c r="K34" t="str">
        <f t="shared" si="3"/>
        <v/>
      </c>
      <c r="L34" t="str">
        <f t="shared" si="4"/>
        <v/>
      </c>
      <c r="M34" t="str">
        <f t="shared" si="5"/>
        <v/>
      </c>
      <c r="O34" s="153"/>
      <c r="P34" s="153"/>
      <c r="Q34" s="153"/>
      <c r="R34" s="153"/>
      <c r="S34" s="153"/>
    </row>
    <row r="35" spans="1:19" x14ac:dyDescent="0.25">
      <c r="A35" t="s">
        <v>552</v>
      </c>
      <c r="B35">
        <v>1</v>
      </c>
      <c r="C35">
        <v>0</v>
      </c>
      <c r="D35">
        <v>0</v>
      </c>
      <c r="E35">
        <v>0</v>
      </c>
      <c r="F35">
        <v>0</v>
      </c>
      <c r="G35">
        <v>1</v>
      </c>
      <c r="I35" t="str">
        <f t="shared" si="1"/>
        <v>UNIQUE</v>
      </c>
      <c r="J35" t="str">
        <f t="shared" si="2"/>
        <v/>
      </c>
      <c r="K35" t="str">
        <f t="shared" si="3"/>
        <v/>
      </c>
      <c r="L35" t="str">
        <f t="shared" si="4"/>
        <v/>
      </c>
      <c r="M35" t="str">
        <f t="shared" si="5"/>
        <v/>
      </c>
      <c r="O35" s="153"/>
      <c r="P35" s="153"/>
      <c r="Q35" s="153"/>
      <c r="R35" s="153"/>
      <c r="S35" s="153"/>
    </row>
    <row r="36" spans="1:19" x14ac:dyDescent="0.25">
      <c r="A36" t="s">
        <v>403</v>
      </c>
      <c r="B36">
        <v>0</v>
      </c>
      <c r="C36">
        <v>0</v>
      </c>
      <c r="D36">
        <v>0</v>
      </c>
      <c r="E36">
        <v>0</v>
      </c>
      <c r="F36">
        <v>1</v>
      </c>
      <c r="G36">
        <v>1</v>
      </c>
      <c r="I36" t="str">
        <f t="shared" si="1"/>
        <v/>
      </c>
      <c r="J36" t="str">
        <f t="shared" si="2"/>
        <v/>
      </c>
      <c r="K36" t="str">
        <f t="shared" si="3"/>
        <v/>
      </c>
      <c r="L36" t="str">
        <f t="shared" si="4"/>
        <v/>
      </c>
      <c r="M36" t="str">
        <f t="shared" si="5"/>
        <v>UNIQUE</v>
      </c>
      <c r="O36" s="153"/>
      <c r="P36" s="153"/>
      <c r="Q36" s="153"/>
      <c r="R36" s="153"/>
      <c r="S36" s="153"/>
    </row>
    <row r="37" spans="1:19" x14ac:dyDescent="0.25">
      <c r="A37" t="s">
        <v>460</v>
      </c>
      <c r="B37">
        <v>1</v>
      </c>
      <c r="C37">
        <v>0</v>
      </c>
      <c r="D37">
        <v>0</v>
      </c>
      <c r="E37">
        <v>0</v>
      </c>
      <c r="F37">
        <v>0</v>
      </c>
      <c r="G37">
        <v>1</v>
      </c>
      <c r="I37" t="str">
        <f t="shared" si="1"/>
        <v>UNIQUE</v>
      </c>
      <c r="J37" t="str">
        <f t="shared" si="2"/>
        <v/>
      </c>
      <c r="K37" t="str">
        <f t="shared" si="3"/>
        <v/>
      </c>
      <c r="L37" t="str">
        <f t="shared" si="4"/>
        <v/>
      </c>
      <c r="M37" t="str">
        <f t="shared" si="5"/>
        <v/>
      </c>
      <c r="O37" s="153"/>
      <c r="P37" s="153"/>
      <c r="Q37" s="153"/>
      <c r="R37" s="153"/>
      <c r="S37" s="153"/>
    </row>
    <row r="38" spans="1:19" x14ac:dyDescent="0.25">
      <c r="A38" t="s">
        <v>165</v>
      </c>
      <c r="B38">
        <v>1</v>
      </c>
      <c r="C38">
        <v>0</v>
      </c>
      <c r="D38">
        <v>0</v>
      </c>
      <c r="E38">
        <v>1</v>
      </c>
      <c r="F38">
        <v>0</v>
      </c>
      <c r="G38">
        <v>2</v>
      </c>
      <c r="I38" t="str">
        <f t="shared" si="1"/>
        <v/>
      </c>
      <c r="J38" t="str">
        <f t="shared" si="2"/>
        <v/>
      </c>
      <c r="K38" t="str">
        <f t="shared" si="3"/>
        <v/>
      </c>
      <c r="L38" t="str">
        <f t="shared" si="4"/>
        <v/>
      </c>
      <c r="M38" t="str">
        <f t="shared" si="5"/>
        <v/>
      </c>
      <c r="O38" s="153"/>
      <c r="P38" s="153"/>
      <c r="Q38" s="153"/>
      <c r="R38" s="153"/>
      <c r="S38" s="153"/>
    </row>
    <row r="39" spans="1:19" x14ac:dyDescent="0.25">
      <c r="A39" t="s">
        <v>304</v>
      </c>
      <c r="B39">
        <v>0</v>
      </c>
      <c r="C39">
        <v>1</v>
      </c>
      <c r="D39">
        <v>1</v>
      </c>
      <c r="E39">
        <v>1</v>
      </c>
      <c r="F39">
        <v>2</v>
      </c>
      <c r="G39">
        <v>5</v>
      </c>
      <c r="I39" t="str">
        <f t="shared" si="1"/>
        <v/>
      </c>
      <c r="J39" t="str">
        <f t="shared" si="2"/>
        <v/>
      </c>
      <c r="K39" t="str">
        <f t="shared" si="3"/>
        <v/>
      </c>
      <c r="L39" t="str">
        <f t="shared" si="4"/>
        <v/>
      </c>
      <c r="M39" t="str">
        <f t="shared" si="5"/>
        <v/>
      </c>
      <c r="O39" s="153"/>
      <c r="P39" s="153"/>
      <c r="Q39" s="153"/>
      <c r="R39" s="153"/>
      <c r="S39" s="153"/>
    </row>
    <row r="40" spans="1:19" x14ac:dyDescent="0.25">
      <c r="A40" t="s">
        <v>172</v>
      </c>
      <c r="B40">
        <v>2</v>
      </c>
      <c r="C40">
        <v>0</v>
      </c>
      <c r="D40">
        <v>1</v>
      </c>
      <c r="E40">
        <v>0</v>
      </c>
      <c r="F40">
        <v>1</v>
      </c>
      <c r="G40">
        <v>4</v>
      </c>
      <c r="I40" t="str">
        <f t="shared" si="1"/>
        <v/>
      </c>
      <c r="J40" t="str">
        <f t="shared" si="2"/>
        <v/>
      </c>
      <c r="K40" t="str">
        <f t="shared" si="3"/>
        <v/>
      </c>
      <c r="L40" t="str">
        <f t="shared" si="4"/>
        <v/>
      </c>
      <c r="M40" t="str">
        <f t="shared" si="5"/>
        <v/>
      </c>
      <c r="O40" s="153"/>
      <c r="P40" s="153"/>
      <c r="Q40" s="153"/>
      <c r="R40" s="153"/>
      <c r="S40" s="153"/>
    </row>
    <row r="41" spans="1:19" x14ac:dyDescent="0.25">
      <c r="A41" t="s">
        <v>177</v>
      </c>
      <c r="B41">
        <v>2</v>
      </c>
      <c r="C41">
        <v>1</v>
      </c>
      <c r="D41">
        <v>0</v>
      </c>
      <c r="E41">
        <v>2</v>
      </c>
      <c r="F41">
        <v>1</v>
      </c>
      <c r="G41">
        <v>6</v>
      </c>
      <c r="I41" t="str">
        <f t="shared" si="1"/>
        <v/>
      </c>
      <c r="J41" t="str">
        <f t="shared" si="2"/>
        <v/>
      </c>
      <c r="K41" t="str">
        <f t="shared" si="3"/>
        <v/>
      </c>
      <c r="L41" t="str">
        <f t="shared" si="4"/>
        <v/>
      </c>
      <c r="M41" t="str">
        <f t="shared" si="5"/>
        <v/>
      </c>
      <c r="O41" s="153"/>
      <c r="P41" s="153"/>
      <c r="Q41" s="153"/>
      <c r="R41" s="153"/>
      <c r="S41" s="153"/>
    </row>
    <row r="42" spans="1:19" x14ac:dyDescent="0.25">
      <c r="B42">
        <v>44</v>
      </c>
      <c r="C42">
        <v>23</v>
      </c>
      <c r="D42">
        <v>24</v>
      </c>
      <c r="E42">
        <v>42</v>
      </c>
      <c r="F42">
        <v>15</v>
      </c>
      <c r="G42">
        <v>148</v>
      </c>
    </row>
    <row r="43" spans="1:19" x14ac:dyDescent="0.25">
      <c r="A43" t="s">
        <v>877</v>
      </c>
      <c r="B43">
        <v>23</v>
      </c>
      <c r="C43">
        <v>14</v>
      </c>
      <c r="D43">
        <v>15</v>
      </c>
      <c r="E43">
        <v>17</v>
      </c>
      <c r="F43">
        <v>11</v>
      </c>
      <c r="G43">
        <v>35</v>
      </c>
    </row>
    <row r="46" spans="1:19" ht="15" customHeight="1" x14ac:dyDescent="0.25">
      <c r="B46" s="152" t="s">
        <v>154</v>
      </c>
      <c r="C46" s="153" t="str">
        <f>CONCATENATE("Alcoholism,","Climate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f>
        <v>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v>
      </c>
      <c r="D46" s="153"/>
      <c r="E46" s="153"/>
      <c r="F46" s="153"/>
      <c r="G46" s="153"/>
    </row>
    <row r="47" spans="1:19" x14ac:dyDescent="0.25">
      <c r="A47" t="s">
        <v>179</v>
      </c>
      <c r="B47">
        <v>1</v>
      </c>
      <c r="C47" s="153"/>
      <c r="D47" s="153"/>
      <c r="E47" s="153"/>
      <c r="F47" s="153"/>
      <c r="G47" s="153"/>
    </row>
    <row r="48" spans="1:19" x14ac:dyDescent="0.25">
      <c r="A48" t="s">
        <v>216</v>
      </c>
      <c r="B48">
        <v>1</v>
      </c>
      <c r="C48" s="153"/>
      <c r="D48" s="153"/>
      <c r="E48" s="153"/>
      <c r="F48" s="153"/>
      <c r="G48" s="153"/>
    </row>
    <row r="49" spans="1:7" x14ac:dyDescent="0.25">
      <c r="A49" t="s">
        <v>233</v>
      </c>
      <c r="B49">
        <v>1</v>
      </c>
      <c r="C49" s="153"/>
      <c r="D49" s="153"/>
      <c r="E49" s="153"/>
      <c r="F49" s="153"/>
      <c r="G49" s="153"/>
    </row>
    <row r="50" spans="1:7" x14ac:dyDescent="0.25">
      <c r="A50" t="s">
        <v>263</v>
      </c>
      <c r="B50">
        <v>3</v>
      </c>
      <c r="C50" s="153"/>
      <c r="D50" s="153"/>
      <c r="E50" s="153"/>
      <c r="F50" s="153"/>
      <c r="G50" s="153"/>
    </row>
    <row r="51" spans="1:7" x14ac:dyDescent="0.25">
      <c r="A51" t="s">
        <v>202</v>
      </c>
      <c r="B51">
        <v>2</v>
      </c>
      <c r="C51" s="153"/>
      <c r="D51" s="153"/>
      <c r="E51" s="153"/>
      <c r="F51" s="153"/>
      <c r="G51" s="153"/>
    </row>
    <row r="52" spans="1:7" x14ac:dyDescent="0.25">
      <c r="A52" t="s">
        <v>538</v>
      </c>
      <c r="B52">
        <v>1</v>
      </c>
      <c r="C52" s="153"/>
      <c r="D52" s="153"/>
      <c r="E52" s="153"/>
      <c r="F52" s="153"/>
      <c r="G52" s="153"/>
    </row>
    <row r="53" spans="1:7" x14ac:dyDescent="0.25">
      <c r="A53" t="s">
        <v>274</v>
      </c>
      <c r="B53">
        <v>1</v>
      </c>
      <c r="C53" s="153"/>
      <c r="D53" s="153"/>
      <c r="E53" s="153"/>
      <c r="F53" s="153"/>
      <c r="G53" s="153"/>
    </row>
    <row r="54" spans="1:7" x14ac:dyDescent="0.25">
      <c r="A54" t="s">
        <v>196</v>
      </c>
      <c r="B54">
        <v>4</v>
      </c>
      <c r="C54" s="153"/>
      <c r="D54" s="153"/>
      <c r="E54" s="153"/>
      <c r="F54" s="153"/>
      <c r="G54" s="153"/>
    </row>
    <row r="55" spans="1:7" x14ac:dyDescent="0.25">
      <c r="A55" t="s">
        <v>302</v>
      </c>
      <c r="B55">
        <v>4</v>
      </c>
      <c r="C55" s="153"/>
      <c r="D55" s="153"/>
      <c r="E55" s="153"/>
      <c r="F55" s="153"/>
      <c r="G55" s="153"/>
    </row>
    <row r="56" spans="1:7" x14ac:dyDescent="0.25">
      <c r="A56" t="s">
        <v>253</v>
      </c>
      <c r="B56">
        <v>1</v>
      </c>
      <c r="C56" s="153"/>
      <c r="D56" s="153"/>
      <c r="E56" s="153"/>
      <c r="F56" s="153"/>
      <c r="G56" s="153"/>
    </row>
    <row r="57" spans="1:7" x14ac:dyDescent="0.25">
      <c r="A57" t="s">
        <v>536</v>
      </c>
      <c r="B57">
        <v>1</v>
      </c>
      <c r="C57" s="153"/>
      <c r="D57" s="153"/>
      <c r="E57" s="153"/>
      <c r="F57" s="153"/>
      <c r="G57" s="153"/>
    </row>
    <row r="58" spans="1:7" x14ac:dyDescent="0.25">
      <c r="A58" t="s">
        <v>156</v>
      </c>
      <c r="B58">
        <v>6</v>
      </c>
      <c r="C58" s="153"/>
      <c r="D58" s="153"/>
      <c r="E58" s="153"/>
      <c r="F58" s="153"/>
      <c r="G58" s="153"/>
    </row>
    <row r="59" spans="1:7" x14ac:dyDescent="0.25">
      <c r="A59" t="s">
        <v>458</v>
      </c>
      <c r="B59">
        <v>3</v>
      </c>
      <c r="C59" s="153"/>
      <c r="D59" s="153"/>
      <c r="E59" s="153"/>
      <c r="F59" s="153"/>
      <c r="G59" s="153"/>
    </row>
    <row r="60" spans="1:7" x14ac:dyDescent="0.25">
      <c r="A60" t="s">
        <v>622</v>
      </c>
      <c r="B60">
        <v>1</v>
      </c>
      <c r="C60" s="153"/>
      <c r="D60" s="153"/>
      <c r="E60" s="153"/>
      <c r="F60" s="153"/>
      <c r="G60" s="153"/>
    </row>
    <row r="61" spans="1:7" x14ac:dyDescent="0.25">
      <c r="A61" t="s">
        <v>242</v>
      </c>
      <c r="B61">
        <v>1</v>
      </c>
      <c r="C61" s="153"/>
      <c r="D61" s="153"/>
      <c r="E61" s="153"/>
      <c r="F61" s="153"/>
      <c r="G61" s="153"/>
    </row>
    <row r="62" spans="1:7" x14ac:dyDescent="0.25">
      <c r="A62" t="s">
        <v>429</v>
      </c>
      <c r="B62">
        <v>1</v>
      </c>
      <c r="C62" s="153"/>
      <c r="D62" s="153"/>
      <c r="E62" s="153"/>
      <c r="F62" s="153"/>
      <c r="G62" s="153"/>
    </row>
    <row r="63" spans="1:7" x14ac:dyDescent="0.25">
      <c r="A63" t="s">
        <v>178</v>
      </c>
      <c r="B63">
        <v>2</v>
      </c>
      <c r="C63" s="153"/>
      <c r="D63" s="153"/>
      <c r="E63" s="153"/>
      <c r="F63" s="153"/>
      <c r="G63" s="153"/>
    </row>
    <row r="64" spans="1:7" x14ac:dyDescent="0.25">
      <c r="A64" t="s">
        <v>313</v>
      </c>
      <c r="B64">
        <v>3</v>
      </c>
      <c r="C64" s="153"/>
      <c r="D64" s="153"/>
      <c r="E64" s="153"/>
      <c r="F64" s="153"/>
      <c r="G64" s="153"/>
    </row>
    <row r="65" spans="1:7" x14ac:dyDescent="0.25">
      <c r="A65" t="s">
        <v>552</v>
      </c>
      <c r="B65">
        <v>1</v>
      </c>
      <c r="C65" s="153"/>
      <c r="D65" s="153"/>
      <c r="E65" s="153"/>
      <c r="F65" s="153"/>
      <c r="G65" s="153"/>
    </row>
    <row r="66" spans="1:7" x14ac:dyDescent="0.25">
      <c r="A66" t="s">
        <v>460</v>
      </c>
      <c r="B66">
        <v>1</v>
      </c>
      <c r="C66" s="153"/>
      <c r="D66" s="153"/>
      <c r="E66" s="153"/>
      <c r="F66" s="153"/>
      <c r="G66" s="153"/>
    </row>
    <row r="67" spans="1:7" x14ac:dyDescent="0.25">
      <c r="A67" t="s">
        <v>165</v>
      </c>
      <c r="B67">
        <v>1</v>
      </c>
      <c r="C67" s="153"/>
      <c r="D67" s="153"/>
      <c r="E67" s="153"/>
      <c r="F67" s="153"/>
      <c r="G67" s="153"/>
    </row>
    <row r="68" spans="1:7" x14ac:dyDescent="0.25">
      <c r="A68" t="s">
        <v>172</v>
      </c>
      <c r="B68">
        <v>2</v>
      </c>
      <c r="C68" s="153"/>
      <c r="D68" s="153"/>
      <c r="E68" s="153"/>
      <c r="F68" s="153"/>
      <c r="G68" s="153"/>
    </row>
    <row r="69" spans="1:7" x14ac:dyDescent="0.25">
      <c r="A69" t="s">
        <v>177</v>
      </c>
      <c r="B69">
        <v>2</v>
      </c>
      <c r="C69" s="153"/>
      <c r="D69" s="153"/>
      <c r="E69" s="153"/>
      <c r="F69" s="153"/>
      <c r="G69" s="153"/>
    </row>
    <row r="72" spans="1:7" x14ac:dyDescent="0.25">
      <c r="B72" t="s">
        <v>193</v>
      </c>
    </row>
    <row r="73" spans="1:7" x14ac:dyDescent="0.25">
      <c r="A73" t="s">
        <v>179</v>
      </c>
      <c r="B73">
        <v>2</v>
      </c>
      <c r="C73" s="270" t="str">
        <f>CONCATENATE("Alcoholism,","Crop Damage,","Drought,","Earthquakes,","Fire,","Floods,","Hail,","Hurricanes,","Lack of Access to Water,","Landslides,","Road Accidents,","Storms,","Unemployment,","Wildlife Attacks,")</f>
        <v>Alcoholism,Crop Damage,Drought,Earthquakes,Fire,Floods,Hail,Hurricanes,Lack of Access to Water,Landslides,Road Accidents,Storms,Unemployment,Wildlife Attacks,</v>
      </c>
      <c r="D73" s="270"/>
      <c r="E73" s="270"/>
      <c r="F73" s="270"/>
      <c r="G73" s="270"/>
    </row>
    <row r="74" spans="1:7" x14ac:dyDescent="0.25">
      <c r="A74" t="s">
        <v>287</v>
      </c>
      <c r="B74">
        <v>1</v>
      </c>
      <c r="C74" s="270"/>
      <c r="D74" s="270"/>
      <c r="E74" s="270"/>
      <c r="F74" s="270"/>
      <c r="G74" s="270"/>
    </row>
    <row r="75" spans="1:7" x14ac:dyDescent="0.25">
      <c r="A75" t="s">
        <v>202</v>
      </c>
      <c r="B75">
        <v>2</v>
      </c>
      <c r="C75" s="270"/>
      <c r="D75" s="270"/>
      <c r="E75" s="270"/>
      <c r="F75" s="270"/>
      <c r="G75" s="270"/>
    </row>
    <row r="76" spans="1:7" x14ac:dyDescent="0.25">
      <c r="A76" t="s">
        <v>274</v>
      </c>
      <c r="B76">
        <v>3</v>
      </c>
      <c r="C76" s="270"/>
      <c r="D76" s="270"/>
      <c r="E76" s="270"/>
      <c r="F76" s="270"/>
      <c r="G76" s="270"/>
    </row>
    <row r="77" spans="1:7" x14ac:dyDescent="0.25">
      <c r="A77" t="s">
        <v>196</v>
      </c>
      <c r="B77">
        <v>2</v>
      </c>
      <c r="C77" s="270"/>
      <c r="D77" s="270"/>
      <c r="E77" s="270"/>
      <c r="F77" s="270"/>
      <c r="G77" s="270"/>
    </row>
    <row r="78" spans="1:7" x14ac:dyDescent="0.25">
      <c r="A78" t="s">
        <v>302</v>
      </c>
      <c r="B78">
        <v>2</v>
      </c>
      <c r="C78" s="270"/>
      <c r="D78" s="270"/>
      <c r="E78" s="270"/>
      <c r="F78" s="270"/>
      <c r="G78" s="270"/>
    </row>
    <row r="79" spans="1:7" x14ac:dyDescent="0.25">
      <c r="A79" t="s">
        <v>354</v>
      </c>
      <c r="B79">
        <v>1</v>
      </c>
      <c r="C79" s="270"/>
      <c r="D79" s="270"/>
      <c r="E79" s="270"/>
      <c r="F79" s="270"/>
      <c r="G79" s="270"/>
    </row>
    <row r="80" spans="1:7" x14ac:dyDescent="0.25">
      <c r="A80" t="s">
        <v>616</v>
      </c>
      <c r="B80">
        <v>1</v>
      </c>
      <c r="C80" s="270"/>
      <c r="D80" s="270"/>
      <c r="E80" s="270"/>
      <c r="F80" s="270"/>
      <c r="G80" s="270"/>
    </row>
    <row r="81" spans="1:7" x14ac:dyDescent="0.25">
      <c r="A81" t="s">
        <v>156</v>
      </c>
      <c r="B81">
        <v>3</v>
      </c>
      <c r="C81" s="270"/>
      <c r="D81" s="270"/>
      <c r="E81" s="270"/>
      <c r="F81" s="270"/>
      <c r="G81" s="270"/>
    </row>
    <row r="82" spans="1:7" x14ac:dyDescent="0.25">
      <c r="A82" t="s">
        <v>458</v>
      </c>
      <c r="B82">
        <v>1</v>
      </c>
      <c r="C82" s="270"/>
      <c r="D82" s="270"/>
      <c r="E82" s="270"/>
      <c r="F82" s="270"/>
      <c r="G82" s="270"/>
    </row>
    <row r="83" spans="1:7" x14ac:dyDescent="0.25">
      <c r="A83" t="s">
        <v>178</v>
      </c>
      <c r="B83">
        <v>2</v>
      </c>
      <c r="C83" s="270"/>
      <c r="D83" s="270"/>
      <c r="E83" s="270"/>
      <c r="F83" s="270"/>
      <c r="G83" s="270"/>
    </row>
    <row r="84" spans="1:7" x14ac:dyDescent="0.25">
      <c r="A84" t="s">
        <v>313</v>
      </c>
      <c r="B84">
        <v>1</v>
      </c>
      <c r="C84" s="270"/>
      <c r="D84" s="270"/>
      <c r="E84" s="270"/>
      <c r="F84" s="270"/>
      <c r="G84" s="270"/>
    </row>
    <row r="85" spans="1:7" x14ac:dyDescent="0.25">
      <c r="A85" t="s">
        <v>304</v>
      </c>
      <c r="B85">
        <v>1</v>
      </c>
      <c r="C85" s="270"/>
      <c r="D85" s="270"/>
      <c r="E85" s="270"/>
      <c r="F85" s="270"/>
      <c r="G85" s="270"/>
    </row>
    <row r="86" spans="1:7" x14ac:dyDescent="0.25">
      <c r="A86" t="s">
        <v>177</v>
      </c>
      <c r="B86">
        <v>1</v>
      </c>
      <c r="C86" s="270"/>
      <c r="D86" s="270"/>
      <c r="E86" s="270"/>
      <c r="F86" s="270"/>
      <c r="G86" s="270"/>
    </row>
    <row r="88" spans="1:7" ht="30" x14ac:dyDescent="0.25">
      <c r="B88" s="152" t="s">
        <v>251</v>
      </c>
    </row>
    <row r="89" spans="1:7" x14ac:dyDescent="0.25">
      <c r="A89" t="s">
        <v>263</v>
      </c>
      <c r="B89">
        <v>2</v>
      </c>
      <c r="C89" s="270" t="str">
        <f>CONCATENATE("Disease/Epidemics,","Drought,","Drug Addiction,","Earthquakes,","Fire,","Floods,","Hail,","High Cost of Living,","Lack of Access to Basic Services,","Lack of Access to Water,","Landslides,","Poverty,","Road Accidents,","Unemployment,","Violence,")</f>
        <v>Disease/Epidemics,Drought,Drug Addiction,Earthquakes,Fire,Floods,Hail,High Cost of Living,Lack of Access to Basic Services,Lack of Access to Water,Landslides,Poverty,Road Accidents,Unemployment,Violence,</v>
      </c>
      <c r="D89" s="270"/>
      <c r="E89" s="270"/>
      <c r="F89" s="270"/>
      <c r="G89" s="270"/>
    </row>
    <row r="90" spans="1:7" x14ac:dyDescent="0.25">
      <c r="A90" t="s">
        <v>202</v>
      </c>
      <c r="B90">
        <v>1</v>
      </c>
      <c r="C90" s="270"/>
      <c r="D90" s="270"/>
      <c r="E90" s="270"/>
      <c r="F90" s="270"/>
      <c r="G90" s="270"/>
    </row>
    <row r="91" spans="1:7" x14ac:dyDescent="0.25">
      <c r="A91" t="s">
        <v>488</v>
      </c>
      <c r="B91">
        <v>1</v>
      </c>
      <c r="C91" s="270"/>
      <c r="D91" s="270"/>
      <c r="E91" s="270"/>
      <c r="F91" s="270"/>
      <c r="G91" s="270"/>
    </row>
    <row r="92" spans="1:7" x14ac:dyDescent="0.25">
      <c r="A92" t="s">
        <v>274</v>
      </c>
      <c r="B92">
        <v>3</v>
      </c>
      <c r="C92" s="270"/>
      <c r="D92" s="270"/>
      <c r="E92" s="270"/>
      <c r="F92" s="270"/>
      <c r="G92" s="270"/>
    </row>
    <row r="93" spans="1:7" x14ac:dyDescent="0.25">
      <c r="A93" t="s">
        <v>196</v>
      </c>
      <c r="B93">
        <v>3</v>
      </c>
      <c r="C93" s="270"/>
      <c r="D93" s="270"/>
      <c r="E93" s="270"/>
      <c r="F93" s="270"/>
      <c r="G93" s="270"/>
    </row>
    <row r="94" spans="1:7" x14ac:dyDescent="0.25">
      <c r="A94" t="s">
        <v>302</v>
      </c>
      <c r="B94">
        <v>3</v>
      </c>
      <c r="C94" s="270"/>
      <c r="D94" s="270"/>
      <c r="E94" s="270"/>
      <c r="F94" s="270"/>
      <c r="G94" s="270"/>
    </row>
    <row r="95" spans="1:7" x14ac:dyDescent="0.25">
      <c r="A95" t="s">
        <v>354</v>
      </c>
      <c r="B95">
        <v>1</v>
      </c>
      <c r="C95" s="270"/>
      <c r="D95" s="270"/>
      <c r="E95" s="270"/>
      <c r="F95" s="270"/>
      <c r="G95" s="270"/>
    </row>
    <row r="96" spans="1:7" x14ac:dyDescent="0.25">
      <c r="A96" t="s">
        <v>258</v>
      </c>
      <c r="B96">
        <v>1</v>
      </c>
      <c r="C96" s="270"/>
      <c r="D96" s="270"/>
      <c r="E96" s="270"/>
      <c r="F96" s="270"/>
      <c r="G96" s="270"/>
    </row>
    <row r="97" spans="1:7" x14ac:dyDescent="0.25">
      <c r="A97" t="s">
        <v>536</v>
      </c>
      <c r="B97">
        <v>1</v>
      </c>
      <c r="C97" s="270"/>
      <c r="D97" s="270"/>
      <c r="E97" s="270"/>
      <c r="F97" s="270"/>
      <c r="G97" s="270"/>
    </row>
    <row r="98" spans="1:7" x14ac:dyDescent="0.25">
      <c r="A98" t="s">
        <v>156</v>
      </c>
      <c r="B98">
        <v>2</v>
      </c>
      <c r="C98" s="270"/>
      <c r="D98" s="270"/>
      <c r="E98" s="270"/>
      <c r="F98" s="270"/>
      <c r="G98" s="270"/>
    </row>
    <row r="99" spans="1:7" x14ac:dyDescent="0.25">
      <c r="A99" t="s">
        <v>458</v>
      </c>
      <c r="B99">
        <v>1</v>
      </c>
      <c r="C99" s="270"/>
      <c r="D99" s="270"/>
      <c r="E99" s="270"/>
      <c r="F99" s="270"/>
      <c r="G99" s="270"/>
    </row>
    <row r="100" spans="1:7" x14ac:dyDescent="0.25">
      <c r="A100" t="s">
        <v>252</v>
      </c>
      <c r="B100">
        <v>1</v>
      </c>
      <c r="C100" s="270"/>
      <c r="D100" s="270"/>
      <c r="E100" s="270"/>
      <c r="F100" s="270"/>
      <c r="G100" s="270"/>
    </row>
    <row r="101" spans="1:7" x14ac:dyDescent="0.25">
      <c r="A101" t="s">
        <v>178</v>
      </c>
      <c r="B101">
        <v>2</v>
      </c>
      <c r="C101" s="270"/>
      <c r="D101" s="270"/>
      <c r="E101" s="270"/>
      <c r="F101" s="270"/>
      <c r="G101" s="270"/>
    </row>
    <row r="102" spans="1:7" x14ac:dyDescent="0.25">
      <c r="A102" t="s">
        <v>304</v>
      </c>
      <c r="B102">
        <v>1</v>
      </c>
      <c r="C102" s="270"/>
      <c r="D102" s="270"/>
      <c r="E102" s="270"/>
      <c r="F102" s="270"/>
      <c r="G102" s="270"/>
    </row>
    <row r="103" spans="1:7" x14ac:dyDescent="0.25">
      <c r="A103" t="s">
        <v>172</v>
      </c>
      <c r="B103">
        <v>1</v>
      </c>
      <c r="C103" s="270"/>
      <c r="D103" s="270"/>
      <c r="E103" s="270"/>
      <c r="F103" s="270"/>
      <c r="G103" s="270"/>
    </row>
    <row r="105" spans="1:7" x14ac:dyDescent="0.25">
      <c r="B105" t="s">
        <v>273</v>
      </c>
    </row>
    <row r="106" spans="1:7" x14ac:dyDescent="0.25">
      <c r="A106" t="s">
        <v>179</v>
      </c>
      <c r="B106">
        <v>3</v>
      </c>
      <c r="C106" s="270" t="str">
        <f>CONCATENATE("Alcoholism,","Child Abuse and Exploitation,","Disease/Epidemics,","Drought,","Earthquakes,","Fire,","Floods,","Heavy Rainfall,","High Cost of Living,","Lack of Access to Water,","Lack of Preparedness,","Landslides,","Road Accidents,","Storms,","Traffic Congestion,","Unemployment,","Wildlife Attacks,")</f>
        <v>Alcoholism,Child Abuse and Exploitation,Disease/Epidemics,Drought,Earthquakes,Fire,Floods,Heavy Rainfall,High Cost of Living,Lack of Access to Water,Lack of Preparedness,Landslides,Road Accidents,Storms,Traffic Congestion,Unemployment,Wildlife Attacks,</v>
      </c>
      <c r="D106" s="270"/>
      <c r="E106" s="270"/>
      <c r="F106" s="270"/>
      <c r="G106" s="270"/>
    </row>
    <row r="107" spans="1:7" x14ac:dyDescent="0.25">
      <c r="A107" t="s">
        <v>577</v>
      </c>
      <c r="B107">
        <v>1</v>
      </c>
      <c r="C107" s="270"/>
      <c r="D107" s="270"/>
      <c r="E107" s="270"/>
      <c r="F107" s="270"/>
      <c r="G107" s="270"/>
    </row>
    <row r="108" spans="1:7" x14ac:dyDescent="0.25">
      <c r="A108" t="s">
        <v>263</v>
      </c>
      <c r="B108">
        <v>1</v>
      </c>
      <c r="C108" s="270"/>
      <c r="D108" s="270"/>
      <c r="E108" s="270"/>
      <c r="F108" s="270"/>
      <c r="G108" s="270"/>
    </row>
    <row r="109" spans="1:7" x14ac:dyDescent="0.25">
      <c r="A109" t="s">
        <v>202</v>
      </c>
      <c r="B109">
        <v>2</v>
      </c>
      <c r="C109" s="270"/>
      <c r="D109" s="270"/>
      <c r="E109" s="270"/>
      <c r="F109" s="270"/>
      <c r="G109" s="270"/>
    </row>
    <row r="110" spans="1:7" x14ac:dyDescent="0.25">
      <c r="A110" t="s">
        <v>274</v>
      </c>
      <c r="B110">
        <v>5</v>
      </c>
      <c r="C110" s="270"/>
      <c r="D110" s="270"/>
      <c r="E110" s="270"/>
      <c r="F110" s="270"/>
      <c r="G110" s="270"/>
    </row>
    <row r="111" spans="1:7" x14ac:dyDescent="0.25">
      <c r="A111" t="s">
        <v>196</v>
      </c>
      <c r="B111">
        <v>6</v>
      </c>
      <c r="C111" s="270"/>
      <c r="D111" s="270"/>
      <c r="E111" s="270"/>
      <c r="F111" s="270"/>
      <c r="G111" s="270"/>
    </row>
    <row r="112" spans="1:7" x14ac:dyDescent="0.25">
      <c r="A112" t="s">
        <v>302</v>
      </c>
      <c r="B112">
        <v>7</v>
      </c>
      <c r="C112" s="270"/>
      <c r="D112" s="270"/>
      <c r="E112" s="270"/>
      <c r="F112" s="270"/>
      <c r="G112" s="270"/>
    </row>
    <row r="113" spans="1:16" x14ac:dyDescent="0.25">
      <c r="A113" t="s">
        <v>608</v>
      </c>
      <c r="B113">
        <v>1</v>
      </c>
      <c r="C113" s="270"/>
      <c r="D113" s="270"/>
      <c r="E113" s="270"/>
      <c r="F113" s="270"/>
      <c r="G113" s="270"/>
    </row>
    <row r="114" spans="1:16" x14ac:dyDescent="0.25">
      <c r="A114" t="s">
        <v>258</v>
      </c>
      <c r="B114">
        <v>1</v>
      </c>
      <c r="C114" s="270"/>
      <c r="D114" s="270"/>
      <c r="E114" s="270"/>
      <c r="F114" s="270"/>
      <c r="G114" s="270"/>
      <c r="O114" t="s">
        <v>154</v>
      </c>
      <c r="P114" s="153" t="s">
        <v>878</v>
      </c>
    </row>
    <row r="115" spans="1:16" x14ac:dyDescent="0.25">
      <c r="A115" t="s">
        <v>156</v>
      </c>
      <c r="B115">
        <v>3</v>
      </c>
      <c r="C115" s="270"/>
      <c r="D115" s="270"/>
      <c r="E115" s="270"/>
      <c r="F115" s="270"/>
      <c r="G115" s="270"/>
      <c r="O115" t="s">
        <v>193</v>
      </c>
      <c r="P115" s="153" t="s">
        <v>879</v>
      </c>
    </row>
    <row r="116" spans="1:16" x14ac:dyDescent="0.25">
      <c r="A116" t="s">
        <v>568</v>
      </c>
      <c r="B116">
        <v>1</v>
      </c>
      <c r="C116" s="270"/>
      <c r="D116" s="270"/>
      <c r="E116" s="270"/>
      <c r="F116" s="270"/>
      <c r="G116" s="270"/>
      <c r="O116" t="s">
        <v>251</v>
      </c>
      <c r="P116" s="153" t="s">
        <v>880</v>
      </c>
    </row>
    <row r="117" spans="1:16" x14ac:dyDescent="0.25">
      <c r="A117" t="s">
        <v>458</v>
      </c>
      <c r="B117">
        <v>1</v>
      </c>
      <c r="C117" s="270"/>
      <c r="D117" s="270"/>
      <c r="E117" s="270"/>
      <c r="F117" s="270"/>
      <c r="G117" s="270"/>
      <c r="O117" t="s">
        <v>273</v>
      </c>
      <c r="P117" s="153" t="s">
        <v>881</v>
      </c>
    </row>
    <row r="118" spans="1:16" x14ac:dyDescent="0.25">
      <c r="A118" t="s">
        <v>178</v>
      </c>
      <c r="B118">
        <v>3</v>
      </c>
      <c r="C118" s="270"/>
      <c r="D118" s="270"/>
      <c r="E118" s="270"/>
      <c r="F118" s="270"/>
      <c r="G118" s="270"/>
      <c r="O118" t="s">
        <v>330</v>
      </c>
      <c r="P118" s="153" t="s">
        <v>882</v>
      </c>
    </row>
    <row r="119" spans="1:16" x14ac:dyDescent="0.25">
      <c r="A119" t="s">
        <v>313</v>
      </c>
      <c r="B119">
        <v>3</v>
      </c>
      <c r="C119" s="270"/>
      <c r="D119" s="270"/>
      <c r="E119" s="270"/>
      <c r="F119" s="270"/>
      <c r="G119" s="270"/>
    </row>
    <row r="120" spans="1:16" x14ac:dyDescent="0.25">
      <c r="A120" t="s">
        <v>165</v>
      </c>
      <c r="B120">
        <v>1</v>
      </c>
      <c r="C120" s="270"/>
      <c r="D120" s="270"/>
      <c r="E120" s="270"/>
      <c r="F120" s="270"/>
      <c r="G120" s="270"/>
    </row>
    <row r="121" spans="1:16" x14ac:dyDescent="0.25">
      <c r="A121" t="s">
        <v>304</v>
      </c>
      <c r="B121">
        <v>1</v>
      </c>
      <c r="C121" s="270"/>
      <c r="D121" s="270"/>
      <c r="E121" s="270"/>
      <c r="F121" s="270"/>
      <c r="G121" s="270"/>
    </row>
    <row r="122" spans="1:16" x14ac:dyDescent="0.25">
      <c r="A122" t="s">
        <v>177</v>
      </c>
      <c r="B122">
        <v>2</v>
      </c>
      <c r="C122" s="270"/>
      <c r="D122" s="270"/>
      <c r="E122" s="270"/>
      <c r="F122" s="270"/>
      <c r="G122" s="270"/>
    </row>
    <row r="124" spans="1:16" ht="45" x14ac:dyDescent="0.25">
      <c r="B124" s="152" t="s">
        <v>330</v>
      </c>
      <c r="F124" s="152"/>
    </row>
    <row r="125" spans="1:16" x14ac:dyDescent="0.25">
      <c r="A125" t="s">
        <v>263</v>
      </c>
      <c r="B125">
        <v>1</v>
      </c>
      <c r="C125" s="270" t="str">
        <f>CONCATENATE("Disease/Epidemics,","Earthquakes,","Floods,","Lack of Access to Basic Services,","Lack of Access to Water,","Reduction In Irrigation,","Road Accidents,","Temperature Rise,","Unemployment,","Violence,","Wildlife Attacks,")</f>
        <v>Disease/Epidemics,Earthquakes,Floods,Lack of Access to Basic Services,Lack of Access to Water,Reduction In Irrigation,Road Accidents,Temperature Rise,Unemployment,Violence,Wildlife Attacks,</v>
      </c>
      <c r="D125" s="270"/>
      <c r="E125" s="270"/>
      <c r="F125" s="270"/>
      <c r="G125" s="270"/>
    </row>
    <row r="126" spans="1:16" x14ac:dyDescent="0.25">
      <c r="A126" t="s">
        <v>274</v>
      </c>
      <c r="B126">
        <v>1</v>
      </c>
      <c r="C126" s="270"/>
      <c r="D126" s="270"/>
      <c r="E126" s="270"/>
      <c r="F126" s="270"/>
      <c r="G126" s="270"/>
    </row>
    <row r="127" spans="1:16" x14ac:dyDescent="0.25">
      <c r="A127" t="s">
        <v>302</v>
      </c>
      <c r="B127">
        <v>1</v>
      </c>
      <c r="C127" s="270"/>
      <c r="D127" s="270"/>
      <c r="E127" s="270"/>
      <c r="F127" s="270"/>
      <c r="G127" s="270"/>
    </row>
    <row r="128" spans="1:16" x14ac:dyDescent="0.25">
      <c r="A128" t="s">
        <v>536</v>
      </c>
      <c r="B128">
        <v>3</v>
      </c>
      <c r="C128" s="270"/>
      <c r="D128" s="270"/>
      <c r="E128" s="270"/>
      <c r="F128" s="270"/>
      <c r="G128" s="270"/>
    </row>
    <row r="129" spans="1:15" x14ac:dyDescent="0.25">
      <c r="A129" t="s">
        <v>156</v>
      </c>
      <c r="B129">
        <v>2</v>
      </c>
      <c r="C129" s="270"/>
      <c r="D129" s="270"/>
      <c r="E129" s="270"/>
      <c r="F129" s="270"/>
      <c r="G129" s="270"/>
    </row>
    <row r="130" spans="1:15" x14ac:dyDescent="0.25">
      <c r="A130" t="s">
        <v>215</v>
      </c>
      <c r="B130">
        <v>1</v>
      </c>
      <c r="C130" s="270"/>
      <c r="D130" s="270"/>
      <c r="E130" s="270"/>
      <c r="F130" s="270"/>
      <c r="G130" s="270"/>
    </row>
    <row r="131" spans="1:15" x14ac:dyDescent="0.25">
      <c r="A131" t="s">
        <v>178</v>
      </c>
      <c r="B131">
        <v>1</v>
      </c>
      <c r="C131" s="270"/>
      <c r="D131" s="270"/>
      <c r="E131" s="270"/>
      <c r="F131" s="270"/>
      <c r="G131" s="270"/>
    </row>
    <row r="132" spans="1:15" x14ac:dyDescent="0.25">
      <c r="A132" t="s">
        <v>403</v>
      </c>
      <c r="B132">
        <v>1</v>
      </c>
      <c r="C132" s="270"/>
      <c r="D132" s="270"/>
      <c r="E132" s="270"/>
      <c r="F132" s="270"/>
      <c r="G132" s="270"/>
    </row>
    <row r="133" spans="1:15" x14ac:dyDescent="0.25">
      <c r="A133" t="s">
        <v>304</v>
      </c>
      <c r="B133">
        <v>2</v>
      </c>
      <c r="C133" s="270"/>
      <c r="D133" s="270"/>
      <c r="E133" s="270"/>
      <c r="F133" s="270"/>
      <c r="G133" s="270"/>
    </row>
    <row r="134" spans="1:15" x14ac:dyDescent="0.25">
      <c r="A134" t="s">
        <v>172</v>
      </c>
      <c r="B134">
        <v>1</v>
      </c>
      <c r="C134" s="270"/>
      <c r="D134" s="270"/>
      <c r="E134" s="270"/>
      <c r="F134" s="270"/>
      <c r="G134" s="270"/>
    </row>
    <row r="135" spans="1:15" x14ac:dyDescent="0.25">
      <c r="A135" t="s">
        <v>177</v>
      </c>
      <c r="B135">
        <v>1</v>
      </c>
      <c r="C135" s="270"/>
      <c r="D135" s="270"/>
      <c r="E135" s="270"/>
      <c r="F135" s="270"/>
      <c r="G135" s="270"/>
    </row>
    <row r="138" spans="1:15" ht="15" customHeight="1" x14ac:dyDescent="0.25">
      <c r="B138" s="4" t="s">
        <v>154</v>
      </c>
      <c r="C138" s="4" t="s">
        <v>193</v>
      </c>
      <c r="D138" s="4" t="s">
        <v>251</v>
      </c>
      <c r="E138" s="4" t="s">
        <v>273</v>
      </c>
      <c r="F138" s="4" t="s">
        <v>330</v>
      </c>
      <c r="I138" s="4" t="s">
        <v>154</v>
      </c>
      <c r="J138" s="4" t="s">
        <v>193</v>
      </c>
      <c r="K138" s="4" t="s">
        <v>251</v>
      </c>
      <c r="L138" s="4" t="s">
        <v>273</v>
      </c>
      <c r="M138" s="4" t="s">
        <v>330</v>
      </c>
      <c r="O138" s="4" t="s">
        <v>700</v>
      </c>
    </row>
    <row r="139" spans="1:15" x14ac:dyDescent="0.25">
      <c r="A139" t="s">
        <v>179</v>
      </c>
      <c r="B139">
        <v>1</v>
      </c>
      <c r="C139">
        <v>2</v>
      </c>
      <c r="D139">
        <v>0</v>
      </c>
      <c r="E139">
        <v>3</v>
      </c>
      <c r="F139">
        <v>0</v>
      </c>
      <c r="G139">
        <v>6</v>
      </c>
      <c r="I139" t="str">
        <f>IF((B139=$G139),IF($G139&gt;0,"UNIQUE",""),"")</f>
        <v/>
      </c>
      <c r="J139" t="str">
        <f t="shared" ref="J139:M139" si="6">IF((C139=$G139),IF($G139&gt;0,"UNIQUE",""),"")</f>
        <v/>
      </c>
      <c r="K139" t="str">
        <f t="shared" si="6"/>
        <v/>
      </c>
      <c r="L139" t="str">
        <f t="shared" si="6"/>
        <v/>
      </c>
      <c r="M139" t="str">
        <f t="shared" si="6"/>
        <v/>
      </c>
      <c r="O139" t="str">
        <f>IF(AND(B139&gt;0,C139&gt;0,D139&gt;0,E139&gt;0,F139&gt;0),"COMMON","")</f>
        <v/>
      </c>
    </row>
    <row r="140" spans="1:15" x14ac:dyDescent="0.25">
      <c r="A140" t="s">
        <v>577</v>
      </c>
      <c r="B140">
        <v>0</v>
      </c>
      <c r="C140">
        <v>0</v>
      </c>
      <c r="D140">
        <v>0</v>
      </c>
      <c r="E140">
        <v>1</v>
      </c>
      <c r="F140">
        <v>0</v>
      </c>
      <c r="G140">
        <v>1</v>
      </c>
      <c r="I140" t="str">
        <f t="shared" ref="I140:I176" si="7">IF((B140=$G140),IF($G140&gt;0,"UNIQUE",""),"")</f>
        <v/>
      </c>
      <c r="J140" t="str">
        <f t="shared" ref="J140:J176" si="8">IF((C140=$G140),IF($G140&gt;0,"UNIQUE",""),"")</f>
        <v/>
      </c>
      <c r="K140" t="str">
        <f t="shared" ref="K140:K176" si="9">IF((D140=$G140),IF($G140&gt;0,"UNIQUE",""),"")</f>
        <v/>
      </c>
      <c r="L140" t="str">
        <f t="shared" ref="L140:L176" si="10">IF((E140=$G140),IF($G140&gt;0,"UNIQUE",""),"")</f>
        <v>UNIQUE</v>
      </c>
      <c r="M140" t="str">
        <f t="shared" ref="M140:M176" si="11">IF((F140=$G140),IF($G140&gt;0,"UNIQUE",""),"")</f>
        <v/>
      </c>
      <c r="O140" t="str">
        <f t="shared" ref="O140:O176" si="12">IF(AND(B140&gt;0,C140&gt;0,D140&gt;0,E140&gt;0,F140&gt;0),"COMMON","")</f>
        <v/>
      </c>
    </row>
    <row r="141" spans="1:15" x14ac:dyDescent="0.25">
      <c r="A141" t="s">
        <v>216</v>
      </c>
      <c r="B141">
        <v>1</v>
      </c>
      <c r="C141">
        <v>0</v>
      </c>
      <c r="D141">
        <v>0</v>
      </c>
      <c r="E141">
        <v>0</v>
      </c>
      <c r="F141">
        <v>0</v>
      </c>
      <c r="G141">
        <v>1</v>
      </c>
      <c r="I141" t="str">
        <f t="shared" si="7"/>
        <v>UNIQUE</v>
      </c>
      <c r="J141" t="str">
        <f t="shared" si="8"/>
        <v/>
      </c>
      <c r="K141" t="str">
        <f t="shared" si="9"/>
        <v/>
      </c>
      <c r="L141" t="str">
        <f t="shared" si="10"/>
        <v/>
      </c>
      <c r="M141" t="str">
        <f t="shared" si="11"/>
        <v/>
      </c>
      <c r="O141" t="str">
        <f t="shared" si="12"/>
        <v/>
      </c>
    </row>
    <row r="142" spans="1:15" s="138" customFormat="1" x14ac:dyDescent="0.25">
      <c r="A142" s="138" t="s">
        <v>243</v>
      </c>
      <c r="B142" s="138">
        <v>0</v>
      </c>
      <c r="C142" s="138">
        <v>0</v>
      </c>
      <c r="D142" s="138">
        <v>0</v>
      </c>
      <c r="E142" s="138">
        <v>0</v>
      </c>
      <c r="F142" s="138">
        <v>0</v>
      </c>
      <c r="G142" s="138">
        <v>0</v>
      </c>
      <c r="I142" t="str">
        <f t="shared" si="7"/>
        <v/>
      </c>
      <c r="J142" t="str">
        <f t="shared" si="8"/>
        <v/>
      </c>
      <c r="K142" t="str">
        <f t="shared" si="9"/>
        <v/>
      </c>
      <c r="L142" t="str">
        <f t="shared" si="10"/>
        <v/>
      </c>
      <c r="M142" t="str">
        <f t="shared" si="11"/>
        <v/>
      </c>
      <c r="O142" t="str">
        <f t="shared" si="12"/>
        <v/>
      </c>
    </row>
    <row r="143" spans="1:15" x14ac:dyDescent="0.25">
      <c r="A143" t="s">
        <v>287</v>
      </c>
      <c r="B143">
        <v>0</v>
      </c>
      <c r="C143">
        <v>1</v>
      </c>
      <c r="D143">
        <v>0</v>
      </c>
      <c r="E143">
        <v>0</v>
      </c>
      <c r="F143">
        <v>0</v>
      </c>
      <c r="G143">
        <v>1</v>
      </c>
      <c r="I143" t="str">
        <f t="shared" si="7"/>
        <v/>
      </c>
      <c r="J143" t="str">
        <f t="shared" si="8"/>
        <v>UNIQUE</v>
      </c>
      <c r="K143" t="str">
        <f t="shared" si="9"/>
        <v/>
      </c>
      <c r="L143" t="str">
        <f t="shared" si="10"/>
        <v/>
      </c>
      <c r="M143" t="str">
        <f t="shared" si="11"/>
        <v/>
      </c>
      <c r="O143" t="str">
        <f t="shared" si="12"/>
        <v/>
      </c>
    </row>
    <row r="144" spans="1:15" x14ac:dyDescent="0.25">
      <c r="A144" t="s">
        <v>233</v>
      </c>
      <c r="B144">
        <v>1</v>
      </c>
      <c r="C144">
        <v>0</v>
      </c>
      <c r="D144">
        <v>0</v>
      </c>
      <c r="E144">
        <v>0</v>
      </c>
      <c r="F144">
        <v>0</v>
      </c>
      <c r="G144">
        <v>1</v>
      </c>
      <c r="I144" t="str">
        <f t="shared" si="7"/>
        <v>UNIQUE</v>
      </c>
      <c r="J144" t="str">
        <f t="shared" si="8"/>
        <v/>
      </c>
      <c r="K144" t="str">
        <f t="shared" si="9"/>
        <v/>
      </c>
      <c r="L144" t="str">
        <f t="shared" si="10"/>
        <v/>
      </c>
      <c r="M144" t="str">
        <f t="shared" si="11"/>
        <v/>
      </c>
      <c r="O144" t="str">
        <f t="shared" si="12"/>
        <v/>
      </c>
    </row>
    <row r="145" spans="1:15" x14ac:dyDescent="0.25">
      <c r="A145" t="s">
        <v>263</v>
      </c>
      <c r="B145">
        <v>3</v>
      </c>
      <c r="C145">
        <v>0</v>
      </c>
      <c r="D145">
        <v>2</v>
      </c>
      <c r="E145">
        <v>1</v>
      </c>
      <c r="F145">
        <v>1</v>
      </c>
      <c r="G145">
        <v>7</v>
      </c>
      <c r="I145" t="str">
        <f t="shared" si="7"/>
        <v/>
      </c>
      <c r="J145" t="str">
        <f t="shared" si="8"/>
        <v/>
      </c>
      <c r="K145" t="str">
        <f t="shared" si="9"/>
        <v/>
      </c>
      <c r="L145" t="str">
        <f t="shared" si="10"/>
        <v/>
      </c>
      <c r="M145" t="str">
        <f t="shared" si="11"/>
        <v/>
      </c>
      <c r="O145" t="str">
        <f t="shared" si="12"/>
        <v/>
      </c>
    </row>
    <row r="146" spans="1:15" x14ac:dyDescent="0.25">
      <c r="A146" t="s">
        <v>202</v>
      </c>
      <c r="B146">
        <v>2</v>
      </c>
      <c r="C146">
        <v>2</v>
      </c>
      <c r="D146">
        <v>1</v>
      </c>
      <c r="E146">
        <v>2</v>
      </c>
      <c r="F146">
        <v>0</v>
      </c>
      <c r="G146">
        <v>7</v>
      </c>
      <c r="I146" t="str">
        <f t="shared" si="7"/>
        <v/>
      </c>
      <c r="J146" t="str">
        <f t="shared" si="8"/>
        <v/>
      </c>
      <c r="K146" t="str">
        <f t="shared" si="9"/>
        <v/>
      </c>
      <c r="L146" t="str">
        <f t="shared" si="10"/>
        <v/>
      </c>
      <c r="M146" t="str">
        <f t="shared" si="11"/>
        <v/>
      </c>
      <c r="O146" t="str">
        <f t="shared" si="12"/>
        <v/>
      </c>
    </row>
    <row r="147" spans="1:15" x14ac:dyDescent="0.25">
      <c r="A147" t="s">
        <v>488</v>
      </c>
      <c r="B147">
        <v>0</v>
      </c>
      <c r="C147">
        <v>0</v>
      </c>
      <c r="D147">
        <v>1</v>
      </c>
      <c r="E147">
        <v>0</v>
      </c>
      <c r="F147">
        <v>0</v>
      </c>
      <c r="G147">
        <v>1</v>
      </c>
      <c r="I147" t="str">
        <f t="shared" si="7"/>
        <v/>
      </c>
      <c r="J147" t="str">
        <f t="shared" si="8"/>
        <v/>
      </c>
      <c r="K147" t="str">
        <f t="shared" si="9"/>
        <v>UNIQUE</v>
      </c>
      <c r="L147" t="str">
        <f t="shared" si="10"/>
        <v/>
      </c>
      <c r="M147" t="str">
        <f t="shared" si="11"/>
        <v/>
      </c>
      <c r="O147" t="str">
        <f t="shared" si="12"/>
        <v/>
      </c>
    </row>
    <row r="148" spans="1:15" x14ac:dyDescent="0.25">
      <c r="A148" t="s">
        <v>538</v>
      </c>
      <c r="B148">
        <v>1</v>
      </c>
      <c r="C148">
        <v>0</v>
      </c>
      <c r="D148">
        <v>0</v>
      </c>
      <c r="E148">
        <v>0</v>
      </c>
      <c r="F148">
        <v>0</v>
      </c>
      <c r="G148">
        <v>1</v>
      </c>
      <c r="I148" t="str">
        <f t="shared" si="7"/>
        <v>UNIQUE</v>
      </c>
      <c r="J148" t="str">
        <f t="shared" si="8"/>
        <v/>
      </c>
      <c r="K148" t="str">
        <f t="shared" si="9"/>
        <v/>
      </c>
      <c r="L148" t="str">
        <f t="shared" si="10"/>
        <v/>
      </c>
      <c r="M148" t="str">
        <f t="shared" si="11"/>
        <v/>
      </c>
      <c r="O148" t="str">
        <f t="shared" si="12"/>
        <v/>
      </c>
    </row>
    <row r="149" spans="1:15" x14ac:dyDescent="0.25">
      <c r="A149" t="s">
        <v>274</v>
      </c>
      <c r="B149">
        <v>1</v>
      </c>
      <c r="C149">
        <v>3</v>
      </c>
      <c r="D149">
        <v>3</v>
      </c>
      <c r="E149">
        <v>5</v>
      </c>
      <c r="F149">
        <v>1</v>
      </c>
      <c r="G149">
        <v>13</v>
      </c>
      <c r="I149" t="str">
        <f t="shared" si="7"/>
        <v/>
      </c>
      <c r="J149" t="str">
        <f t="shared" si="8"/>
        <v/>
      </c>
      <c r="K149" t="str">
        <f t="shared" si="9"/>
        <v/>
      </c>
      <c r="L149" t="str">
        <f t="shared" si="10"/>
        <v/>
      </c>
      <c r="M149" t="str">
        <f t="shared" si="11"/>
        <v/>
      </c>
      <c r="O149" t="str">
        <f t="shared" si="12"/>
        <v>COMMON</v>
      </c>
    </row>
    <row r="150" spans="1:15" s="138" customFormat="1" x14ac:dyDescent="0.25">
      <c r="A150" s="138" t="s">
        <v>495</v>
      </c>
      <c r="B150" s="138">
        <v>0</v>
      </c>
      <c r="C150" s="138">
        <v>0</v>
      </c>
      <c r="D150" s="138">
        <v>0</v>
      </c>
      <c r="E150" s="138">
        <v>0</v>
      </c>
      <c r="F150" s="138">
        <v>0</v>
      </c>
      <c r="G150" s="138">
        <v>0</v>
      </c>
      <c r="I150" t="str">
        <f t="shared" si="7"/>
        <v/>
      </c>
      <c r="J150" t="str">
        <f t="shared" si="8"/>
        <v/>
      </c>
      <c r="K150" t="str">
        <f t="shared" si="9"/>
        <v/>
      </c>
      <c r="L150" t="str">
        <f t="shared" si="10"/>
        <v/>
      </c>
      <c r="M150" t="str">
        <f t="shared" si="11"/>
        <v/>
      </c>
      <c r="O150" t="str">
        <f t="shared" si="12"/>
        <v/>
      </c>
    </row>
    <row r="151" spans="1:15" x14ac:dyDescent="0.25">
      <c r="A151" t="s">
        <v>196</v>
      </c>
      <c r="B151">
        <v>4</v>
      </c>
      <c r="C151">
        <v>2</v>
      </c>
      <c r="D151">
        <v>3</v>
      </c>
      <c r="E151">
        <v>6</v>
      </c>
      <c r="F151">
        <v>0</v>
      </c>
      <c r="G151">
        <v>15</v>
      </c>
      <c r="I151" t="str">
        <f t="shared" si="7"/>
        <v/>
      </c>
      <c r="J151" t="str">
        <f t="shared" si="8"/>
        <v/>
      </c>
      <c r="K151" t="str">
        <f t="shared" si="9"/>
        <v/>
      </c>
      <c r="L151" t="str">
        <f t="shared" si="10"/>
        <v/>
      </c>
      <c r="M151" t="str">
        <f t="shared" si="11"/>
        <v/>
      </c>
      <c r="O151" t="str">
        <f t="shared" si="12"/>
        <v/>
      </c>
    </row>
    <row r="152" spans="1:15" x14ac:dyDescent="0.25">
      <c r="A152" t="s">
        <v>302</v>
      </c>
      <c r="B152">
        <v>4</v>
      </c>
      <c r="C152">
        <v>2</v>
      </c>
      <c r="D152">
        <v>3</v>
      </c>
      <c r="E152">
        <v>7</v>
      </c>
      <c r="F152">
        <v>1</v>
      </c>
      <c r="G152">
        <v>17</v>
      </c>
      <c r="I152" t="str">
        <f t="shared" si="7"/>
        <v/>
      </c>
      <c r="J152" t="str">
        <f t="shared" si="8"/>
        <v/>
      </c>
      <c r="K152" t="str">
        <f t="shared" si="9"/>
        <v/>
      </c>
      <c r="L152" t="str">
        <f t="shared" si="10"/>
        <v/>
      </c>
      <c r="M152" t="str">
        <f t="shared" si="11"/>
        <v/>
      </c>
      <c r="O152" t="str">
        <f t="shared" si="12"/>
        <v>COMMON</v>
      </c>
    </row>
    <row r="153" spans="1:15" x14ac:dyDescent="0.25">
      <c r="A153" t="s">
        <v>253</v>
      </c>
      <c r="B153">
        <v>1</v>
      </c>
      <c r="C153">
        <v>0</v>
      </c>
      <c r="D153">
        <v>0</v>
      </c>
      <c r="E153">
        <v>0</v>
      </c>
      <c r="F153">
        <v>0</v>
      </c>
      <c r="G153">
        <v>1</v>
      </c>
      <c r="I153" t="str">
        <f t="shared" si="7"/>
        <v>UNIQUE</v>
      </c>
      <c r="J153" t="str">
        <f t="shared" si="8"/>
        <v/>
      </c>
      <c r="K153" t="str">
        <f t="shared" si="9"/>
        <v/>
      </c>
      <c r="L153" t="str">
        <f t="shared" si="10"/>
        <v/>
      </c>
      <c r="M153" t="str">
        <f t="shared" si="11"/>
        <v/>
      </c>
      <c r="O153" t="str">
        <f t="shared" si="12"/>
        <v/>
      </c>
    </row>
    <row r="154" spans="1:15" x14ac:dyDescent="0.25">
      <c r="A154" t="s">
        <v>354</v>
      </c>
      <c r="B154">
        <v>0</v>
      </c>
      <c r="C154">
        <v>1</v>
      </c>
      <c r="D154">
        <v>1</v>
      </c>
      <c r="E154">
        <v>0</v>
      </c>
      <c r="F154">
        <v>0</v>
      </c>
      <c r="G154">
        <v>2</v>
      </c>
      <c r="I154" t="str">
        <f t="shared" si="7"/>
        <v/>
      </c>
      <c r="J154" t="str">
        <f t="shared" si="8"/>
        <v/>
      </c>
      <c r="K154" t="str">
        <f t="shared" si="9"/>
        <v/>
      </c>
      <c r="L154" t="str">
        <f t="shared" si="10"/>
        <v/>
      </c>
      <c r="M154" t="str">
        <f t="shared" si="11"/>
        <v/>
      </c>
      <c r="O154" t="str">
        <f t="shared" si="12"/>
        <v/>
      </c>
    </row>
    <row r="155" spans="1:15" x14ac:dyDescent="0.25">
      <c r="A155" t="s">
        <v>608</v>
      </c>
      <c r="B155">
        <v>0</v>
      </c>
      <c r="C155">
        <v>0</v>
      </c>
      <c r="D155">
        <v>0</v>
      </c>
      <c r="E155">
        <v>1</v>
      </c>
      <c r="F155">
        <v>0</v>
      </c>
      <c r="G155">
        <v>1</v>
      </c>
      <c r="I155" t="str">
        <f t="shared" si="7"/>
        <v/>
      </c>
      <c r="J155" t="str">
        <f t="shared" si="8"/>
        <v/>
      </c>
      <c r="K155" t="str">
        <f t="shared" si="9"/>
        <v/>
      </c>
      <c r="L155" t="str">
        <f t="shared" si="10"/>
        <v>UNIQUE</v>
      </c>
      <c r="M155" t="str">
        <f t="shared" si="11"/>
        <v/>
      </c>
      <c r="O155" t="str">
        <f t="shared" si="12"/>
        <v/>
      </c>
    </row>
    <row r="156" spans="1:15" x14ac:dyDescent="0.25">
      <c r="A156" t="s">
        <v>258</v>
      </c>
      <c r="B156">
        <v>0</v>
      </c>
      <c r="C156">
        <v>0</v>
      </c>
      <c r="D156">
        <v>1</v>
      </c>
      <c r="E156">
        <v>1</v>
      </c>
      <c r="F156">
        <v>0</v>
      </c>
      <c r="G156">
        <v>2</v>
      </c>
      <c r="I156" t="str">
        <f t="shared" si="7"/>
        <v/>
      </c>
      <c r="J156" t="str">
        <f t="shared" si="8"/>
        <v/>
      </c>
      <c r="K156" t="str">
        <f t="shared" si="9"/>
        <v/>
      </c>
      <c r="L156" t="str">
        <f t="shared" si="10"/>
        <v/>
      </c>
      <c r="M156" t="str">
        <f t="shared" si="11"/>
        <v/>
      </c>
      <c r="O156" t="str">
        <f t="shared" si="12"/>
        <v/>
      </c>
    </row>
    <row r="157" spans="1:15" x14ac:dyDescent="0.25">
      <c r="A157" t="s">
        <v>616</v>
      </c>
      <c r="B157">
        <v>0</v>
      </c>
      <c r="C157">
        <v>1</v>
      </c>
      <c r="D157">
        <v>0</v>
      </c>
      <c r="E157">
        <v>0</v>
      </c>
      <c r="F157">
        <v>0</v>
      </c>
      <c r="G157">
        <v>1</v>
      </c>
      <c r="I157" t="str">
        <f t="shared" si="7"/>
        <v/>
      </c>
      <c r="J157" t="str">
        <f t="shared" si="8"/>
        <v>UNIQUE</v>
      </c>
      <c r="K157" t="str">
        <f t="shared" si="9"/>
        <v/>
      </c>
      <c r="L157" t="str">
        <f t="shared" si="10"/>
        <v/>
      </c>
      <c r="M157" t="str">
        <f t="shared" si="11"/>
        <v/>
      </c>
      <c r="O157" t="str">
        <f t="shared" si="12"/>
        <v/>
      </c>
    </row>
    <row r="158" spans="1:15" s="138" customFormat="1" x14ac:dyDescent="0.25">
      <c r="A158" s="138" t="s">
        <v>327</v>
      </c>
      <c r="B158" s="138">
        <v>0</v>
      </c>
      <c r="C158" s="138">
        <v>0</v>
      </c>
      <c r="D158" s="138">
        <v>0</v>
      </c>
      <c r="E158" s="138">
        <v>0</v>
      </c>
      <c r="F158" s="138">
        <v>0</v>
      </c>
      <c r="G158" s="138">
        <v>0</v>
      </c>
      <c r="I158" t="str">
        <f t="shared" si="7"/>
        <v/>
      </c>
      <c r="J158" t="str">
        <f t="shared" si="8"/>
        <v/>
      </c>
      <c r="K158" t="str">
        <f t="shared" si="9"/>
        <v/>
      </c>
      <c r="L158" t="str">
        <f t="shared" si="10"/>
        <v/>
      </c>
      <c r="M158" t="str">
        <f t="shared" si="11"/>
        <v/>
      </c>
      <c r="O158" t="str">
        <f t="shared" si="12"/>
        <v/>
      </c>
    </row>
    <row r="159" spans="1:15" x14ac:dyDescent="0.25">
      <c r="A159" t="s">
        <v>536</v>
      </c>
      <c r="B159">
        <v>1</v>
      </c>
      <c r="C159">
        <v>0</v>
      </c>
      <c r="D159">
        <v>1</v>
      </c>
      <c r="E159">
        <v>0</v>
      </c>
      <c r="F159">
        <v>3</v>
      </c>
      <c r="G159">
        <v>5</v>
      </c>
      <c r="I159" t="str">
        <f t="shared" si="7"/>
        <v/>
      </c>
      <c r="J159" t="str">
        <f t="shared" si="8"/>
        <v/>
      </c>
      <c r="K159" t="str">
        <f t="shared" si="9"/>
        <v/>
      </c>
      <c r="L159" t="str">
        <f t="shared" si="10"/>
        <v/>
      </c>
      <c r="M159" t="str">
        <f t="shared" si="11"/>
        <v/>
      </c>
      <c r="O159" t="str">
        <f t="shared" si="12"/>
        <v/>
      </c>
    </row>
    <row r="160" spans="1:15" x14ac:dyDescent="0.25">
      <c r="A160" t="s">
        <v>156</v>
      </c>
      <c r="B160">
        <v>6</v>
      </c>
      <c r="C160">
        <v>3</v>
      </c>
      <c r="D160">
        <v>2</v>
      </c>
      <c r="E160">
        <v>3</v>
      </c>
      <c r="F160">
        <v>2</v>
      </c>
      <c r="G160">
        <v>16</v>
      </c>
      <c r="I160" t="str">
        <f t="shared" si="7"/>
        <v/>
      </c>
      <c r="J160" t="str">
        <f t="shared" si="8"/>
        <v/>
      </c>
      <c r="K160" t="str">
        <f t="shared" si="9"/>
        <v/>
      </c>
      <c r="L160" t="str">
        <f t="shared" si="10"/>
        <v/>
      </c>
      <c r="M160" t="str">
        <f t="shared" si="11"/>
        <v/>
      </c>
      <c r="O160" t="str">
        <f>IF(AND(B160&gt;0,C160&gt;0,D160&gt;0,E160&gt;0,F160&gt;0),"COMMON","")</f>
        <v>COMMON</v>
      </c>
    </row>
    <row r="161" spans="1:15" x14ac:dyDescent="0.25">
      <c r="A161" t="s">
        <v>568</v>
      </c>
      <c r="B161">
        <v>0</v>
      </c>
      <c r="C161">
        <v>0</v>
      </c>
      <c r="D161">
        <v>0</v>
      </c>
      <c r="E161">
        <v>1</v>
      </c>
      <c r="F161">
        <v>0</v>
      </c>
      <c r="G161">
        <v>1</v>
      </c>
      <c r="I161" t="str">
        <f t="shared" si="7"/>
        <v/>
      </c>
      <c r="J161" t="str">
        <f t="shared" si="8"/>
        <v/>
      </c>
      <c r="K161" t="str">
        <f t="shared" si="9"/>
        <v/>
      </c>
      <c r="L161" t="str">
        <f t="shared" si="10"/>
        <v>UNIQUE</v>
      </c>
      <c r="M161" t="str">
        <f t="shared" si="11"/>
        <v/>
      </c>
      <c r="O161" t="str">
        <f t="shared" si="12"/>
        <v/>
      </c>
    </row>
    <row r="162" spans="1:15" x14ac:dyDescent="0.25">
      <c r="A162" t="s">
        <v>458</v>
      </c>
      <c r="B162">
        <v>3</v>
      </c>
      <c r="C162">
        <v>1</v>
      </c>
      <c r="D162">
        <v>1</v>
      </c>
      <c r="E162">
        <v>1</v>
      </c>
      <c r="F162">
        <v>0</v>
      </c>
      <c r="G162">
        <v>6</v>
      </c>
      <c r="I162" t="str">
        <f t="shared" si="7"/>
        <v/>
      </c>
      <c r="J162" t="str">
        <f t="shared" si="8"/>
        <v/>
      </c>
      <c r="K162" t="str">
        <f t="shared" si="9"/>
        <v/>
      </c>
      <c r="L162" t="str">
        <f t="shared" si="10"/>
        <v/>
      </c>
      <c r="M162" t="str">
        <f t="shared" si="11"/>
        <v/>
      </c>
      <c r="O162" t="str">
        <f t="shared" si="12"/>
        <v/>
      </c>
    </row>
    <row r="163" spans="1:15" x14ac:dyDescent="0.25">
      <c r="A163" t="s">
        <v>622</v>
      </c>
      <c r="B163">
        <v>1</v>
      </c>
      <c r="C163">
        <v>0</v>
      </c>
      <c r="D163">
        <v>0</v>
      </c>
      <c r="E163">
        <v>0</v>
      </c>
      <c r="F163">
        <v>0</v>
      </c>
      <c r="G163">
        <v>1</v>
      </c>
      <c r="I163" t="str">
        <f t="shared" si="7"/>
        <v>UNIQUE</v>
      </c>
      <c r="J163" t="str">
        <f t="shared" si="8"/>
        <v/>
      </c>
      <c r="K163" t="str">
        <f t="shared" si="9"/>
        <v/>
      </c>
      <c r="L163" t="str">
        <f t="shared" si="10"/>
        <v/>
      </c>
      <c r="M163" t="str">
        <f t="shared" si="11"/>
        <v/>
      </c>
      <c r="O163" t="str">
        <f t="shared" si="12"/>
        <v/>
      </c>
    </row>
    <row r="164" spans="1:15" x14ac:dyDescent="0.25">
      <c r="A164" t="s">
        <v>242</v>
      </c>
      <c r="B164">
        <v>1</v>
      </c>
      <c r="C164">
        <v>0</v>
      </c>
      <c r="D164">
        <v>0</v>
      </c>
      <c r="E164">
        <v>0</v>
      </c>
      <c r="F164">
        <v>0</v>
      </c>
      <c r="G164">
        <v>1</v>
      </c>
      <c r="I164" t="str">
        <f t="shared" si="7"/>
        <v>UNIQUE</v>
      </c>
      <c r="J164" t="str">
        <f t="shared" si="8"/>
        <v/>
      </c>
      <c r="K164" t="str">
        <f t="shared" si="9"/>
        <v/>
      </c>
      <c r="L164" t="str">
        <f t="shared" si="10"/>
        <v/>
      </c>
      <c r="M164" t="str">
        <f t="shared" si="11"/>
        <v/>
      </c>
      <c r="O164" t="str">
        <f t="shared" si="12"/>
        <v/>
      </c>
    </row>
    <row r="165" spans="1:15" x14ac:dyDescent="0.25">
      <c r="A165" t="s">
        <v>252</v>
      </c>
      <c r="B165">
        <v>0</v>
      </c>
      <c r="C165">
        <v>0</v>
      </c>
      <c r="D165">
        <v>1</v>
      </c>
      <c r="E165">
        <v>0</v>
      </c>
      <c r="F165">
        <v>0</v>
      </c>
      <c r="G165">
        <v>1</v>
      </c>
      <c r="I165" t="str">
        <f t="shared" si="7"/>
        <v/>
      </c>
      <c r="J165" t="str">
        <f t="shared" si="8"/>
        <v/>
      </c>
      <c r="K165" t="str">
        <f t="shared" si="9"/>
        <v>UNIQUE</v>
      </c>
      <c r="L165" t="str">
        <f t="shared" si="10"/>
        <v/>
      </c>
      <c r="M165" t="str">
        <f t="shared" si="11"/>
        <v/>
      </c>
      <c r="O165" t="str">
        <f t="shared" si="12"/>
        <v/>
      </c>
    </row>
    <row r="166" spans="1:15" x14ac:dyDescent="0.25">
      <c r="A166" t="s">
        <v>215</v>
      </c>
      <c r="B166">
        <v>0</v>
      </c>
      <c r="C166">
        <v>0</v>
      </c>
      <c r="D166">
        <v>0</v>
      </c>
      <c r="E166">
        <v>0</v>
      </c>
      <c r="F166">
        <v>1</v>
      </c>
      <c r="G166">
        <v>1</v>
      </c>
      <c r="I166" t="str">
        <f t="shared" si="7"/>
        <v/>
      </c>
      <c r="J166" t="str">
        <f t="shared" si="8"/>
        <v/>
      </c>
      <c r="K166" t="str">
        <f t="shared" si="9"/>
        <v/>
      </c>
      <c r="L166" t="str">
        <f t="shared" si="10"/>
        <v/>
      </c>
      <c r="M166" t="str">
        <f t="shared" si="11"/>
        <v>UNIQUE</v>
      </c>
      <c r="O166" t="str">
        <f t="shared" si="12"/>
        <v/>
      </c>
    </row>
    <row r="167" spans="1:15" x14ac:dyDescent="0.25">
      <c r="A167" t="s">
        <v>429</v>
      </c>
      <c r="B167">
        <v>1</v>
      </c>
      <c r="C167">
        <v>0</v>
      </c>
      <c r="D167">
        <v>0</v>
      </c>
      <c r="E167">
        <v>0</v>
      </c>
      <c r="F167">
        <v>0</v>
      </c>
      <c r="G167">
        <v>1</v>
      </c>
      <c r="I167" t="str">
        <f t="shared" si="7"/>
        <v>UNIQUE</v>
      </c>
      <c r="J167" t="str">
        <f t="shared" si="8"/>
        <v/>
      </c>
      <c r="K167" t="str">
        <f t="shared" si="9"/>
        <v/>
      </c>
      <c r="L167" t="str">
        <f t="shared" si="10"/>
        <v/>
      </c>
      <c r="M167" t="str">
        <f t="shared" si="11"/>
        <v/>
      </c>
      <c r="O167" t="str">
        <f t="shared" si="12"/>
        <v/>
      </c>
    </row>
    <row r="168" spans="1:15" x14ac:dyDescent="0.25">
      <c r="A168" t="s">
        <v>178</v>
      </c>
      <c r="B168">
        <v>2</v>
      </c>
      <c r="C168">
        <v>2</v>
      </c>
      <c r="D168">
        <v>2</v>
      </c>
      <c r="E168">
        <v>3</v>
      </c>
      <c r="F168">
        <v>1</v>
      </c>
      <c r="G168">
        <v>10</v>
      </c>
      <c r="I168" t="str">
        <f t="shared" si="7"/>
        <v/>
      </c>
      <c r="J168" t="str">
        <f t="shared" si="8"/>
        <v/>
      </c>
      <c r="K168" t="str">
        <f t="shared" si="9"/>
        <v/>
      </c>
      <c r="L168" t="str">
        <f t="shared" si="10"/>
        <v/>
      </c>
      <c r="M168" t="str">
        <f t="shared" si="11"/>
        <v/>
      </c>
      <c r="O168" t="str">
        <f t="shared" si="12"/>
        <v>COMMON</v>
      </c>
    </row>
    <row r="169" spans="1:15" x14ac:dyDescent="0.25">
      <c r="A169" t="s">
        <v>313</v>
      </c>
      <c r="B169">
        <v>3</v>
      </c>
      <c r="C169">
        <v>1</v>
      </c>
      <c r="D169">
        <v>0</v>
      </c>
      <c r="E169">
        <v>3</v>
      </c>
      <c r="F169">
        <v>0</v>
      </c>
      <c r="G169">
        <v>7</v>
      </c>
      <c r="I169" t="str">
        <f t="shared" si="7"/>
        <v/>
      </c>
      <c r="J169" t="str">
        <f t="shared" si="8"/>
        <v/>
      </c>
      <c r="K169" t="str">
        <f t="shared" si="9"/>
        <v/>
      </c>
      <c r="L169" t="str">
        <f t="shared" si="10"/>
        <v/>
      </c>
      <c r="M169" t="str">
        <f t="shared" si="11"/>
        <v/>
      </c>
      <c r="O169" t="str">
        <f t="shared" si="12"/>
        <v/>
      </c>
    </row>
    <row r="170" spans="1:15" x14ac:dyDescent="0.25">
      <c r="A170" t="s">
        <v>552</v>
      </c>
      <c r="B170">
        <v>1</v>
      </c>
      <c r="C170">
        <v>0</v>
      </c>
      <c r="D170">
        <v>0</v>
      </c>
      <c r="E170">
        <v>0</v>
      </c>
      <c r="F170">
        <v>0</v>
      </c>
      <c r="G170">
        <v>1</v>
      </c>
      <c r="I170" t="str">
        <f t="shared" si="7"/>
        <v>UNIQUE</v>
      </c>
      <c r="J170" t="str">
        <f t="shared" si="8"/>
        <v/>
      </c>
      <c r="K170" t="str">
        <f t="shared" si="9"/>
        <v/>
      </c>
      <c r="L170" t="str">
        <f t="shared" si="10"/>
        <v/>
      </c>
      <c r="M170" t="str">
        <f t="shared" si="11"/>
        <v/>
      </c>
      <c r="O170" t="str">
        <f t="shared" si="12"/>
        <v/>
      </c>
    </row>
    <row r="171" spans="1:15" x14ac:dyDescent="0.25">
      <c r="A171" t="s">
        <v>403</v>
      </c>
      <c r="B171">
        <v>0</v>
      </c>
      <c r="C171">
        <v>0</v>
      </c>
      <c r="D171">
        <v>0</v>
      </c>
      <c r="E171">
        <v>0</v>
      </c>
      <c r="F171">
        <v>1</v>
      </c>
      <c r="G171">
        <v>1</v>
      </c>
      <c r="I171" t="str">
        <f t="shared" si="7"/>
        <v/>
      </c>
      <c r="J171" t="str">
        <f t="shared" si="8"/>
        <v/>
      </c>
      <c r="K171" t="str">
        <f t="shared" si="9"/>
        <v/>
      </c>
      <c r="L171" t="str">
        <f t="shared" si="10"/>
        <v/>
      </c>
      <c r="M171" t="str">
        <f t="shared" si="11"/>
        <v>UNIQUE</v>
      </c>
      <c r="O171" t="str">
        <f t="shared" si="12"/>
        <v/>
      </c>
    </row>
    <row r="172" spans="1:15" x14ac:dyDescent="0.25">
      <c r="A172" t="s">
        <v>460</v>
      </c>
      <c r="B172">
        <v>1</v>
      </c>
      <c r="C172">
        <v>0</v>
      </c>
      <c r="D172">
        <v>0</v>
      </c>
      <c r="E172">
        <v>0</v>
      </c>
      <c r="F172">
        <v>0</v>
      </c>
      <c r="G172">
        <v>1</v>
      </c>
      <c r="I172" t="str">
        <f t="shared" si="7"/>
        <v>UNIQUE</v>
      </c>
      <c r="J172" t="str">
        <f t="shared" si="8"/>
        <v/>
      </c>
      <c r="K172" t="str">
        <f t="shared" si="9"/>
        <v/>
      </c>
      <c r="L172" t="str">
        <f t="shared" si="10"/>
        <v/>
      </c>
      <c r="M172" t="str">
        <f t="shared" si="11"/>
        <v/>
      </c>
      <c r="O172" t="str">
        <f t="shared" si="12"/>
        <v/>
      </c>
    </row>
    <row r="173" spans="1:15" x14ac:dyDescent="0.25">
      <c r="A173" t="s">
        <v>165</v>
      </c>
      <c r="B173">
        <v>1</v>
      </c>
      <c r="C173">
        <v>0</v>
      </c>
      <c r="D173">
        <v>0</v>
      </c>
      <c r="E173">
        <v>1</v>
      </c>
      <c r="F173">
        <v>0</v>
      </c>
      <c r="G173">
        <v>2</v>
      </c>
      <c r="I173" t="str">
        <f t="shared" si="7"/>
        <v/>
      </c>
      <c r="J173" t="str">
        <f t="shared" si="8"/>
        <v/>
      </c>
      <c r="K173" t="str">
        <f t="shared" si="9"/>
        <v/>
      </c>
      <c r="L173" t="str">
        <f t="shared" si="10"/>
        <v/>
      </c>
      <c r="M173" t="str">
        <f t="shared" si="11"/>
        <v/>
      </c>
      <c r="O173" t="str">
        <f t="shared" si="12"/>
        <v/>
      </c>
    </row>
    <row r="174" spans="1:15" x14ac:dyDescent="0.25">
      <c r="A174" t="s">
        <v>304</v>
      </c>
      <c r="B174">
        <v>0</v>
      </c>
      <c r="C174">
        <v>1</v>
      </c>
      <c r="D174">
        <v>1</v>
      </c>
      <c r="E174">
        <v>1</v>
      </c>
      <c r="F174">
        <v>2</v>
      </c>
      <c r="G174">
        <v>5</v>
      </c>
      <c r="I174" t="str">
        <f t="shared" si="7"/>
        <v/>
      </c>
      <c r="J174" t="str">
        <f t="shared" si="8"/>
        <v/>
      </c>
      <c r="K174" t="str">
        <f t="shared" si="9"/>
        <v/>
      </c>
      <c r="L174" t="str">
        <f t="shared" si="10"/>
        <v/>
      </c>
      <c r="M174" t="str">
        <f t="shared" si="11"/>
        <v/>
      </c>
      <c r="O174" t="str">
        <f t="shared" si="12"/>
        <v/>
      </c>
    </row>
    <row r="175" spans="1:15" x14ac:dyDescent="0.25">
      <c r="A175" t="s">
        <v>172</v>
      </c>
      <c r="B175">
        <v>2</v>
      </c>
      <c r="C175">
        <v>0</v>
      </c>
      <c r="D175">
        <v>1</v>
      </c>
      <c r="E175">
        <v>0</v>
      </c>
      <c r="F175">
        <v>1</v>
      </c>
      <c r="G175">
        <v>4</v>
      </c>
      <c r="I175" t="str">
        <f t="shared" si="7"/>
        <v/>
      </c>
      <c r="J175" t="str">
        <f t="shared" si="8"/>
        <v/>
      </c>
      <c r="K175" t="str">
        <f t="shared" si="9"/>
        <v/>
      </c>
      <c r="L175" t="str">
        <f t="shared" si="10"/>
        <v/>
      </c>
      <c r="M175" t="str">
        <f t="shared" si="11"/>
        <v/>
      </c>
      <c r="O175" t="str">
        <f t="shared" si="12"/>
        <v/>
      </c>
    </row>
    <row r="176" spans="1:15" x14ac:dyDescent="0.25">
      <c r="A176" t="s">
        <v>177</v>
      </c>
      <c r="B176">
        <v>2</v>
      </c>
      <c r="C176">
        <v>1</v>
      </c>
      <c r="D176">
        <v>0</v>
      </c>
      <c r="E176">
        <v>2</v>
      </c>
      <c r="F176">
        <v>1</v>
      </c>
      <c r="G176">
        <v>6</v>
      </c>
      <c r="I176" t="str">
        <f t="shared" si="7"/>
        <v/>
      </c>
      <c r="J176" t="str">
        <f t="shared" si="8"/>
        <v/>
      </c>
      <c r="K176" t="str">
        <f t="shared" si="9"/>
        <v/>
      </c>
      <c r="L176" t="str">
        <f t="shared" si="10"/>
        <v/>
      </c>
      <c r="M176" t="str">
        <f t="shared" si="11"/>
        <v/>
      </c>
      <c r="O176" t="str">
        <f t="shared" si="12"/>
        <v/>
      </c>
    </row>
  </sheetData>
  <mergeCells count="22">
    <mergeCell ref="C73:G86"/>
    <mergeCell ref="C89:G103"/>
    <mergeCell ref="C106:G122"/>
    <mergeCell ref="C125:G135"/>
    <mergeCell ref="O2:O3"/>
    <mergeCell ref="G2:G3"/>
    <mergeCell ref="P2:P3"/>
    <mergeCell ref="Q2:Q3"/>
    <mergeCell ref="R2:R3"/>
    <mergeCell ref="S2:S3"/>
    <mergeCell ref="B1:G1"/>
    <mergeCell ref="I1:M1"/>
    <mergeCell ref="I2:I3"/>
    <mergeCell ref="J2:J3"/>
    <mergeCell ref="K2:K3"/>
    <mergeCell ref="L2:L3"/>
    <mergeCell ref="M2:M3"/>
    <mergeCell ref="B2:B3"/>
    <mergeCell ref="C2:C3"/>
    <mergeCell ref="D2:D3"/>
    <mergeCell ref="E2:E3"/>
    <mergeCell ref="F2:F3"/>
  </mergeCells>
  <conditionalFormatting sqref="B139">
    <cfRule type="expression" dxfId="0" priority="1">
      <formula>$I$139="UNIQUE"</formula>
    </cfRule>
  </conditionalFormatting>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Q38"/>
  <sheetViews>
    <sheetView zoomScale="55" zoomScaleNormal="55" workbookViewId="0">
      <selection activeCell="J6" sqref="J6"/>
    </sheetView>
  </sheetViews>
  <sheetFormatPr defaultRowHeight="15" x14ac:dyDescent="0.25"/>
  <cols>
    <col min="2" max="2" width="30.42578125" bestFit="1" customWidth="1"/>
    <col min="3" max="3" width="6.28515625" bestFit="1" customWidth="1"/>
    <col min="4" max="4" width="22.85546875" bestFit="1" customWidth="1"/>
    <col min="5" max="5" width="6.28515625" bestFit="1" customWidth="1"/>
    <col min="6" max="6" width="28.7109375" bestFit="1" customWidth="1"/>
    <col min="7" max="7" width="6.28515625" bestFit="1" customWidth="1"/>
    <col min="8" max="8" width="27" bestFit="1" customWidth="1"/>
    <col min="9" max="9" width="6.28515625" bestFit="1" customWidth="1"/>
    <col min="10" max="10" width="28.7109375" bestFit="1" customWidth="1"/>
    <col min="11" max="11" width="6.28515625" bestFit="1" customWidth="1"/>
    <col min="13" max="13" width="35.7109375" bestFit="1" customWidth="1"/>
    <col min="14" max="14" width="23.28515625" customWidth="1"/>
    <col min="15" max="15" width="35.7109375" bestFit="1" customWidth="1"/>
    <col min="16" max="16" width="32.140625" bestFit="1" customWidth="1"/>
    <col min="17" max="17" width="36.28515625" bestFit="1" customWidth="1"/>
    <col min="18" max="19" width="10.140625" bestFit="1" customWidth="1"/>
  </cols>
  <sheetData>
    <row r="4" spans="2:17" s="128" customFormat="1" x14ac:dyDescent="0.25">
      <c r="B4" s="273" t="s">
        <v>154</v>
      </c>
      <c r="C4" s="273"/>
      <c r="D4" s="273" t="s">
        <v>193</v>
      </c>
      <c r="E4" s="273"/>
      <c r="F4" s="273" t="s">
        <v>251</v>
      </c>
      <c r="G4" s="273"/>
      <c r="H4" s="273" t="s">
        <v>273</v>
      </c>
      <c r="I4" s="273"/>
      <c r="J4" s="273" t="s">
        <v>330</v>
      </c>
      <c r="K4" s="273"/>
      <c r="M4" s="273" t="s">
        <v>817</v>
      </c>
      <c r="N4" s="273"/>
      <c r="O4" s="273"/>
      <c r="P4" s="273"/>
      <c r="Q4" s="273"/>
    </row>
    <row r="5" spans="2:17" s="128" customFormat="1" x14ac:dyDescent="0.25">
      <c r="B5" s="128" t="s">
        <v>809</v>
      </c>
      <c r="C5" s="128" t="s">
        <v>815</v>
      </c>
      <c r="D5" s="128" t="s">
        <v>809</v>
      </c>
      <c r="E5" s="128" t="s">
        <v>815</v>
      </c>
      <c r="F5" s="128" t="s">
        <v>809</v>
      </c>
      <c r="G5" s="128" t="s">
        <v>815</v>
      </c>
      <c r="H5" s="128" t="s">
        <v>809</v>
      </c>
      <c r="I5" s="128" t="s">
        <v>815</v>
      </c>
      <c r="J5" s="128" t="s">
        <v>816</v>
      </c>
      <c r="K5" s="128" t="s">
        <v>815</v>
      </c>
      <c r="L5" s="129"/>
      <c r="M5" s="129" t="s">
        <v>154</v>
      </c>
      <c r="N5" s="129" t="s">
        <v>193</v>
      </c>
      <c r="O5" s="129" t="s">
        <v>251</v>
      </c>
      <c r="P5" s="129" t="s">
        <v>273</v>
      </c>
      <c r="Q5" s="129" t="s">
        <v>330</v>
      </c>
    </row>
    <row r="6" spans="2:17" x14ac:dyDescent="0.25">
      <c r="B6" t="s">
        <v>156</v>
      </c>
      <c r="C6">
        <v>6</v>
      </c>
      <c r="D6" t="s">
        <v>274</v>
      </c>
      <c r="E6">
        <v>3</v>
      </c>
      <c r="F6" t="s">
        <v>302</v>
      </c>
      <c r="G6">
        <v>4</v>
      </c>
      <c r="H6" t="s">
        <v>302</v>
      </c>
      <c r="I6">
        <v>8</v>
      </c>
      <c r="J6" t="s">
        <v>536</v>
      </c>
      <c r="K6">
        <v>3</v>
      </c>
      <c r="L6" s="272" t="s">
        <v>818</v>
      </c>
      <c r="M6" s="117" t="str">
        <f>CONCATENATE(B6,"(",C6,")")</f>
        <v>Lack of Access to Water(6)</v>
      </c>
      <c r="N6" s="117" t="str">
        <f t="shared" ref="N6:N20" si="0">CONCATENATE(D6,"(",E6,")")</f>
        <v>Earthquakes(3)</v>
      </c>
      <c r="O6" s="117" t="str">
        <f t="shared" ref="O6:O21" si="1">CONCATENATE(F6,"(",G6,")")</f>
        <v>Floods(4)</v>
      </c>
      <c r="P6" s="117" t="str">
        <f t="shared" ref="P6:P23" si="2">CONCATENATE(H6,"(",I6,")")</f>
        <v>Floods(8)</v>
      </c>
      <c r="Q6" s="117" t="str">
        <f t="shared" ref="Q6:Q17" si="3">CONCATENATE(J6,"(",K6,")")</f>
        <v>Lack of Access to Basic Services(3)</v>
      </c>
    </row>
    <row r="7" spans="2:17" x14ac:dyDescent="0.25">
      <c r="B7" t="s">
        <v>302</v>
      </c>
      <c r="C7">
        <v>5</v>
      </c>
      <c r="D7" t="s">
        <v>302</v>
      </c>
      <c r="E7">
        <v>3</v>
      </c>
      <c r="F7" t="s">
        <v>274</v>
      </c>
      <c r="G7">
        <v>3</v>
      </c>
      <c r="H7" t="s">
        <v>196</v>
      </c>
      <c r="I7">
        <v>6</v>
      </c>
      <c r="J7" t="s">
        <v>302</v>
      </c>
      <c r="K7">
        <v>2</v>
      </c>
      <c r="L7" s="272"/>
      <c r="M7" s="117" t="str">
        <f t="shared" ref="M7:M29" si="4">CONCATENATE(B7,"(",C7,")")</f>
        <v>Floods(5)</v>
      </c>
      <c r="N7" s="117" t="str">
        <f t="shared" si="0"/>
        <v>Floods(3)</v>
      </c>
      <c r="O7" s="117" t="str">
        <f t="shared" si="1"/>
        <v>Earthquakes(3)</v>
      </c>
      <c r="P7" s="117" t="str">
        <f t="shared" si="2"/>
        <v>Fire(6)</v>
      </c>
      <c r="Q7" s="117" t="str">
        <f t="shared" si="3"/>
        <v>Floods(2)</v>
      </c>
    </row>
    <row r="8" spans="2:17" x14ac:dyDescent="0.25">
      <c r="B8" t="s">
        <v>196</v>
      </c>
      <c r="C8">
        <v>4</v>
      </c>
      <c r="D8" t="s">
        <v>156</v>
      </c>
      <c r="E8">
        <v>3</v>
      </c>
      <c r="F8" t="s">
        <v>196</v>
      </c>
      <c r="G8">
        <v>3</v>
      </c>
      <c r="H8" t="s">
        <v>274</v>
      </c>
      <c r="I8">
        <v>5</v>
      </c>
      <c r="J8" t="s">
        <v>156</v>
      </c>
      <c r="K8">
        <v>2</v>
      </c>
      <c r="L8" s="272"/>
      <c r="M8" s="117" t="str">
        <f t="shared" si="4"/>
        <v>Fire(4)</v>
      </c>
      <c r="N8" s="117" t="str">
        <f t="shared" si="0"/>
        <v>Lack of Access to Water(3)</v>
      </c>
      <c r="O8" s="117" t="str">
        <f t="shared" si="1"/>
        <v>Fire(3)</v>
      </c>
      <c r="P8" s="117" t="str">
        <f t="shared" si="2"/>
        <v>Earthquakes(5)</v>
      </c>
      <c r="Q8" s="117" t="str">
        <f t="shared" si="3"/>
        <v>Lack of Access to Water(2)</v>
      </c>
    </row>
    <row r="9" spans="2:17" x14ac:dyDescent="0.25">
      <c r="B9" t="s">
        <v>263</v>
      </c>
      <c r="C9">
        <v>3</v>
      </c>
      <c r="D9" t="s">
        <v>179</v>
      </c>
      <c r="E9">
        <v>2</v>
      </c>
      <c r="F9" t="s">
        <v>263</v>
      </c>
      <c r="G9">
        <v>2</v>
      </c>
      <c r="H9" t="s">
        <v>179</v>
      </c>
      <c r="I9">
        <v>3</v>
      </c>
      <c r="J9" t="s">
        <v>304</v>
      </c>
      <c r="K9">
        <v>2</v>
      </c>
      <c r="L9" s="272"/>
      <c r="M9" s="117" t="str">
        <f t="shared" si="4"/>
        <v>Disease/Epidemics(3)</v>
      </c>
      <c r="N9" s="117" t="str">
        <f t="shared" si="0"/>
        <v>Alcoholism(2)</v>
      </c>
      <c r="O9" s="117" t="str">
        <f t="shared" si="1"/>
        <v>Disease/Epidemics(2)</v>
      </c>
      <c r="P9" s="117" t="str">
        <f t="shared" si="2"/>
        <v>Alcoholism(3)</v>
      </c>
      <c r="Q9" s="117" t="str">
        <f t="shared" si="3"/>
        <v>Unemployment(2)</v>
      </c>
    </row>
    <row r="10" spans="2:17" x14ac:dyDescent="0.25">
      <c r="B10" t="s">
        <v>458</v>
      </c>
      <c r="C10">
        <v>3</v>
      </c>
      <c r="D10" t="s">
        <v>202</v>
      </c>
      <c r="E10">
        <v>2</v>
      </c>
      <c r="F10" t="s">
        <v>156</v>
      </c>
      <c r="G10">
        <v>2</v>
      </c>
      <c r="H10" t="s">
        <v>156</v>
      </c>
      <c r="I10">
        <v>3</v>
      </c>
      <c r="J10" s="138" t="s">
        <v>243</v>
      </c>
      <c r="K10">
        <v>0</v>
      </c>
      <c r="L10" s="272"/>
      <c r="M10" s="117" t="str">
        <f t="shared" si="4"/>
        <v>Landslides(3)</v>
      </c>
      <c r="N10" s="117" t="str">
        <f t="shared" si="0"/>
        <v>Drought(2)</v>
      </c>
      <c r="O10" s="117" t="str">
        <f t="shared" si="1"/>
        <v>Lack of Access to Water(2)</v>
      </c>
      <c r="P10" s="117" t="str">
        <f t="shared" si="2"/>
        <v>Lack of Access to Water(3)</v>
      </c>
      <c r="Q10" s="145" t="str">
        <f t="shared" si="3"/>
        <v>Conflict/Insecurity(0)</v>
      </c>
    </row>
    <row r="11" spans="2:17" x14ac:dyDescent="0.25">
      <c r="B11" t="s">
        <v>313</v>
      </c>
      <c r="C11">
        <v>3</v>
      </c>
      <c r="D11" t="s">
        <v>196</v>
      </c>
      <c r="E11">
        <v>2</v>
      </c>
      <c r="F11" t="s">
        <v>252</v>
      </c>
      <c r="G11">
        <v>2</v>
      </c>
      <c r="H11" t="s">
        <v>178</v>
      </c>
      <c r="I11">
        <v>3</v>
      </c>
      <c r="J11" t="s">
        <v>263</v>
      </c>
      <c r="K11">
        <v>1</v>
      </c>
      <c r="L11" s="272"/>
      <c r="M11" s="117" t="str">
        <f t="shared" si="4"/>
        <v>Storms(3)</v>
      </c>
      <c r="N11" s="117" t="str">
        <f t="shared" si="0"/>
        <v>Fire(2)</v>
      </c>
      <c r="O11" s="117" t="str">
        <f t="shared" si="1"/>
        <v>Poverty(2)</v>
      </c>
      <c r="P11" s="117" t="str">
        <f t="shared" si="2"/>
        <v>Road Accidents(3)</v>
      </c>
      <c r="Q11" s="117" t="str">
        <f t="shared" si="3"/>
        <v>Disease/Epidemics(1)</v>
      </c>
    </row>
    <row r="12" spans="2:17" x14ac:dyDescent="0.25">
      <c r="B12" t="s">
        <v>202</v>
      </c>
      <c r="C12">
        <v>2</v>
      </c>
      <c r="D12" t="s">
        <v>178</v>
      </c>
      <c r="E12">
        <v>2</v>
      </c>
      <c r="F12" t="s">
        <v>178</v>
      </c>
      <c r="G12">
        <v>2</v>
      </c>
      <c r="H12" t="s">
        <v>313</v>
      </c>
      <c r="I12">
        <v>3</v>
      </c>
      <c r="J12" t="s">
        <v>274</v>
      </c>
      <c r="K12">
        <v>1</v>
      </c>
      <c r="L12" s="272"/>
      <c r="M12" s="117" t="str">
        <f t="shared" si="4"/>
        <v>Drought(2)</v>
      </c>
      <c r="N12" s="117" t="str">
        <f t="shared" si="0"/>
        <v>Road Accidents(2)</v>
      </c>
      <c r="O12" s="117" t="str">
        <f t="shared" si="1"/>
        <v>Road Accidents(2)</v>
      </c>
      <c r="P12" s="117" t="str">
        <f t="shared" si="2"/>
        <v>Storms(3)</v>
      </c>
      <c r="Q12" s="117" t="str">
        <f t="shared" si="3"/>
        <v>Earthquakes(1)</v>
      </c>
    </row>
    <row r="13" spans="2:17" x14ac:dyDescent="0.25">
      <c r="B13" t="s">
        <v>178</v>
      </c>
      <c r="C13">
        <v>2</v>
      </c>
      <c r="D13" t="s">
        <v>313</v>
      </c>
      <c r="E13">
        <v>2</v>
      </c>
      <c r="F13" t="s">
        <v>202</v>
      </c>
      <c r="G13">
        <v>1</v>
      </c>
      <c r="H13" t="s">
        <v>202</v>
      </c>
      <c r="I13">
        <v>2</v>
      </c>
      <c r="J13" t="s">
        <v>215</v>
      </c>
      <c r="K13">
        <v>1</v>
      </c>
      <c r="L13" s="272"/>
      <c r="M13" s="117" t="str">
        <f t="shared" si="4"/>
        <v>Road Accidents(2)</v>
      </c>
      <c r="N13" s="117" t="str">
        <f t="shared" si="0"/>
        <v>Storms(2)</v>
      </c>
      <c r="O13" s="117" t="str">
        <f t="shared" si="1"/>
        <v>Drought(1)</v>
      </c>
      <c r="P13" s="117" t="str">
        <f t="shared" si="2"/>
        <v>Drought(2)</v>
      </c>
      <c r="Q13" s="117" t="str">
        <f t="shared" si="3"/>
        <v>Reduction In Irrigation(1)</v>
      </c>
    </row>
    <row r="14" spans="2:17" x14ac:dyDescent="0.25">
      <c r="B14" t="s">
        <v>172</v>
      </c>
      <c r="C14">
        <v>2</v>
      </c>
      <c r="D14" t="s">
        <v>287</v>
      </c>
      <c r="E14">
        <v>1</v>
      </c>
      <c r="F14" t="s">
        <v>488</v>
      </c>
      <c r="G14">
        <v>1</v>
      </c>
      <c r="H14" t="s">
        <v>304</v>
      </c>
      <c r="I14">
        <v>2</v>
      </c>
      <c r="J14" t="s">
        <v>178</v>
      </c>
      <c r="K14">
        <v>1</v>
      </c>
      <c r="L14" s="272"/>
      <c r="M14" s="117" t="str">
        <f t="shared" si="4"/>
        <v>Violence(2)</v>
      </c>
      <c r="N14" s="117" t="str">
        <f t="shared" si="0"/>
        <v>Crop Damage(1)</v>
      </c>
      <c r="O14" s="117" t="str">
        <f t="shared" si="1"/>
        <v>Drug Addiction(1)</v>
      </c>
      <c r="P14" s="117" t="str">
        <f t="shared" si="2"/>
        <v>Unemployment(2)</v>
      </c>
      <c r="Q14" s="117" t="str">
        <f t="shared" si="3"/>
        <v>Road Accidents(1)</v>
      </c>
    </row>
    <row r="15" spans="2:17" x14ac:dyDescent="0.25">
      <c r="B15" t="s">
        <v>177</v>
      </c>
      <c r="C15">
        <v>2</v>
      </c>
      <c r="D15" t="s">
        <v>233</v>
      </c>
      <c r="E15">
        <v>1</v>
      </c>
      <c r="F15" t="s">
        <v>354</v>
      </c>
      <c r="G15">
        <v>1</v>
      </c>
      <c r="H15" t="s">
        <v>177</v>
      </c>
      <c r="I15">
        <v>2</v>
      </c>
      <c r="J15" t="s">
        <v>403</v>
      </c>
      <c r="K15">
        <v>1</v>
      </c>
      <c r="L15" s="272"/>
      <c r="M15" s="117" t="str">
        <f t="shared" si="4"/>
        <v>Wildlife Attacks(2)</v>
      </c>
      <c r="N15" s="117" t="str">
        <f t="shared" si="0"/>
        <v>Deforestation(1)</v>
      </c>
      <c r="O15" s="117" t="str">
        <f t="shared" si="1"/>
        <v>Hail(1)</v>
      </c>
      <c r="P15" s="117" t="str">
        <f t="shared" si="2"/>
        <v>Wildlife Attacks(2)</v>
      </c>
      <c r="Q15" s="117" t="str">
        <f t="shared" si="3"/>
        <v>Temperature Rise(1)</v>
      </c>
    </row>
    <row r="16" spans="2:17" x14ac:dyDescent="0.25">
      <c r="B16" t="s">
        <v>179</v>
      </c>
      <c r="C16">
        <v>1</v>
      </c>
      <c r="D16" t="s">
        <v>354</v>
      </c>
      <c r="E16">
        <v>1</v>
      </c>
      <c r="F16" t="s">
        <v>258</v>
      </c>
      <c r="G16">
        <v>1</v>
      </c>
      <c r="H16" t="s">
        <v>577</v>
      </c>
      <c r="I16">
        <v>1</v>
      </c>
      <c r="J16" t="s">
        <v>172</v>
      </c>
      <c r="K16">
        <v>1</v>
      </c>
      <c r="L16" s="272"/>
      <c r="M16" s="117" t="str">
        <f t="shared" si="4"/>
        <v>Alcoholism(1)</v>
      </c>
      <c r="N16" s="117" t="str">
        <f t="shared" si="0"/>
        <v>Hail(1)</v>
      </c>
      <c r="O16" s="117" t="str">
        <f t="shared" si="1"/>
        <v>High Cost of Living(1)</v>
      </c>
      <c r="P16" s="117" t="str">
        <f t="shared" si="2"/>
        <v>Child Abuse and Exploitation(1)</v>
      </c>
      <c r="Q16" s="117" t="str">
        <f t="shared" si="3"/>
        <v>Violence(1)</v>
      </c>
    </row>
    <row r="17" spans="2:17" x14ac:dyDescent="0.25">
      <c r="B17" t="s">
        <v>216</v>
      </c>
      <c r="C17">
        <v>1</v>
      </c>
      <c r="D17" t="s">
        <v>616</v>
      </c>
      <c r="E17">
        <v>1</v>
      </c>
      <c r="F17" s="138" t="s">
        <v>327</v>
      </c>
      <c r="G17">
        <v>0</v>
      </c>
      <c r="H17" t="s">
        <v>263</v>
      </c>
      <c r="I17">
        <v>1</v>
      </c>
      <c r="J17" t="s">
        <v>177</v>
      </c>
      <c r="K17">
        <v>1</v>
      </c>
      <c r="L17" s="272"/>
      <c r="M17" s="117" t="str">
        <f t="shared" si="4"/>
        <v>Climate Change(1)</v>
      </c>
      <c r="N17" s="117" t="str">
        <f t="shared" si="0"/>
        <v>Hurricanes(1)</v>
      </c>
      <c r="O17" s="145" t="str">
        <f t="shared" si="1"/>
        <v>Illegal/Poor Construction(0)</v>
      </c>
      <c r="P17" s="117" t="str">
        <f t="shared" si="2"/>
        <v>Disease/Epidemics(1)</v>
      </c>
      <c r="Q17" s="117" t="str">
        <f t="shared" si="3"/>
        <v>Wildlife Attacks(1)</v>
      </c>
    </row>
    <row r="18" spans="2:17" x14ac:dyDescent="0.25">
      <c r="B18" t="s">
        <v>233</v>
      </c>
      <c r="C18">
        <v>1</v>
      </c>
      <c r="D18" t="s">
        <v>458</v>
      </c>
      <c r="E18">
        <v>1</v>
      </c>
      <c r="F18" t="s">
        <v>536</v>
      </c>
      <c r="G18">
        <v>1</v>
      </c>
      <c r="H18" t="s">
        <v>608</v>
      </c>
      <c r="I18">
        <v>1</v>
      </c>
      <c r="L18" s="272"/>
      <c r="M18" s="117" t="str">
        <f t="shared" si="4"/>
        <v>Deforestation(1)</v>
      </c>
      <c r="N18" s="117" t="str">
        <f t="shared" si="0"/>
        <v>Landslides(1)</v>
      </c>
      <c r="O18" s="117" t="str">
        <f t="shared" si="1"/>
        <v>Lack of Access to Basic Services(1)</v>
      </c>
      <c r="P18" s="117" t="str">
        <f t="shared" si="2"/>
        <v>Heavy Rainfall(1)</v>
      </c>
      <c r="Q18" s="117"/>
    </row>
    <row r="19" spans="2:17" x14ac:dyDescent="0.25">
      <c r="B19" t="s">
        <v>538</v>
      </c>
      <c r="C19">
        <v>1</v>
      </c>
      <c r="D19" t="s">
        <v>304</v>
      </c>
      <c r="E19">
        <v>1</v>
      </c>
      <c r="F19" t="s">
        <v>458</v>
      </c>
      <c r="G19">
        <v>1</v>
      </c>
      <c r="H19" t="s">
        <v>258</v>
      </c>
      <c r="I19">
        <v>1</v>
      </c>
      <c r="L19" s="272"/>
      <c r="M19" s="117" t="str">
        <f t="shared" si="4"/>
        <v>Early marriage(1)</v>
      </c>
      <c r="N19" s="117" t="str">
        <f t="shared" si="0"/>
        <v>Unemployment(1)</v>
      </c>
      <c r="O19" s="117" t="str">
        <f t="shared" si="1"/>
        <v>Landslides(1)</v>
      </c>
      <c r="P19" s="117" t="str">
        <f t="shared" si="2"/>
        <v>High Cost of Living(1)</v>
      </c>
      <c r="Q19" s="117"/>
    </row>
    <row r="20" spans="2:17" x14ac:dyDescent="0.25">
      <c r="B20" t="s">
        <v>274</v>
      </c>
      <c r="C20">
        <v>1</v>
      </c>
      <c r="D20" t="s">
        <v>177</v>
      </c>
      <c r="E20">
        <v>1</v>
      </c>
      <c r="F20" t="s">
        <v>304</v>
      </c>
      <c r="G20">
        <v>1</v>
      </c>
      <c r="H20" t="s">
        <v>568</v>
      </c>
      <c r="I20">
        <v>1</v>
      </c>
      <c r="L20" s="272"/>
      <c r="M20" s="117" t="str">
        <f t="shared" si="4"/>
        <v>Earthquakes(1)</v>
      </c>
      <c r="N20" s="117" t="str">
        <f t="shared" si="0"/>
        <v>Wildlife Attacks(1)</v>
      </c>
      <c r="O20" s="117" t="str">
        <f t="shared" si="1"/>
        <v>Unemployment(1)</v>
      </c>
      <c r="P20" s="117" t="str">
        <f t="shared" si="2"/>
        <v>Lack of Preparedness(1)</v>
      </c>
      <c r="Q20" s="117"/>
    </row>
    <row r="21" spans="2:17" x14ac:dyDescent="0.25">
      <c r="B21" t="s">
        <v>253</v>
      </c>
      <c r="C21">
        <v>1</v>
      </c>
      <c r="F21" t="s">
        <v>172</v>
      </c>
      <c r="G21">
        <v>1</v>
      </c>
      <c r="H21" t="s">
        <v>458</v>
      </c>
      <c r="I21">
        <v>1</v>
      </c>
      <c r="L21" s="272"/>
      <c r="M21" s="117" t="str">
        <f t="shared" si="4"/>
        <v>Food Insecurity(1)</v>
      </c>
      <c r="N21" s="117"/>
      <c r="O21" s="117" t="str">
        <f t="shared" si="1"/>
        <v>Violence(1)</v>
      </c>
      <c r="P21" s="117" t="str">
        <f t="shared" si="2"/>
        <v>Landslides(1)</v>
      </c>
      <c r="Q21" s="117"/>
    </row>
    <row r="22" spans="2:17" x14ac:dyDescent="0.25">
      <c r="B22" t="s">
        <v>536</v>
      </c>
      <c r="C22">
        <v>1</v>
      </c>
      <c r="H22" t="s">
        <v>252</v>
      </c>
      <c r="I22">
        <v>1</v>
      </c>
      <c r="L22" s="272"/>
      <c r="M22" s="117" t="str">
        <f t="shared" si="4"/>
        <v>Lack of Access to Basic Services(1)</v>
      </c>
      <c r="N22" s="117"/>
      <c r="O22" s="117"/>
      <c r="P22" s="117" t="str">
        <f t="shared" si="2"/>
        <v>Poverty(1)</v>
      </c>
      <c r="Q22" s="117"/>
    </row>
    <row r="23" spans="2:17" x14ac:dyDescent="0.25">
      <c r="B23" t="s">
        <v>622</v>
      </c>
      <c r="C23">
        <v>1</v>
      </c>
      <c r="H23" t="s">
        <v>165</v>
      </c>
      <c r="I23">
        <v>1</v>
      </c>
      <c r="L23" s="272"/>
      <c r="M23" s="117" t="str">
        <f t="shared" si="4"/>
        <v>Migration(1)</v>
      </c>
      <c r="N23" s="117"/>
      <c r="O23" s="117"/>
      <c r="P23" s="117" t="str">
        <f t="shared" si="2"/>
        <v>Traffic Congestion(1)</v>
      </c>
      <c r="Q23" s="117"/>
    </row>
    <row r="24" spans="2:17" x14ac:dyDescent="0.25">
      <c r="B24" t="s">
        <v>242</v>
      </c>
      <c r="C24">
        <v>1</v>
      </c>
      <c r="L24" s="272"/>
      <c r="M24" s="117" t="str">
        <f t="shared" si="4"/>
        <v>Pollution(1)</v>
      </c>
      <c r="N24" s="117"/>
      <c r="O24" s="117"/>
      <c r="P24" s="117"/>
      <c r="Q24" s="117"/>
    </row>
    <row r="25" spans="2:17" x14ac:dyDescent="0.25">
      <c r="B25" t="s">
        <v>429</v>
      </c>
      <c r="C25">
        <v>1</v>
      </c>
      <c r="L25" s="272"/>
      <c r="M25" s="117" t="str">
        <f t="shared" si="4"/>
        <v>River swelling(1)</v>
      </c>
      <c r="N25" s="117"/>
      <c r="O25" s="117"/>
      <c r="P25" s="117"/>
      <c r="Q25" s="117"/>
    </row>
    <row r="26" spans="2:17" x14ac:dyDescent="0.25">
      <c r="B26" t="s">
        <v>552</v>
      </c>
      <c r="C26">
        <v>1</v>
      </c>
      <c r="L26" s="272"/>
      <c r="M26" s="117" t="str">
        <f t="shared" si="4"/>
        <v>Stray Animals(1)</v>
      </c>
      <c r="N26" s="117"/>
      <c r="O26" s="117"/>
      <c r="P26" s="117"/>
      <c r="Q26" s="117"/>
    </row>
    <row r="27" spans="2:17" x14ac:dyDescent="0.25">
      <c r="B27" t="s">
        <v>460</v>
      </c>
      <c r="C27">
        <v>1</v>
      </c>
      <c r="L27" s="272"/>
      <c r="M27" s="117" t="str">
        <f t="shared" si="4"/>
        <v>Tornado(1)</v>
      </c>
      <c r="N27" s="117"/>
      <c r="O27" s="117"/>
      <c r="P27" s="117"/>
      <c r="Q27" s="117"/>
    </row>
    <row r="28" spans="2:17" x14ac:dyDescent="0.25">
      <c r="B28" t="s">
        <v>165</v>
      </c>
      <c r="C28">
        <v>1</v>
      </c>
      <c r="L28" s="272"/>
      <c r="M28" s="117" t="str">
        <f t="shared" si="4"/>
        <v>Traffic Congestion(1)</v>
      </c>
      <c r="N28" s="117"/>
      <c r="O28" s="117"/>
      <c r="P28" s="117"/>
      <c r="Q28" s="117"/>
    </row>
    <row r="29" spans="2:17" x14ac:dyDescent="0.25">
      <c r="B29" t="s">
        <v>304</v>
      </c>
      <c r="C29">
        <v>1</v>
      </c>
      <c r="L29" s="272"/>
      <c r="M29" s="117" t="str">
        <f t="shared" si="4"/>
        <v>Unemployment(1)</v>
      </c>
      <c r="N29" s="117"/>
      <c r="O29" s="117"/>
      <c r="P29" s="117"/>
      <c r="Q29" s="117"/>
    </row>
    <row r="34" spans="3:11" x14ac:dyDescent="0.25">
      <c r="C34">
        <f>SUM(C6:C29)</f>
        <v>46</v>
      </c>
      <c r="E34">
        <f>SUM(E6:E29)</f>
        <v>26</v>
      </c>
      <c r="G34">
        <f>SUM(G6:G29)</f>
        <v>26</v>
      </c>
      <c r="I34">
        <f>SUM(I6:I29)</f>
        <v>45</v>
      </c>
      <c r="K34">
        <f>SUM(K6:K29)</f>
        <v>16</v>
      </c>
    </row>
    <row r="38" spans="3:11" x14ac:dyDescent="0.25">
      <c r="C38">
        <f>SUM(C34:K34)</f>
        <v>159</v>
      </c>
    </row>
  </sheetData>
  <mergeCells count="7">
    <mergeCell ref="L6:L29"/>
    <mergeCell ref="M4:Q4"/>
    <mergeCell ref="D4:E4"/>
    <mergeCell ref="B4:C4"/>
    <mergeCell ref="F4:G4"/>
    <mergeCell ref="H4:I4"/>
    <mergeCell ref="J4:K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U98"/>
  <sheetViews>
    <sheetView topLeftCell="A49" workbookViewId="0">
      <selection activeCell="P55" sqref="P55"/>
    </sheetView>
  </sheetViews>
  <sheetFormatPr defaultColWidth="9.7109375" defaultRowHeight="15" x14ac:dyDescent="0.25"/>
  <cols>
    <col min="1" max="1" width="16.140625" customWidth="1"/>
    <col min="2" max="2" width="28.7109375" bestFit="1" customWidth="1"/>
    <col min="14" max="14" width="7.5703125" customWidth="1"/>
  </cols>
  <sheetData>
    <row r="3" spans="1:13" ht="90" x14ac:dyDescent="0.25">
      <c r="A3" s="92" t="s">
        <v>819</v>
      </c>
      <c r="B3" s="4" t="s">
        <v>820</v>
      </c>
      <c r="C3" s="4" t="s">
        <v>821</v>
      </c>
      <c r="D3" s="4" t="s">
        <v>822</v>
      </c>
      <c r="E3" s="4" t="s">
        <v>823</v>
      </c>
      <c r="F3" s="4" t="s">
        <v>824</v>
      </c>
      <c r="G3" s="4" t="s">
        <v>825</v>
      </c>
      <c r="H3" s="4" t="s">
        <v>826</v>
      </c>
      <c r="I3" s="4" t="s">
        <v>827</v>
      </c>
      <c r="J3" s="4" t="s">
        <v>828</v>
      </c>
      <c r="K3" s="4" t="s">
        <v>829</v>
      </c>
      <c r="L3" s="4" t="s">
        <v>830</v>
      </c>
      <c r="M3" s="4" t="s">
        <v>831</v>
      </c>
    </row>
    <row r="4" spans="1:13" x14ac:dyDescent="0.25">
      <c r="A4" s="88" t="s">
        <v>798</v>
      </c>
      <c r="B4" s="90">
        <v>18</v>
      </c>
      <c r="C4" s="90">
        <v>11</v>
      </c>
      <c r="D4" s="90">
        <v>4</v>
      </c>
      <c r="E4" s="90">
        <v>13</v>
      </c>
      <c r="F4" s="90">
        <v>5</v>
      </c>
      <c r="G4" s="90">
        <v>51</v>
      </c>
      <c r="H4" s="91">
        <v>1.0588235294117647</v>
      </c>
      <c r="I4" s="91">
        <v>1.2222222222222221</v>
      </c>
      <c r="J4" s="91">
        <v>0.36363636363636365</v>
      </c>
      <c r="K4" s="91">
        <v>0.61904761904761907</v>
      </c>
      <c r="L4" s="91">
        <v>0.71428571428571419</v>
      </c>
      <c r="M4" s="91">
        <v>0.85000000000000009</v>
      </c>
    </row>
    <row r="5" spans="1:13" x14ac:dyDescent="0.25">
      <c r="A5" s="89" t="s">
        <v>287</v>
      </c>
      <c r="B5" s="90">
        <v>0</v>
      </c>
      <c r="C5" s="90">
        <v>3</v>
      </c>
      <c r="D5" s="90">
        <v>0</v>
      </c>
      <c r="E5" s="90">
        <v>0</v>
      </c>
      <c r="F5" s="90">
        <v>0</v>
      </c>
      <c r="G5" s="90">
        <v>3</v>
      </c>
      <c r="H5" s="91">
        <v>0</v>
      </c>
      <c r="I5" s="91">
        <v>0.33333333333333331</v>
      </c>
      <c r="J5" s="91">
        <v>0</v>
      </c>
      <c r="K5" s="91">
        <v>0</v>
      </c>
      <c r="L5" s="91">
        <v>0</v>
      </c>
      <c r="M5" s="91">
        <v>0.05</v>
      </c>
    </row>
    <row r="6" spans="1:13" x14ac:dyDescent="0.25">
      <c r="A6" s="89" t="s">
        <v>233</v>
      </c>
      <c r="B6" s="90">
        <v>2</v>
      </c>
      <c r="C6" s="90">
        <v>1</v>
      </c>
      <c r="D6" s="90">
        <v>0</v>
      </c>
      <c r="E6" s="90">
        <v>0</v>
      </c>
      <c r="F6" s="90">
        <v>0</v>
      </c>
      <c r="G6" s="90">
        <v>3</v>
      </c>
      <c r="H6" s="91">
        <v>0.11764705882352941</v>
      </c>
      <c r="I6" s="91">
        <v>0.1111111111111111</v>
      </c>
      <c r="J6" s="91">
        <v>0</v>
      </c>
      <c r="K6" s="91">
        <v>0</v>
      </c>
      <c r="L6" s="91">
        <v>0</v>
      </c>
      <c r="M6" s="91">
        <v>0.05</v>
      </c>
    </row>
    <row r="7" spans="1:13" x14ac:dyDescent="0.25">
      <c r="A7" s="89" t="s">
        <v>263</v>
      </c>
      <c r="B7" s="90">
        <v>7</v>
      </c>
      <c r="C7" s="90">
        <v>0</v>
      </c>
      <c r="D7" s="90">
        <v>2</v>
      </c>
      <c r="E7" s="90">
        <v>3</v>
      </c>
      <c r="F7" s="90">
        <v>3</v>
      </c>
      <c r="G7" s="90">
        <v>15</v>
      </c>
      <c r="H7" s="91">
        <v>0.41176470588235292</v>
      </c>
      <c r="I7" s="91">
        <v>0</v>
      </c>
      <c r="J7" s="91">
        <v>0.18181818181818182</v>
      </c>
      <c r="K7" s="91">
        <v>0.14285714285714285</v>
      </c>
      <c r="L7" s="91">
        <v>0.42857142857142855</v>
      </c>
      <c r="M7" s="91">
        <v>0.25</v>
      </c>
    </row>
    <row r="8" spans="1:13" x14ac:dyDescent="0.25">
      <c r="A8" s="89" t="s">
        <v>202</v>
      </c>
      <c r="B8" s="90">
        <v>3</v>
      </c>
      <c r="C8" s="90">
        <v>4</v>
      </c>
      <c r="D8" s="90">
        <v>2</v>
      </c>
      <c r="E8" s="90">
        <v>4</v>
      </c>
      <c r="F8" s="90">
        <v>0</v>
      </c>
      <c r="G8" s="90">
        <v>13</v>
      </c>
      <c r="H8" s="91">
        <v>0.17647058823529413</v>
      </c>
      <c r="I8" s="91">
        <v>0.44444444444444442</v>
      </c>
      <c r="J8" s="91">
        <v>0.18181818181818182</v>
      </c>
      <c r="K8" s="91">
        <v>0.19047619047619047</v>
      </c>
      <c r="L8" s="91">
        <v>0</v>
      </c>
      <c r="M8" s="91">
        <v>0.21666666666666667</v>
      </c>
    </row>
    <row r="9" spans="1:13" x14ac:dyDescent="0.25">
      <c r="A9" s="89" t="s">
        <v>495</v>
      </c>
      <c r="B9" s="90">
        <v>0</v>
      </c>
      <c r="C9" s="90">
        <v>0</v>
      </c>
      <c r="D9" s="90">
        <v>0</v>
      </c>
      <c r="E9" s="90">
        <v>0</v>
      </c>
      <c r="F9" s="90">
        <v>0</v>
      </c>
      <c r="G9" s="90">
        <v>0</v>
      </c>
      <c r="H9" s="91">
        <v>0</v>
      </c>
      <c r="I9" s="91">
        <v>0</v>
      </c>
      <c r="J9" s="91">
        <v>0</v>
      </c>
      <c r="K9" s="91">
        <v>0</v>
      </c>
      <c r="L9" s="91">
        <v>0</v>
      </c>
      <c r="M9" s="91">
        <v>0</v>
      </c>
    </row>
    <row r="10" spans="1:13" x14ac:dyDescent="0.25">
      <c r="A10" s="89" t="s">
        <v>242</v>
      </c>
      <c r="B10" s="90">
        <v>1</v>
      </c>
      <c r="C10" s="90">
        <v>0</v>
      </c>
      <c r="D10" s="90">
        <v>0</v>
      </c>
      <c r="E10" s="90">
        <v>0</v>
      </c>
      <c r="F10" s="90">
        <v>0</v>
      </c>
      <c r="G10" s="90">
        <v>1</v>
      </c>
      <c r="H10" s="91">
        <v>5.8823529411764705E-2</v>
      </c>
      <c r="I10" s="91">
        <v>0</v>
      </c>
      <c r="J10" s="91">
        <v>0</v>
      </c>
      <c r="K10" s="91">
        <v>0</v>
      </c>
      <c r="L10" s="91">
        <v>0</v>
      </c>
      <c r="M10" s="91">
        <v>1.6666666666666666E-2</v>
      </c>
    </row>
    <row r="11" spans="1:13" x14ac:dyDescent="0.25">
      <c r="A11" s="89" t="s">
        <v>177</v>
      </c>
      <c r="B11" s="90">
        <v>5</v>
      </c>
      <c r="C11" s="90">
        <v>3</v>
      </c>
      <c r="D11" s="90">
        <v>0</v>
      </c>
      <c r="E11" s="90">
        <v>6</v>
      </c>
      <c r="F11" s="90">
        <v>2</v>
      </c>
      <c r="G11" s="90">
        <v>16</v>
      </c>
      <c r="H11" s="91">
        <v>0.29411764705882354</v>
      </c>
      <c r="I11" s="91">
        <v>0.33333333333333331</v>
      </c>
      <c r="J11" s="91">
        <v>0</v>
      </c>
      <c r="K11" s="91">
        <v>0.2857142857142857</v>
      </c>
      <c r="L11" s="91">
        <v>0.2857142857142857</v>
      </c>
      <c r="M11" s="91">
        <v>0.26666666666666666</v>
      </c>
    </row>
    <row r="12" spans="1:13" x14ac:dyDescent="0.25">
      <c r="A12" s="88" t="s">
        <v>799</v>
      </c>
      <c r="B12" s="90">
        <v>19</v>
      </c>
      <c r="C12" s="90">
        <v>5</v>
      </c>
      <c r="D12" s="90">
        <v>6</v>
      </c>
      <c r="E12" s="90">
        <v>5</v>
      </c>
      <c r="F12" s="90">
        <v>13</v>
      </c>
      <c r="G12" s="90">
        <v>48</v>
      </c>
      <c r="H12" s="91">
        <v>1.1176470588235294</v>
      </c>
      <c r="I12" s="91">
        <v>0.55555555555555558</v>
      </c>
      <c r="J12" s="91">
        <v>0.54545454545454541</v>
      </c>
      <c r="K12" s="91">
        <v>0.23809523809523808</v>
      </c>
      <c r="L12" s="91">
        <v>1.8571428571428572</v>
      </c>
      <c r="M12" s="91">
        <v>0.8</v>
      </c>
    </row>
    <row r="13" spans="1:13" x14ac:dyDescent="0.25">
      <c r="A13" s="89" t="s">
        <v>536</v>
      </c>
      <c r="B13" s="90">
        <v>2</v>
      </c>
      <c r="C13" s="90">
        <v>0</v>
      </c>
      <c r="D13" s="90">
        <v>2</v>
      </c>
      <c r="E13" s="90">
        <v>0</v>
      </c>
      <c r="F13" s="90">
        <v>7</v>
      </c>
      <c r="G13" s="90">
        <v>11</v>
      </c>
      <c r="H13" s="91">
        <v>0.11764705882352941</v>
      </c>
      <c r="I13" s="91">
        <v>0</v>
      </c>
      <c r="J13" s="91">
        <v>0.18181818181818182</v>
      </c>
      <c r="K13" s="91">
        <v>0</v>
      </c>
      <c r="L13" s="91">
        <v>1</v>
      </c>
      <c r="M13" s="91">
        <v>0.18333333333333332</v>
      </c>
    </row>
    <row r="14" spans="1:13" x14ac:dyDescent="0.25">
      <c r="A14" s="89" t="s">
        <v>156</v>
      </c>
      <c r="B14" s="90">
        <v>17</v>
      </c>
      <c r="C14" s="90">
        <v>5</v>
      </c>
      <c r="D14" s="90">
        <v>4</v>
      </c>
      <c r="E14" s="90">
        <v>5</v>
      </c>
      <c r="F14" s="90">
        <v>4</v>
      </c>
      <c r="G14" s="90">
        <v>35</v>
      </c>
      <c r="H14" s="91">
        <v>1</v>
      </c>
      <c r="I14" s="91">
        <v>0.55555555555555558</v>
      </c>
      <c r="J14" s="91">
        <v>0.36363636363636365</v>
      </c>
      <c r="K14" s="91">
        <v>0.23809523809523808</v>
      </c>
      <c r="L14" s="91">
        <v>0.5714285714285714</v>
      </c>
      <c r="M14" s="91">
        <v>0.58333333333333337</v>
      </c>
    </row>
    <row r="15" spans="1:13" x14ac:dyDescent="0.25">
      <c r="A15" s="89" t="s">
        <v>215</v>
      </c>
      <c r="B15" s="90">
        <v>0</v>
      </c>
      <c r="C15" s="90">
        <v>0</v>
      </c>
      <c r="D15" s="90">
        <v>0</v>
      </c>
      <c r="E15" s="90">
        <v>0</v>
      </c>
      <c r="F15" s="90">
        <v>2</v>
      </c>
      <c r="G15" s="90">
        <v>2</v>
      </c>
      <c r="H15" s="91">
        <v>0</v>
      </c>
      <c r="I15" s="91">
        <v>0</v>
      </c>
      <c r="J15" s="91">
        <v>0</v>
      </c>
      <c r="K15" s="91">
        <v>0</v>
      </c>
      <c r="L15" s="91">
        <v>0.2857142857142857</v>
      </c>
      <c r="M15" s="91">
        <v>3.3333333333333333E-2</v>
      </c>
    </row>
    <row r="16" spans="1:13" x14ac:dyDescent="0.25">
      <c r="A16" s="88" t="s">
        <v>800</v>
      </c>
      <c r="B16" s="90">
        <v>8</v>
      </c>
      <c r="C16" s="90">
        <v>2</v>
      </c>
      <c r="D16" s="90">
        <v>3</v>
      </c>
      <c r="E16" s="90">
        <v>9</v>
      </c>
      <c r="F16" s="90">
        <v>1</v>
      </c>
      <c r="G16" s="90">
        <v>23</v>
      </c>
      <c r="H16" s="91">
        <v>0.47058823529411764</v>
      </c>
      <c r="I16" s="91">
        <v>0.22222222222222221</v>
      </c>
      <c r="J16" s="91">
        <v>0.27272727272727271</v>
      </c>
      <c r="K16" s="91">
        <v>0.42857142857142855</v>
      </c>
      <c r="L16" s="91">
        <v>0.14285714285714285</v>
      </c>
      <c r="M16" s="91">
        <v>0.3833333333333333</v>
      </c>
    </row>
    <row r="17" spans="1:13" x14ac:dyDescent="0.25">
      <c r="A17" s="89" t="s">
        <v>327</v>
      </c>
      <c r="B17" s="90">
        <v>0</v>
      </c>
      <c r="C17" s="90">
        <v>0</v>
      </c>
      <c r="D17" s="90">
        <v>1</v>
      </c>
      <c r="E17" s="90">
        <v>0</v>
      </c>
      <c r="F17" s="90">
        <v>0</v>
      </c>
      <c r="G17" s="90">
        <v>1</v>
      </c>
      <c r="H17" s="91">
        <v>0</v>
      </c>
      <c r="I17" s="91">
        <v>0</v>
      </c>
      <c r="J17" s="91">
        <v>9.0909090909090912E-2</v>
      </c>
      <c r="K17" s="91">
        <v>0</v>
      </c>
      <c r="L17" s="91">
        <v>0</v>
      </c>
      <c r="M17" s="91">
        <v>1.6666666666666666E-2</v>
      </c>
    </row>
    <row r="18" spans="1:13" x14ac:dyDescent="0.25">
      <c r="A18" s="89" t="s">
        <v>568</v>
      </c>
      <c r="B18" s="90">
        <v>0</v>
      </c>
      <c r="C18" s="90">
        <v>0</v>
      </c>
      <c r="D18" s="90">
        <v>0</v>
      </c>
      <c r="E18" s="90">
        <v>1</v>
      </c>
      <c r="F18" s="90">
        <v>0</v>
      </c>
      <c r="G18" s="90">
        <v>1</v>
      </c>
      <c r="H18" s="91">
        <v>0</v>
      </c>
      <c r="I18" s="91">
        <v>0</v>
      </c>
      <c r="J18" s="91">
        <v>0</v>
      </c>
      <c r="K18" s="91">
        <v>4.7619047619047616E-2</v>
      </c>
      <c r="L18" s="91">
        <v>0</v>
      </c>
      <c r="M18" s="91">
        <v>1.6666666666666666E-2</v>
      </c>
    </row>
    <row r="19" spans="1:13" x14ac:dyDescent="0.25">
      <c r="A19" s="89" t="s">
        <v>178</v>
      </c>
      <c r="B19" s="90">
        <v>5</v>
      </c>
      <c r="C19" s="90">
        <v>2</v>
      </c>
      <c r="D19" s="90">
        <v>2</v>
      </c>
      <c r="E19" s="90">
        <v>6</v>
      </c>
      <c r="F19" s="90">
        <v>1</v>
      </c>
      <c r="G19" s="90">
        <v>16</v>
      </c>
      <c r="H19" s="91">
        <v>0.29411764705882354</v>
      </c>
      <c r="I19" s="91">
        <v>0.22222222222222221</v>
      </c>
      <c r="J19" s="91">
        <v>0.18181818181818182</v>
      </c>
      <c r="K19" s="91">
        <v>0.2857142857142857</v>
      </c>
      <c r="L19" s="91">
        <v>0.14285714285714285</v>
      </c>
      <c r="M19" s="91">
        <v>0.26666666666666666</v>
      </c>
    </row>
    <row r="20" spans="1:13" x14ac:dyDescent="0.25">
      <c r="A20" s="89" t="s">
        <v>552</v>
      </c>
      <c r="B20" s="90">
        <v>1</v>
      </c>
      <c r="C20" s="90">
        <v>0</v>
      </c>
      <c r="D20" s="90">
        <v>0</v>
      </c>
      <c r="E20" s="90">
        <v>0</v>
      </c>
      <c r="F20" s="90">
        <v>0</v>
      </c>
      <c r="G20" s="90">
        <v>1</v>
      </c>
      <c r="H20" s="91">
        <v>5.8823529411764705E-2</v>
      </c>
      <c r="I20" s="91">
        <v>0</v>
      </c>
      <c r="J20" s="91">
        <v>0</v>
      </c>
      <c r="K20" s="91">
        <v>0</v>
      </c>
      <c r="L20" s="91">
        <v>0</v>
      </c>
      <c r="M20" s="91">
        <v>1.6666666666666666E-2</v>
      </c>
    </row>
    <row r="21" spans="1:13" x14ac:dyDescent="0.25">
      <c r="A21" s="89" t="s">
        <v>165</v>
      </c>
      <c r="B21" s="90">
        <v>2</v>
      </c>
      <c r="C21" s="90">
        <v>0</v>
      </c>
      <c r="D21" s="90">
        <v>0</v>
      </c>
      <c r="E21" s="90">
        <v>2</v>
      </c>
      <c r="F21" s="90">
        <v>0</v>
      </c>
      <c r="G21" s="90">
        <v>4</v>
      </c>
      <c r="H21" s="91">
        <v>0.11764705882352941</v>
      </c>
      <c r="I21" s="91">
        <v>0</v>
      </c>
      <c r="J21" s="91">
        <v>0</v>
      </c>
      <c r="K21" s="91">
        <v>9.5238095238095233E-2</v>
      </c>
      <c r="L21" s="91">
        <v>0</v>
      </c>
      <c r="M21" s="91">
        <v>6.6666666666666666E-2</v>
      </c>
    </row>
    <row r="22" spans="1:13" x14ac:dyDescent="0.25">
      <c r="A22" s="88" t="s">
        <v>801</v>
      </c>
      <c r="B22" s="90">
        <v>8</v>
      </c>
      <c r="C22" s="90">
        <v>8</v>
      </c>
      <c r="D22" s="90">
        <v>1</v>
      </c>
      <c r="E22" s="90">
        <v>6</v>
      </c>
      <c r="F22" s="90">
        <v>1</v>
      </c>
      <c r="G22" s="90">
        <v>24</v>
      </c>
      <c r="H22" s="91">
        <v>0.4705882352941177</v>
      </c>
      <c r="I22" s="91">
        <v>0.88888888888888884</v>
      </c>
      <c r="J22" s="91">
        <v>9.0909090909090912E-2</v>
      </c>
      <c r="K22" s="91">
        <v>0.2857142857142857</v>
      </c>
      <c r="L22" s="91">
        <v>0.14285714285714285</v>
      </c>
      <c r="M22" s="91">
        <v>0.4</v>
      </c>
    </row>
    <row r="23" spans="1:13" x14ac:dyDescent="0.25">
      <c r="A23" s="89" t="s">
        <v>216</v>
      </c>
      <c r="B23" s="90">
        <v>1</v>
      </c>
      <c r="C23" s="90">
        <v>0</v>
      </c>
      <c r="D23" s="90">
        <v>0</v>
      </c>
      <c r="E23" s="90">
        <v>0</v>
      </c>
      <c r="F23" s="90">
        <v>0</v>
      </c>
      <c r="G23" s="90">
        <v>1</v>
      </c>
      <c r="H23" s="91">
        <v>5.8823529411764705E-2</v>
      </c>
      <c r="I23" s="91">
        <v>0</v>
      </c>
      <c r="J23" s="91">
        <v>0</v>
      </c>
      <c r="K23" s="91">
        <v>0</v>
      </c>
      <c r="L23" s="91">
        <v>0</v>
      </c>
      <c r="M23" s="91">
        <v>1.6666666666666666E-2</v>
      </c>
    </row>
    <row r="24" spans="1:13" x14ac:dyDescent="0.25">
      <c r="A24" s="89" t="s">
        <v>354</v>
      </c>
      <c r="B24" s="90">
        <v>0</v>
      </c>
      <c r="C24" s="90">
        <v>1</v>
      </c>
      <c r="D24" s="90">
        <v>1</v>
      </c>
      <c r="E24" s="90">
        <v>0</v>
      </c>
      <c r="F24" s="90">
        <v>0</v>
      </c>
      <c r="G24" s="90">
        <v>2</v>
      </c>
      <c r="H24" s="91">
        <v>0</v>
      </c>
      <c r="I24" s="91">
        <v>0.1111111111111111</v>
      </c>
      <c r="J24" s="91">
        <v>9.0909090909090912E-2</v>
      </c>
      <c r="K24" s="91">
        <v>0</v>
      </c>
      <c r="L24" s="91">
        <v>0</v>
      </c>
      <c r="M24" s="91">
        <v>3.3333333333333333E-2</v>
      </c>
    </row>
    <row r="25" spans="1:13" x14ac:dyDescent="0.25">
      <c r="A25" s="89" t="s">
        <v>616</v>
      </c>
      <c r="B25" s="90">
        <v>0</v>
      </c>
      <c r="C25" s="90">
        <v>3</v>
      </c>
      <c r="D25" s="90">
        <v>0</v>
      </c>
      <c r="E25" s="90">
        <v>0</v>
      </c>
      <c r="F25" s="90">
        <v>0</v>
      </c>
      <c r="G25" s="90">
        <v>3</v>
      </c>
      <c r="H25" s="91">
        <v>0</v>
      </c>
      <c r="I25" s="91">
        <v>0.33333333333333331</v>
      </c>
      <c r="J25" s="91">
        <v>0</v>
      </c>
      <c r="K25" s="91">
        <v>0</v>
      </c>
      <c r="L25" s="91">
        <v>0</v>
      </c>
      <c r="M25" s="91">
        <v>0.05</v>
      </c>
    </row>
    <row r="26" spans="1:13" x14ac:dyDescent="0.25">
      <c r="A26" s="89" t="s">
        <v>313</v>
      </c>
      <c r="B26" s="90">
        <v>6</v>
      </c>
      <c r="C26" s="90">
        <v>4</v>
      </c>
      <c r="D26" s="90">
        <v>0</v>
      </c>
      <c r="E26" s="90">
        <v>6</v>
      </c>
      <c r="F26" s="90">
        <v>0</v>
      </c>
      <c r="G26" s="90">
        <v>16</v>
      </c>
      <c r="H26" s="91">
        <v>0.35294117647058826</v>
      </c>
      <c r="I26" s="91">
        <v>0.44444444444444442</v>
      </c>
      <c r="J26" s="91">
        <v>0</v>
      </c>
      <c r="K26" s="91">
        <v>0.2857142857142857</v>
      </c>
      <c r="L26" s="91">
        <v>0</v>
      </c>
      <c r="M26" s="91">
        <v>0.26666666666666666</v>
      </c>
    </row>
    <row r="27" spans="1:13" x14ac:dyDescent="0.25">
      <c r="A27" s="89" t="s">
        <v>403</v>
      </c>
      <c r="B27" s="90">
        <v>0</v>
      </c>
      <c r="C27" s="90">
        <v>0</v>
      </c>
      <c r="D27" s="90">
        <v>0</v>
      </c>
      <c r="E27" s="90">
        <v>0</v>
      </c>
      <c r="F27" s="90">
        <v>1</v>
      </c>
      <c r="G27" s="90">
        <v>1</v>
      </c>
      <c r="H27" s="91">
        <v>0</v>
      </c>
      <c r="I27" s="91">
        <v>0</v>
      </c>
      <c r="J27" s="91">
        <v>0</v>
      </c>
      <c r="K27" s="91">
        <v>0</v>
      </c>
      <c r="L27" s="91">
        <v>0.14285714285714285</v>
      </c>
      <c r="M27" s="91">
        <v>1.6666666666666666E-2</v>
      </c>
    </row>
    <row r="28" spans="1:13" x14ac:dyDescent="0.25">
      <c r="A28" s="89" t="s">
        <v>460</v>
      </c>
      <c r="B28" s="90">
        <v>1</v>
      </c>
      <c r="C28" s="90">
        <v>0</v>
      </c>
      <c r="D28" s="90">
        <v>0</v>
      </c>
      <c r="E28" s="90">
        <v>0</v>
      </c>
      <c r="F28" s="90">
        <v>0</v>
      </c>
      <c r="G28" s="90">
        <v>1</v>
      </c>
      <c r="H28" s="91">
        <v>5.8823529411764705E-2</v>
      </c>
      <c r="I28" s="91">
        <v>0</v>
      </c>
      <c r="J28" s="91">
        <v>0</v>
      </c>
      <c r="K28" s="91">
        <v>0</v>
      </c>
      <c r="L28" s="91">
        <v>0</v>
      </c>
      <c r="M28" s="91">
        <v>1.6666666666666666E-2</v>
      </c>
    </row>
    <row r="29" spans="1:13" x14ac:dyDescent="0.25">
      <c r="A29" s="88" t="s">
        <v>802</v>
      </c>
      <c r="B29" s="90">
        <v>28</v>
      </c>
      <c r="C29" s="90">
        <v>22</v>
      </c>
      <c r="D29" s="90">
        <v>25</v>
      </c>
      <c r="E29" s="90">
        <v>44</v>
      </c>
      <c r="F29" s="90">
        <v>7</v>
      </c>
      <c r="G29" s="90">
        <v>126</v>
      </c>
      <c r="H29" s="91">
        <v>1.6470588235294117</v>
      </c>
      <c r="I29" s="91">
        <v>2.4444444444444446</v>
      </c>
      <c r="J29" s="91">
        <v>2.2727272727272725</v>
      </c>
      <c r="K29" s="91">
        <v>2.0952380952380953</v>
      </c>
      <c r="L29" s="91">
        <v>1</v>
      </c>
      <c r="M29" s="91">
        <v>2.0999999999999996</v>
      </c>
    </row>
    <row r="30" spans="1:13" x14ac:dyDescent="0.25">
      <c r="A30" s="89" t="s">
        <v>274</v>
      </c>
      <c r="B30" s="90">
        <v>2</v>
      </c>
      <c r="C30" s="90">
        <v>7</v>
      </c>
      <c r="D30" s="90">
        <v>7</v>
      </c>
      <c r="E30" s="90">
        <v>10</v>
      </c>
      <c r="F30" s="90">
        <v>2</v>
      </c>
      <c r="G30" s="90">
        <v>28</v>
      </c>
      <c r="H30" s="91">
        <v>0.11764705882352941</v>
      </c>
      <c r="I30" s="91">
        <v>0.77777777777777779</v>
      </c>
      <c r="J30" s="91">
        <v>0.63636363636363635</v>
      </c>
      <c r="K30" s="91">
        <v>0.47619047619047616</v>
      </c>
      <c r="L30" s="91">
        <v>0.2857142857142857</v>
      </c>
      <c r="M30" s="91">
        <v>0.46666666666666667</v>
      </c>
    </row>
    <row r="31" spans="1:13" x14ac:dyDescent="0.25">
      <c r="A31" s="89" t="s">
        <v>196</v>
      </c>
      <c r="B31" s="90">
        <v>4</v>
      </c>
      <c r="C31" s="90">
        <v>5</v>
      </c>
      <c r="D31" s="90">
        <v>5</v>
      </c>
      <c r="E31" s="90">
        <v>10</v>
      </c>
      <c r="F31" s="90">
        <v>0</v>
      </c>
      <c r="G31" s="90">
        <v>24</v>
      </c>
      <c r="H31" s="91">
        <v>0.23529411764705882</v>
      </c>
      <c r="I31" s="91">
        <v>0.55555555555555558</v>
      </c>
      <c r="J31" s="91">
        <v>0.45454545454545453</v>
      </c>
      <c r="K31" s="91">
        <v>0.47619047619047616</v>
      </c>
      <c r="L31" s="91">
        <v>0</v>
      </c>
      <c r="M31" s="91">
        <v>0.4</v>
      </c>
    </row>
    <row r="32" spans="1:13" x14ac:dyDescent="0.25">
      <c r="A32" s="89" t="s">
        <v>302</v>
      </c>
      <c r="B32" s="90">
        <v>14</v>
      </c>
      <c r="C32" s="90">
        <v>9</v>
      </c>
      <c r="D32" s="90">
        <v>11</v>
      </c>
      <c r="E32" s="90">
        <v>21</v>
      </c>
      <c r="F32" s="90">
        <v>5</v>
      </c>
      <c r="G32" s="90">
        <v>60</v>
      </c>
      <c r="H32" s="91">
        <v>0.82352941176470584</v>
      </c>
      <c r="I32" s="91">
        <v>1</v>
      </c>
      <c r="J32" s="91">
        <v>1</v>
      </c>
      <c r="K32" s="91">
        <v>1</v>
      </c>
      <c r="L32" s="91">
        <v>0.7142857142857143</v>
      </c>
      <c r="M32" s="91">
        <v>1</v>
      </c>
    </row>
    <row r="33" spans="1:13" x14ac:dyDescent="0.25">
      <c r="A33" s="89" t="s">
        <v>608</v>
      </c>
      <c r="B33" s="90">
        <v>0</v>
      </c>
      <c r="C33" s="90">
        <v>0</v>
      </c>
      <c r="D33" s="90">
        <v>0</v>
      </c>
      <c r="E33" s="90">
        <v>1</v>
      </c>
      <c r="F33" s="90">
        <v>0</v>
      </c>
      <c r="G33" s="90">
        <v>1</v>
      </c>
      <c r="H33" s="91">
        <v>0</v>
      </c>
      <c r="I33" s="91">
        <v>0</v>
      </c>
      <c r="J33" s="91">
        <v>0</v>
      </c>
      <c r="K33" s="91">
        <v>4.7619047619047616E-2</v>
      </c>
      <c r="L33" s="91">
        <v>0</v>
      </c>
      <c r="M33" s="91">
        <v>1.6666666666666666E-2</v>
      </c>
    </row>
    <row r="34" spans="1:13" x14ac:dyDescent="0.25">
      <c r="A34" s="89" t="s">
        <v>458</v>
      </c>
      <c r="B34" s="90">
        <v>6</v>
      </c>
      <c r="C34" s="90">
        <v>1</v>
      </c>
      <c r="D34" s="90">
        <v>2</v>
      </c>
      <c r="E34" s="90">
        <v>2</v>
      </c>
      <c r="F34" s="90">
        <v>0</v>
      </c>
      <c r="G34" s="90">
        <v>11</v>
      </c>
      <c r="H34" s="91">
        <v>0.35294117647058826</v>
      </c>
      <c r="I34" s="91">
        <v>0.1111111111111111</v>
      </c>
      <c r="J34" s="91">
        <v>0.18181818181818182</v>
      </c>
      <c r="K34" s="91">
        <v>9.5238095238095233E-2</v>
      </c>
      <c r="L34" s="91">
        <v>0</v>
      </c>
      <c r="M34" s="91">
        <v>0.18333333333333332</v>
      </c>
    </row>
    <row r="35" spans="1:13" x14ac:dyDescent="0.25">
      <c r="A35" s="89" t="s">
        <v>429</v>
      </c>
      <c r="B35" s="90">
        <v>2</v>
      </c>
      <c r="C35" s="90">
        <v>0</v>
      </c>
      <c r="D35" s="90">
        <v>0</v>
      </c>
      <c r="E35" s="90">
        <v>0</v>
      </c>
      <c r="F35" s="90">
        <v>0</v>
      </c>
      <c r="G35" s="90">
        <v>2</v>
      </c>
      <c r="H35" s="91">
        <v>0.11764705882352941</v>
      </c>
      <c r="I35" s="91">
        <v>0</v>
      </c>
      <c r="J35" s="91">
        <v>0</v>
      </c>
      <c r="K35" s="91">
        <v>0</v>
      </c>
      <c r="L35" s="91">
        <v>0</v>
      </c>
      <c r="M35" s="91">
        <v>3.3333333333333333E-2</v>
      </c>
    </row>
    <row r="36" spans="1:13" x14ac:dyDescent="0.25">
      <c r="A36" s="88" t="s">
        <v>803</v>
      </c>
      <c r="B36" s="90">
        <v>11</v>
      </c>
      <c r="C36" s="90">
        <v>5</v>
      </c>
      <c r="D36" s="90">
        <v>15</v>
      </c>
      <c r="E36" s="90">
        <v>15</v>
      </c>
      <c r="F36" s="90">
        <v>7</v>
      </c>
      <c r="G36" s="90">
        <v>53</v>
      </c>
      <c r="H36" s="91">
        <v>0.6470588235294118</v>
      </c>
      <c r="I36" s="91">
        <v>0.55555555555555558</v>
      </c>
      <c r="J36" s="91">
        <v>1.3636363636363635</v>
      </c>
      <c r="K36" s="91">
        <v>0.71428571428571419</v>
      </c>
      <c r="L36" s="91">
        <v>1</v>
      </c>
      <c r="M36" s="91">
        <v>0.8833333333333333</v>
      </c>
    </row>
    <row r="37" spans="1:13" x14ac:dyDescent="0.25">
      <c r="A37" s="89" t="s">
        <v>179</v>
      </c>
      <c r="B37" s="90">
        <v>2</v>
      </c>
      <c r="C37" s="90">
        <v>4</v>
      </c>
      <c r="D37" s="90">
        <v>0</v>
      </c>
      <c r="E37" s="90">
        <v>5</v>
      </c>
      <c r="F37" s="90">
        <v>0</v>
      </c>
      <c r="G37" s="90">
        <v>11</v>
      </c>
      <c r="H37" s="91">
        <v>0.11764705882352941</v>
      </c>
      <c r="I37" s="91">
        <v>0.44444444444444442</v>
      </c>
      <c r="J37" s="91">
        <v>0</v>
      </c>
      <c r="K37" s="91">
        <v>0.23809523809523808</v>
      </c>
      <c r="L37" s="91">
        <v>0</v>
      </c>
      <c r="M37" s="91">
        <v>0.18333333333333332</v>
      </c>
    </row>
    <row r="38" spans="1:13" x14ac:dyDescent="0.25">
      <c r="A38" s="89" t="s">
        <v>577</v>
      </c>
      <c r="B38" s="90">
        <v>0</v>
      </c>
      <c r="C38" s="90">
        <v>0</v>
      </c>
      <c r="D38" s="90">
        <v>0</v>
      </c>
      <c r="E38" s="90">
        <v>1</v>
      </c>
      <c r="F38" s="90">
        <v>0</v>
      </c>
      <c r="G38" s="90">
        <v>1</v>
      </c>
      <c r="H38" s="91">
        <v>0</v>
      </c>
      <c r="I38" s="91">
        <v>0</v>
      </c>
      <c r="J38" s="91">
        <v>0</v>
      </c>
      <c r="K38" s="91">
        <v>4.7619047619047616E-2</v>
      </c>
      <c r="L38" s="91">
        <v>0</v>
      </c>
      <c r="M38" s="91">
        <v>1.6666666666666666E-2</v>
      </c>
    </row>
    <row r="39" spans="1:13" x14ac:dyDescent="0.25">
      <c r="A39" s="89" t="s">
        <v>243</v>
      </c>
      <c r="B39" s="90">
        <v>0</v>
      </c>
      <c r="C39" s="90">
        <v>0</v>
      </c>
      <c r="D39" s="90">
        <v>0</v>
      </c>
      <c r="E39" s="90">
        <v>0</v>
      </c>
      <c r="F39" s="90">
        <v>1</v>
      </c>
      <c r="G39" s="90">
        <v>1</v>
      </c>
      <c r="H39" s="91">
        <v>0</v>
      </c>
      <c r="I39" s="91">
        <v>0</v>
      </c>
      <c r="J39" s="91">
        <v>0</v>
      </c>
      <c r="K39" s="91">
        <v>0</v>
      </c>
      <c r="L39" s="91">
        <v>0.14285714285714285</v>
      </c>
      <c r="M39" s="91">
        <v>1.6666666666666666E-2</v>
      </c>
    </row>
    <row r="40" spans="1:13" x14ac:dyDescent="0.25">
      <c r="A40" s="89" t="s">
        <v>488</v>
      </c>
      <c r="B40" s="90">
        <v>0</v>
      </c>
      <c r="C40" s="90">
        <v>0</v>
      </c>
      <c r="D40" s="90">
        <v>3</v>
      </c>
      <c r="E40" s="90">
        <v>0</v>
      </c>
      <c r="F40" s="90">
        <v>0</v>
      </c>
      <c r="G40" s="90">
        <v>3</v>
      </c>
      <c r="H40" s="91">
        <v>0</v>
      </c>
      <c r="I40" s="91">
        <v>0</v>
      </c>
      <c r="J40" s="91">
        <v>0.27272727272727271</v>
      </c>
      <c r="K40" s="91">
        <v>0</v>
      </c>
      <c r="L40" s="91">
        <v>0</v>
      </c>
      <c r="M40" s="91">
        <v>0.05</v>
      </c>
    </row>
    <row r="41" spans="1:13" x14ac:dyDescent="0.25">
      <c r="A41" s="89" t="s">
        <v>538</v>
      </c>
      <c r="B41" s="90">
        <v>1</v>
      </c>
      <c r="C41" s="90">
        <v>0</v>
      </c>
      <c r="D41" s="90">
        <v>0</v>
      </c>
      <c r="E41" s="90">
        <v>0</v>
      </c>
      <c r="F41" s="90">
        <v>0</v>
      </c>
      <c r="G41" s="90">
        <v>1</v>
      </c>
      <c r="H41" s="91">
        <v>5.8823529411764705E-2</v>
      </c>
      <c r="I41" s="91">
        <v>0</v>
      </c>
      <c r="J41" s="91">
        <v>0</v>
      </c>
      <c r="K41" s="91">
        <v>0</v>
      </c>
      <c r="L41" s="91">
        <v>0</v>
      </c>
      <c r="M41" s="91">
        <v>1.6666666666666666E-2</v>
      </c>
    </row>
    <row r="42" spans="1:13" x14ac:dyDescent="0.25">
      <c r="A42" s="89" t="s">
        <v>253</v>
      </c>
      <c r="B42" s="90">
        <v>2</v>
      </c>
      <c r="C42" s="90">
        <v>0</v>
      </c>
      <c r="D42" s="90">
        <v>0</v>
      </c>
      <c r="E42" s="90">
        <v>0</v>
      </c>
      <c r="F42" s="90">
        <v>0</v>
      </c>
      <c r="G42" s="90">
        <v>2</v>
      </c>
      <c r="H42" s="91">
        <v>0.11764705882352941</v>
      </c>
      <c r="I42" s="91">
        <v>0</v>
      </c>
      <c r="J42" s="91">
        <v>0</v>
      </c>
      <c r="K42" s="91">
        <v>0</v>
      </c>
      <c r="L42" s="91">
        <v>0</v>
      </c>
      <c r="M42" s="91">
        <v>3.3333333333333333E-2</v>
      </c>
    </row>
    <row r="43" spans="1:13" x14ac:dyDescent="0.25">
      <c r="A43" s="89" t="s">
        <v>258</v>
      </c>
      <c r="B43" s="90">
        <v>0</v>
      </c>
      <c r="C43" s="90">
        <v>0</v>
      </c>
      <c r="D43" s="90">
        <v>2</v>
      </c>
      <c r="E43" s="90">
        <v>3</v>
      </c>
      <c r="F43" s="90">
        <v>0</v>
      </c>
      <c r="G43" s="90">
        <v>5</v>
      </c>
      <c r="H43" s="91">
        <v>0</v>
      </c>
      <c r="I43" s="91">
        <v>0</v>
      </c>
      <c r="J43" s="91">
        <v>0.18181818181818182</v>
      </c>
      <c r="K43" s="91">
        <v>0.14285714285714285</v>
      </c>
      <c r="L43" s="91">
        <v>0</v>
      </c>
      <c r="M43" s="91">
        <v>8.3333333333333329E-2</v>
      </c>
    </row>
    <row r="44" spans="1:13" x14ac:dyDescent="0.25">
      <c r="A44" s="89" t="s">
        <v>622</v>
      </c>
      <c r="B44" s="90">
        <v>3</v>
      </c>
      <c r="C44" s="90">
        <v>0</v>
      </c>
      <c r="D44" s="90">
        <v>0</v>
      </c>
      <c r="E44" s="90">
        <v>0</v>
      </c>
      <c r="F44" s="90">
        <v>0</v>
      </c>
      <c r="G44" s="90">
        <v>3</v>
      </c>
      <c r="H44" s="91">
        <v>0.17647058823529413</v>
      </c>
      <c r="I44" s="91">
        <v>0</v>
      </c>
      <c r="J44" s="91">
        <v>0</v>
      </c>
      <c r="K44" s="91">
        <v>0</v>
      </c>
      <c r="L44" s="91">
        <v>0</v>
      </c>
      <c r="M44" s="91">
        <v>0.05</v>
      </c>
    </row>
    <row r="45" spans="1:13" x14ac:dyDescent="0.25">
      <c r="A45" s="89" t="s">
        <v>252</v>
      </c>
      <c r="B45" s="90">
        <v>0</v>
      </c>
      <c r="C45" s="90">
        <v>0</v>
      </c>
      <c r="D45" s="90">
        <v>6</v>
      </c>
      <c r="E45" s="90">
        <v>3</v>
      </c>
      <c r="F45" s="90">
        <v>0</v>
      </c>
      <c r="G45" s="90">
        <v>9</v>
      </c>
      <c r="H45" s="91">
        <v>0</v>
      </c>
      <c r="I45" s="91">
        <v>0</v>
      </c>
      <c r="J45" s="91">
        <v>0.54545454545454541</v>
      </c>
      <c r="K45" s="91">
        <v>0.14285714285714285</v>
      </c>
      <c r="L45" s="91">
        <v>0</v>
      </c>
      <c r="M45" s="91">
        <v>0.15</v>
      </c>
    </row>
    <row r="46" spans="1:13" x14ac:dyDescent="0.25">
      <c r="A46" s="89" t="s">
        <v>304</v>
      </c>
      <c r="B46" s="90">
        <v>1</v>
      </c>
      <c r="C46" s="90">
        <v>1</v>
      </c>
      <c r="D46" s="90">
        <v>3</v>
      </c>
      <c r="E46" s="90">
        <v>3</v>
      </c>
      <c r="F46" s="90">
        <v>3</v>
      </c>
      <c r="G46" s="90">
        <v>11</v>
      </c>
      <c r="H46" s="91">
        <v>5.8823529411764705E-2</v>
      </c>
      <c r="I46" s="91">
        <v>0.1111111111111111</v>
      </c>
      <c r="J46" s="91">
        <v>0.27272727272727271</v>
      </c>
      <c r="K46" s="91">
        <v>0.14285714285714285</v>
      </c>
      <c r="L46" s="91">
        <v>0.42857142857142855</v>
      </c>
      <c r="M46" s="91">
        <v>0.18333333333333332</v>
      </c>
    </row>
    <row r="47" spans="1:13" x14ac:dyDescent="0.25">
      <c r="A47" s="89" t="s">
        <v>172</v>
      </c>
      <c r="B47" s="90">
        <v>2</v>
      </c>
      <c r="C47" s="90">
        <v>0</v>
      </c>
      <c r="D47" s="90">
        <v>1</v>
      </c>
      <c r="E47" s="90">
        <v>0</v>
      </c>
      <c r="F47" s="90">
        <v>3</v>
      </c>
      <c r="G47" s="90">
        <v>6</v>
      </c>
      <c r="H47" s="91">
        <v>0.11764705882352941</v>
      </c>
      <c r="I47" s="91">
        <v>0</v>
      </c>
      <c r="J47" s="91">
        <v>9.0909090909090912E-2</v>
      </c>
      <c r="K47" s="91">
        <v>0</v>
      </c>
      <c r="L47" s="91">
        <v>0.42857142857142855</v>
      </c>
      <c r="M47" s="91">
        <v>0.1</v>
      </c>
    </row>
    <row r="48" spans="1:13" x14ac:dyDescent="0.25">
      <c r="A48" s="88" t="s">
        <v>832</v>
      </c>
      <c r="B48" s="90">
        <v>92</v>
      </c>
      <c r="C48" s="90">
        <v>53</v>
      </c>
      <c r="D48" s="90">
        <v>54</v>
      </c>
      <c r="E48" s="90">
        <v>92</v>
      </c>
      <c r="F48" s="90">
        <v>34</v>
      </c>
      <c r="G48" s="90">
        <v>325</v>
      </c>
      <c r="H48" s="90">
        <v>5.4117647058823506</v>
      </c>
      <c r="I48" s="90">
        <v>5.8888888888888884</v>
      </c>
      <c r="J48" s="90">
        <v>4.9090909090909083</v>
      </c>
      <c r="K48" s="90">
        <v>4.3809523809523823</v>
      </c>
      <c r="L48" s="90">
        <v>4.8571428571428568</v>
      </c>
      <c r="M48" s="90">
        <v>5.4166666666666652</v>
      </c>
    </row>
    <row r="54" spans="2:21" s="4" customFormat="1" ht="90" x14ac:dyDescent="0.25">
      <c r="B54" s="4" t="s">
        <v>819</v>
      </c>
      <c r="C54" s="4" t="s">
        <v>820</v>
      </c>
      <c r="D54" s="4" t="s">
        <v>821</v>
      </c>
      <c r="E54" s="4" t="s">
        <v>822</v>
      </c>
      <c r="F54" s="4" t="s">
        <v>823</v>
      </c>
      <c r="G54" s="4" t="s">
        <v>824</v>
      </c>
      <c r="H54" s="4" t="s">
        <v>825</v>
      </c>
      <c r="I54" s="4" t="s">
        <v>826</v>
      </c>
      <c r="J54" s="4" t="s">
        <v>827</v>
      </c>
      <c r="K54" s="4" t="s">
        <v>828</v>
      </c>
      <c r="L54" s="4" t="s">
        <v>829</v>
      </c>
      <c r="M54" s="4" t="s">
        <v>830</v>
      </c>
      <c r="N54" s="4" t="s">
        <v>831</v>
      </c>
      <c r="P54" s="6" t="s">
        <v>154</v>
      </c>
      <c r="Q54" s="5" t="s">
        <v>193</v>
      </c>
      <c r="R54" s="5" t="s">
        <v>251</v>
      </c>
      <c r="S54" s="5" t="s">
        <v>273</v>
      </c>
      <c r="T54" s="5" t="s">
        <v>330</v>
      </c>
      <c r="U54" s="37" t="s">
        <v>700</v>
      </c>
    </row>
    <row r="55" spans="2:21" s="39" customFormat="1" x14ac:dyDescent="0.25">
      <c r="B55" s="39" t="s">
        <v>798</v>
      </c>
      <c r="C55" s="39">
        <v>18</v>
      </c>
      <c r="D55" s="39">
        <v>11</v>
      </c>
      <c r="E55" s="39">
        <v>4</v>
      </c>
      <c r="F55" s="39">
        <v>13</v>
      </c>
      <c r="G55" s="39">
        <v>5</v>
      </c>
      <c r="H55" s="39">
        <v>51</v>
      </c>
      <c r="I55" s="93">
        <v>1.0588235294117647</v>
      </c>
      <c r="J55" s="93">
        <v>1.2222222222222221</v>
      </c>
      <c r="K55" s="93">
        <v>0.36363636363636365</v>
      </c>
      <c r="L55" s="93">
        <v>0.61904761904761907</v>
      </c>
      <c r="M55" s="93">
        <v>0.71428571428571419</v>
      </c>
      <c r="N55" s="93">
        <v>0.85000000000000009</v>
      </c>
      <c r="P55" s="39" t="str">
        <f>CONCATENATE(C55," (",TEXT(I55,"0%"),")")</f>
        <v>18 (106%)</v>
      </c>
      <c r="Q55" s="39" t="str">
        <f t="shared" ref="Q55:U55" si="0">CONCATENATE(D55," (",TEXT(J55,"0%"),")")</f>
        <v>11 (122%)</v>
      </c>
      <c r="R55" s="39" t="str">
        <f t="shared" si="0"/>
        <v>4 (36%)</v>
      </c>
      <c r="S55" s="39" t="str">
        <f t="shared" si="0"/>
        <v>13 (62%)</v>
      </c>
      <c r="T55" s="39" t="str">
        <f t="shared" si="0"/>
        <v>5 (71%)</v>
      </c>
      <c r="U55" s="39" t="str">
        <f t="shared" si="0"/>
        <v>51 (85%)</v>
      </c>
    </row>
    <row r="56" spans="2:21" s="94" customFormat="1" x14ac:dyDescent="0.25">
      <c r="B56" s="94" t="s">
        <v>287</v>
      </c>
      <c r="C56" s="94">
        <v>0</v>
      </c>
      <c r="D56" s="94">
        <v>3</v>
      </c>
      <c r="E56" s="94">
        <v>0</v>
      </c>
      <c r="F56" s="94">
        <v>0</v>
      </c>
      <c r="G56" s="94">
        <v>0</v>
      </c>
      <c r="H56" s="94">
        <v>3</v>
      </c>
      <c r="I56" s="95">
        <v>0</v>
      </c>
      <c r="J56" s="95">
        <v>0.33333333333333331</v>
      </c>
      <c r="K56" s="95">
        <v>0</v>
      </c>
      <c r="L56" s="95">
        <v>0</v>
      </c>
      <c r="M56" s="95">
        <v>0</v>
      </c>
      <c r="N56" s="95">
        <v>0.05</v>
      </c>
      <c r="P56" s="94" t="str">
        <f t="shared" ref="P56:P98" si="1">CONCATENATE(C56," (",TEXT(I56,"0%"),")")</f>
        <v>0 (0%)</v>
      </c>
      <c r="Q56" s="94" t="str">
        <f t="shared" ref="Q56:Q98" si="2">CONCATENATE(D56," (",TEXT(J56,"0%"),")")</f>
        <v>3 (33%)</v>
      </c>
      <c r="R56" s="94" t="str">
        <f t="shared" ref="R56:R98" si="3">CONCATENATE(E56," (",TEXT(K56,"0%"),")")</f>
        <v>0 (0%)</v>
      </c>
      <c r="S56" s="94" t="str">
        <f t="shared" ref="S56:S98" si="4">CONCATENATE(F56," (",TEXT(L56,"0%"),")")</f>
        <v>0 (0%)</v>
      </c>
      <c r="T56" s="94" t="str">
        <f t="shared" ref="T56:T98" si="5">CONCATENATE(G56," (",TEXT(M56,"0%"),")")</f>
        <v>0 (0%)</v>
      </c>
      <c r="U56" s="94" t="str">
        <f t="shared" ref="U56:U98" si="6">CONCATENATE(H56," (",TEXT(N56,"0%"),")")</f>
        <v>3 (5%)</v>
      </c>
    </row>
    <row r="57" spans="2:21" s="94" customFormat="1" x14ac:dyDescent="0.25">
      <c r="B57" s="94" t="s">
        <v>233</v>
      </c>
      <c r="C57" s="94">
        <v>2</v>
      </c>
      <c r="D57" s="94">
        <v>1</v>
      </c>
      <c r="E57" s="94">
        <v>0</v>
      </c>
      <c r="F57" s="94">
        <v>0</v>
      </c>
      <c r="G57" s="94">
        <v>0</v>
      </c>
      <c r="H57" s="94">
        <v>3</v>
      </c>
      <c r="I57" s="95">
        <v>0.11764705882352941</v>
      </c>
      <c r="J57" s="95">
        <v>0.1111111111111111</v>
      </c>
      <c r="K57" s="95">
        <v>0</v>
      </c>
      <c r="L57" s="95">
        <v>0</v>
      </c>
      <c r="M57" s="95">
        <v>0</v>
      </c>
      <c r="N57" s="95">
        <v>0.05</v>
      </c>
      <c r="P57" s="94" t="str">
        <f t="shared" si="1"/>
        <v>2 (12%)</v>
      </c>
      <c r="Q57" s="94" t="str">
        <f t="shared" si="2"/>
        <v>1 (11%)</v>
      </c>
      <c r="R57" s="94" t="str">
        <f t="shared" si="3"/>
        <v>0 (0%)</v>
      </c>
      <c r="S57" s="94" t="str">
        <f t="shared" si="4"/>
        <v>0 (0%)</v>
      </c>
      <c r="T57" s="94" t="str">
        <f t="shared" si="5"/>
        <v>0 (0%)</v>
      </c>
      <c r="U57" s="94" t="str">
        <f t="shared" si="6"/>
        <v>3 (5%)</v>
      </c>
    </row>
    <row r="58" spans="2:21" s="94" customFormat="1" x14ac:dyDescent="0.25">
      <c r="B58" s="94" t="s">
        <v>263</v>
      </c>
      <c r="C58" s="94">
        <v>7</v>
      </c>
      <c r="D58" s="94">
        <v>0</v>
      </c>
      <c r="E58" s="94">
        <v>2</v>
      </c>
      <c r="F58" s="94">
        <v>3</v>
      </c>
      <c r="G58" s="94">
        <v>3</v>
      </c>
      <c r="H58" s="94">
        <v>15</v>
      </c>
      <c r="I58" s="95">
        <v>0.41176470588235292</v>
      </c>
      <c r="J58" s="95">
        <v>0</v>
      </c>
      <c r="K58" s="95">
        <v>0.18181818181818182</v>
      </c>
      <c r="L58" s="95">
        <v>0.14285714285714285</v>
      </c>
      <c r="M58" s="95">
        <v>0.42857142857142855</v>
      </c>
      <c r="N58" s="95">
        <v>0.25</v>
      </c>
      <c r="P58" s="94" t="str">
        <f t="shared" si="1"/>
        <v>7 (41%)</v>
      </c>
      <c r="Q58" s="94" t="str">
        <f t="shared" si="2"/>
        <v>0 (0%)</v>
      </c>
      <c r="R58" s="94" t="str">
        <f t="shared" si="3"/>
        <v>2 (18%)</v>
      </c>
      <c r="S58" s="94" t="str">
        <f t="shared" si="4"/>
        <v>3 (14%)</v>
      </c>
      <c r="T58" s="94" t="str">
        <f t="shared" si="5"/>
        <v>3 (43%)</v>
      </c>
      <c r="U58" s="94" t="str">
        <f t="shared" si="6"/>
        <v>15 (25%)</v>
      </c>
    </row>
    <row r="59" spans="2:21" s="94" customFormat="1" x14ac:dyDescent="0.25">
      <c r="B59" s="94" t="s">
        <v>202</v>
      </c>
      <c r="C59" s="94">
        <v>3</v>
      </c>
      <c r="D59" s="94">
        <v>4</v>
      </c>
      <c r="E59" s="94">
        <v>2</v>
      </c>
      <c r="F59" s="94">
        <v>4</v>
      </c>
      <c r="G59" s="94">
        <v>0</v>
      </c>
      <c r="H59" s="94">
        <v>13</v>
      </c>
      <c r="I59" s="95">
        <v>0.17647058823529413</v>
      </c>
      <c r="J59" s="95">
        <v>0.44444444444444442</v>
      </c>
      <c r="K59" s="95">
        <v>0.18181818181818182</v>
      </c>
      <c r="L59" s="95">
        <v>0.19047619047619047</v>
      </c>
      <c r="M59" s="95">
        <v>0</v>
      </c>
      <c r="N59" s="95">
        <v>0.21666666666666667</v>
      </c>
      <c r="P59" s="94" t="str">
        <f t="shared" si="1"/>
        <v>3 (18%)</v>
      </c>
      <c r="Q59" s="94" t="str">
        <f t="shared" si="2"/>
        <v>4 (44%)</v>
      </c>
      <c r="R59" s="94" t="str">
        <f t="shared" si="3"/>
        <v>2 (18%)</v>
      </c>
      <c r="S59" s="94" t="str">
        <f t="shared" si="4"/>
        <v>4 (19%)</v>
      </c>
      <c r="T59" s="94" t="str">
        <f t="shared" si="5"/>
        <v>0 (0%)</v>
      </c>
      <c r="U59" s="94" t="str">
        <f t="shared" si="6"/>
        <v>13 (22%)</v>
      </c>
    </row>
    <row r="60" spans="2:21" s="94" customFormat="1" x14ac:dyDescent="0.25">
      <c r="B60" s="94" t="s">
        <v>495</v>
      </c>
      <c r="C60" s="94">
        <v>0</v>
      </c>
      <c r="D60" s="94">
        <v>0</v>
      </c>
      <c r="E60" s="94">
        <v>0</v>
      </c>
      <c r="F60" s="94">
        <v>0</v>
      </c>
      <c r="G60" s="94">
        <v>0</v>
      </c>
      <c r="H60" s="94">
        <v>0</v>
      </c>
      <c r="I60" s="95">
        <v>0</v>
      </c>
      <c r="J60" s="95">
        <v>0</v>
      </c>
      <c r="K60" s="95">
        <v>0</v>
      </c>
      <c r="L60" s="95">
        <v>0</v>
      </c>
      <c r="M60" s="95">
        <v>0</v>
      </c>
      <c r="N60" s="95">
        <v>0</v>
      </c>
      <c r="P60" s="94" t="str">
        <f t="shared" si="1"/>
        <v>0 (0%)</v>
      </c>
      <c r="Q60" s="94" t="str">
        <f t="shared" si="2"/>
        <v>0 (0%)</v>
      </c>
      <c r="R60" s="94" t="str">
        <f t="shared" si="3"/>
        <v>0 (0%)</v>
      </c>
      <c r="S60" s="94" t="str">
        <f t="shared" si="4"/>
        <v>0 (0%)</v>
      </c>
      <c r="T60" s="94" t="str">
        <f t="shared" si="5"/>
        <v>0 (0%)</v>
      </c>
      <c r="U60" s="94" t="str">
        <f t="shared" si="6"/>
        <v>0 (0%)</v>
      </c>
    </row>
    <row r="61" spans="2:21" s="94" customFormat="1" x14ac:dyDescent="0.25">
      <c r="B61" s="94" t="s">
        <v>242</v>
      </c>
      <c r="C61" s="94">
        <v>1</v>
      </c>
      <c r="D61" s="94">
        <v>0</v>
      </c>
      <c r="E61" s="94">
        <v>0</v>
      </c>
      <c r="F61" s="94">
        <v>0</v>
      </c>
      <c r="G61" s="94">
        <v>0</v>
      </c>
      <c r="H61" s="94">
        <v>1</v>
      </c>
      <c r="I61" s="95">
        <v>5.8823529411764705E-2</v>
      </c>
      <c r="J61" s="95">
        <v>0</v>
      </c>
      <c r="K61" s="95">
        <v>0</v>
      </c>
      <c r="L61" s="95">
        <v>0</v>
      </c>
      <c r="M61" s="95">
        <v>0</v>
      </c>
      <c r="N61" s="95">
        <v>1.6666666666666666E-2</v>
      </c>
      <c r="P61" s="94" t="str">
        <f t="shared" si="1"/>
        <v>1 (6%)</v>
      </c>
      <c r="Q61" s="94" t="str">
        <f t="shared" si="2"/>
        <v>0 (0%)</v>
      </c>
      <c r="R61" s="94" t="str">
        <f t="shared" si="3"/>
        <v>0 (0%)</v>
      </c>
      <c r="S61" s="94" t="str">
        <f t="shared" si="4"/>
        <v>0 (0%)</v>
      </c>
      <c r="T61" s="94" t="str">
        <f t="shared" si="5"/>
        <v>0 (0%)</v>
      </c>
      <c r="U61" s="94" t="str">
        <f t="shared" si="6"/>
        <v>1 (2%)</v>
      </c>
    </row>
    <row r="62" spans="2:21" s="94" customFormat="1" x14ac:dyDescent="0.25">
      <c r="B62" s="94" t="s">
        <v>177</v>
      </c>
      <c r="C62" s="94">
        <v>5</v>
      </c>
      <c r="D62" s="94">
        <v>3</v>
      </c>
      <c r="E62" s="94">
        <v>0</v>
      </c>
      <c r="F62" s="94">
        <v>6</v>
      </c>
      <c r="G62" s="94">
        <v>2</v>
      </c>
      <c r="H62" s="94">
        <v>16</v>
      </c>
      <c r="I62" s="95">
        <v>0.29411764705882354</v>
      </c>
      <c r="J62" s="95">
        <v>0.33333333333333331</v>
      </c>
      <c r="K62" s="95">
        <v>0</v>
      </c>
      <c r="L62" s="95">
        <v>0.2857142857142857</v>
      </c>
      <c r="M62" s="95">
        <v>0.2857142857142857</v>
      </c>
      <c r="N62" s="95">
        <v>0.26666666666666666</v>
      </c>
      <c r="P62" s="94" t="str">
        <f t="shared" si="1"/>
        <v>5 (29%)</v>
      </c>
      <c r="Q62" s="94" t="str">
        <f t="shared" si="2"/>
        <v>3 (33%)</v>
      </c>
      <c r="R62" s="94" t="str">
        <f t="shared" si="3"/>
        <v>0 (0%)</v>
      </c>
      <c r="S62" s="94" t="str">
        <f t="shared" si="4"/>
        <v>6 (29%)</v>
      </c>
      <c r="T62" s="94" t="str">
        <f t="shared" si="5"/>
        <v>2 (29%)</v>
      </c>
      <c r="U62" s="94" t="str">
        <f t="shared" si="6"/>
        <v>16 (27%)</v>
      </c>
    </row>
    <row r="63" spans="2:21" s="39" customFormat="1" x14ac:dyDescent="0.25">
      <c r="B63" s="39" t="s">
        <v>799</v>
      </c>
      <c r="C63" s="39">
        <v>19</v>
      </c>
      <c r="D63" s="39">
        <v>5</v>
      </c>
      <c r="E63" s="39">
        <v>6</v>
      </c>
      <c r="F63" s="39">
        <v>5</v>
      </c>
      <c r="G63" s="39">
        <v>13</v>
      </c>
      <c r="H63" s="39">
        <v>48</v>
      </c>
      <c r="I63" s="93">
        <v>1.1176470588235294</v>
      </c>
      <c r="J63" s="93">
        <v>0.55555555555555558</v>
      </c>
      <c r="K63" s="93">
        <v>0.54545454545454541</v>
      </c>
      <c r="L63" s="93">
        <v>0.23809523809523808</v>
      </c>
      <c r="M63" s="93">
        <v>1.8571428571428572</v>
      </c>
      <c r="N63" s="93">
        <v>0.8</v>
      </c>
      <c r="P63" s="39" t="str">
        <f t="shared" si="1"/>
        <v>19 (112%)</v>
      </c>
      <c r="Q63" s="39" t="str">
        <f t="shared" si="2"/>
        <v>5 (56%)</v>
      </c>
      <c r="R63" s="39" t="str">
        <f t="shared" si="3"/>
        <v>6 (55%)</v>
      </c>
      <c r="S63" s="39" t="str">
        <f t="shared" si="4"/>
        <v>5 (24%)</v>
      </c>
      <c r="T63" s="39" t="str">
        <f t="shared" si="5"/>
        <v>13 (186%)</v>
      </c>
      <c r="U63" s="39" t="str">
        <f t="shared" si="6"/>
        <v>48 (80%)</v>
      </c>
    </row>
    <row r="64" spans="2:21" s="94" customFormat="1" x14ac:dyDescent="0.25">
      <c r="B64" s="94" t="s">
        <v>536</v>
      </c>
      <c r="C64" s="94">
        <v>2</v>
      </c>
      <c r="D64" s="94">
        <v>0</v>
      </c>
      <c r="E64" s="94">
        <v>2</v>
      </c>
      <c r="F64" s="94">
        <v>0</v>
      </c>
      <c r="G64" s="94">
        <v>7</v>
      </c>
      <c r="H64" s="94">
        <v>11</v>
      </c>
      <c r="I64" s="95">
        <v>0.11764705882352941</v>
      </c>
      <c r="J64" s="95">
        <v>0</v>
      </c>
      <c r="K64" s="95">
        <v>0.18181818181818182</v>
      </c>
      <c r="L64" s="95">
        <v>0</v>
      </c>
      <c r="M64" s="95">
        <v>1</v>
      </c>
      <c r="N64" s="95">
        <v>0.18333333333333332</v>
      </c>
      <c r="P64" s="94" t="str">
        <f t="shared" si="1"/>
        <v>2 (12%)</v>
      </c>
      <c r="Q64" s="94" t="str">
        <f t="shared" si="2"/>
        <v>0 (0%)</v>
      </c>
      <c r="R64" s="94" t="str">
        <f t="shared" si="3"/>
        <v>2 (18%)</v>
      </c>
      <c r="S64" s="94" t="str">
        <f t="shared" si="4"/>
        <v>0 (0%)</v>
      </c>
      <c r="T64" s="94" t="str">
        <f t="shared" si="5"/>
        <v>7 (100%)</v>
      </c>
      <c r="U64" s="94" t="str">
        <f t="shared" si="6"/>
        <v>11 (18%)</v>
      </c>
    </row>
    <row r="65" spans="2:21" s="94" customFormat="1" x14ac:dyDescent="0.25">
      <c r="B65" s="94" t="s">
        <v>156</v>
      </c>
      <c r="C65" s="94">
        <v>17</v>
      </c>
      <c r="D65" s="94">
        <v>5</v>
      </c>
      <c r="E65" s="94">
        <v>4</v>
      </c>
      <c r="F65" s="94">
        <v>5</v>
      </c>
      <c r="G65" s="94">
        <v>4</v>
      </c>
      <c r="H65" s="94">
        <v>35</v>
      </c>
      <c r="I65" s="95">
        <v>1</v>
      </c>
      <c r="J65" s="95">
        <v>0.55555555555555558</v>
      </c>
      <c r="K65" s="95">
        <v>0.36363636363636365</v>
      </c>
      <c r="L65" s="95">
        <v>0.23809523809523808</v>
      </c>
      <c r="M65" s="95">
        <v>0.5714285714285714</v>
      </c>
      <c r="N65" s="95">
        <v>0.58333333333333337</v>
      </c>
      <c r="P65" s="94" t="str">
        <f t="shared" si="1"/>
        <v>17 (100%)</v>
      </c>
      <c r="Q65" s="94" t="str">
        <f t="shared" si="2"/>
        <v>5 (56%)</v>
      </c>
      <c r="R65" s="94" t="str">
        <f t="shared" si="3"/>
        <v>4 (36%)</v>
      </c>
      <c r="S65" s="94" t="str">
        <f t="shared" si="4"/>
        <v>5 (24%)</v>
      </c>
      <c r="T65" s="94" t="str">
        <f t="shared" si="5"/>
        <v>4 (57%)</v>
      </c>
      <c r="U65" s="94" t="str">
        <f t="shared" si="6"/>
        <v>35 (58%)</v>
      </c>
    </row>
    <row r="66" spans="2:21" s="94" customFormat="1" x14ac:dyDescent="0.25">
      <c r="B66" s="94" t="s">
        <v>215</v>
      </c>
      <c r="C66" s="94">
        <v>0</v>
      </c>
      <c r="D66" s="94">
        <v>0</v>
      </c>
      <c r="E66" s="94">
        <v>0</v>
      </c>
      <c r="F66" s="94">
        <v>0</v>
      </c>
      <c r="G66" s="94">
        <v>2</v>
      </c>
      <c r="H66" s="94">
        <v>2</v>
      </c>
      <c r="I66" s="95">
        <v>0</v>
      </c>
      <c r="J66" s="95">
        <v>0</v>
      </c>
      <c r="K66" s="95">
        <v>0</v>
      </c>
      <c r="L66" s="95">
        <v>0</v>
      </c>
      <c r="M66" s="95">
        <v>0.2857142857142857</v>
      </c>
      <c r="N66" s="95">
        <v>3.3333333333333333E-2</v>
      </c>
      <c r="P66" s="94" t="str">
        <f t="shared" si="1"/>
        <v>0 (0%)</v>
      </c>
      <c r="Q66" s="94" t="str">
        <f t="shared" si="2"/>
        <v>0 (0%)</v>
      </c>
      <c r="R66" s="94" t="str">
        <f t="shared" si="3"/>
        <v>0 (0%)</v>
      </c>
      <c r="S66" s="94" t="str">
        <f t="shared" si="4"/>
        <v>0 (0%)</v>
      </c>
      <c r="T66" s="94" t="str">
        <f t="shared" si="5"/>
        <v>2 (29%)</v>
      </c>
      <c r="U66" s="94" t="str">
        <f t="shared" si="6"/>
        <v>2 (3%)</v>
      </c>
    </row>
    <row r="67" spans="2:21" s="39" customFormat="1" x14ac:dyDescent="0.25">
      <c r="B67" s="39" t="s">
        <v>800</v>
      </c>
      <c r="C67" s="39">
        <v>8</v>
      </c>
      <c r="D67" s="39">
        <v>2</v>
      </c>
      <c r="E67" s="39">
        <v>3</v>
      </c>
      <c r="F67" s="39">
        <v>9</v>
      </c>
      <c r="G67" s="39">
        <v>1</v>
      </c>
      <c r="H67" s="39">
        <v>23</v>
      </c>
      <c r="I67" s="93">
        <v>0.47058823529411764</v>
      </c>
      <c r="J67" s="93">
        <v>0.22222222222222221</v>
      </c>
      <c r="K67" s="93">
        <v>0.27272727272727271</v>
      </c>
      <c r="L67" s="93">
        <v>0.42857142857142855</v>
      </c>
      <c r="M67" s="93">
        <v>0.14285714285714285</v>
      </c>
      <c r="N67" s="93">
        <v>0.3833333333333333</v>
      </c>
      <c r="P67" s="39" t="str">
        <f t="shared" si="1"/>
        <v>8 (47%)</v>
      </c>
      <c r="Q67" s="39" t="str">
        <f t="shared" si="2"/>
        <v>2 (22%)</v>
      </c>
      <c r="R67" s="39" t="str">
        <f t="shared" si="3"/>
        <v>3 (27%)</v>
      </c>
      <c r="S67" s="39" t="str">
        <f t="shared" si="4"/>
        <v>9 (43%)</v>
      </c>
      <c r="T67" s="39" t="str">
        <f t="shared" si="5"/>
        <v>1 (14%)</v>
      </c>
      <c r="U67" s="39" t="str">
        <f t="shared" si="6"/>
        <v>23 (38%)</v>
      </c>
    </row>
    <row r="68" spans="2:21" s="94" customFormat="1" x14ac:dyDescent="0.25">
      <c r="B68" s="94" t="s">
        <v>327</v>
      </c>
      <c r="C68" s="94">
        <v>0</v>
      </c>
      <c r="D68" s="94">
        <v>0</v>
      </c>
      <c r="E68" s="94">
        <v>1</v>
      </c>
      <c r="F68" s="94">
        <v>0</v>
      </c>
      <c r="G68" s="94">
        <v>0</v>
      </c>
      <c r="H68" s="94">
        <v>1</v>
      </c>
      <c r="I68" s="95">
        <v>0</v>
      </c>
      <c r="J68" s="95">
        <v>0</v>
      </c>
      <c r="K68" s="95">
        <v>9.0909090909090912E-2</v>
      </c>
      <c r="L68" s="95">
        <v>0</v>
      </c>
      <c r="M68" s="95">
        <v>0</v>
      </c>
      <c r="N68" s="95">
        <v>1.6666666666666666E-2</v>
      </c>
      <c r="P68" s="94" t="str">
        <f t="shared" si="1"/>
        <v>0 (0%)</v>
      </c>
      <c r="Q68" s="94" t="str">
        <f t="shared" si="2"/>
        <v>0 (0%)</v>
      </c>
      <c r="R68" s="94" t="str">
        <f t="shared" si="3"/>
        <v>1 (9%)</v>
      </c>
      <c r="S68" s="94" t="str">
        <f t="shared" si="4"/>
        <v>0 (0%)</v>
      </c>
      <c r="T68" s="94" t="str">
        <f t="shared" si="5"/>
        <v>0 (0%)</v>
      </c>
      <c r="U68" s="94" t="str">
        <f t="shared" si="6"/>
        <v>1 (2%)</v>
      </c>
    </row>
    <row r="69" spans="2:21" s="94" customFormat="1" x14ac:dyDescent="0.25">
      <c r="B69" s="94" t="s">
        <v>568</v>
      </c>
      <c r="C69" s="94">
        <v>0</v>
      </c>
      <c r="D69" s="94">
        <v>0</v>
      </c>
      <c r="E69" s="94">
        <v>0</v>
      </c>
      <c r="F69" s="94">
        <v>1</v>
      </c>
      <c r="G69" s="94">
        <v>0</v>
      </c>
      <c r="H69" s="94">
        <v>1</v>
      </c>
      <c r="I69" s="95">
        <v>0</v>
      </c>
      <c r="J69" s="95">
        <v>0</v>
      </c>
      <c r="K69" s="95">
        <v>0</v>
      </c>
      <c r="L69" s="95">
        <v>4.7619047619047616E-2</v>
      </c>
      <c r="M69" s="95">
        <v>0</v>
      </c>
      <c r="N69" s="95">
        <v>1.6666666666666666E-2</v>
      </c>
      <c r="P69" s="94" t="str">
        <f t="shared" si="1"/>
        <v>0 (0%)</v>
      </c>
      <c r="Q69" s="94" t="str">
        <f t="shared" si="2"/>
        <v>0 (0%)</v>
      </c>
      <c r="R69" s="94" t="str">
        <f t="shared" si="3"/>
        <v>0 (0%)</v>
      </c>
      <c r="S69" s="94" t="str">
        <f t="shared" si="4"/>
        <v>1 (5%)</v>
      </c>
      <c r="T69" s="94" t="str">
        <f t="shared" si="5"/>
        <v>0 (0%)</v>
      </c>
      <c r="U69" s="94" t="str">
        <f t="shared" si="6"/>
        <v>1 (2%)</v>
      </c>
    </row>
    <row r="70" spans="2:21" s="94" customFormat="1" x14ac:dyDescent="0.25">
      <c r="B70" s="94" t="s">
        <v>178</v>
      </c>
      <c r="C70" s="94">
        <v>5</v>
      </c>
      <c r="D70" s="94">
        <v>2</v>
      </c>
      <c r="E70" s="94">
        <v>2</v>
      </c>
      <c r="F70" s="94">
        <v>6</v>
      </c>
      <c r="G70" s="94">
        <v>1</v>
      </c>
      <c r="H70" s="94">
        <v>16</v>
      </c>
      <c r="I70" s="95">
        <v>0.29411764705882354</v>
      </c>
      <c r="J70" s="95">
        <v>0.22222222222222221</v>
      </c>
      <c r="K70" s="95">
        <v>0.18181818181818182</v>
      </c>
      <c r="L70" s="95">
        <v>0.2857142857142857</v>
      </c>
      <c r="M70" s="95">
        <v>0.14285714285714285</v>
      </c>
      <c r="N70" s="95">
        <v>0.26666666666666666</v>
      </c>
      <c r="P70" s="94" t="str">
        <f t="shared" si="1"/>
        <v>5 (29%)</v>
      </c>
      <c r="Q70" s="94" t="str">
        <f t="shared" si="2"/>
        <v>2 (22%)</v>
      </c>
      <c r="R70" s="94" t="str">
        <f t="shared" si="3"/>
        <v>2 (18%)</v>
      </c>
      <c r="S70" s="94" t="str">
        <f t="shared" si="4"/>
        <v>6 (29%)</v>
      </c>
      <c r="T70" s="94" t="str">
        <f t="shared" si="5"/>
        <v>1 (14%)</v>
      </c>
      <c r="U70" s="94" t="str">
        <f t="shared" si="6"/>
        <v>16 (27%)</v>
      </c>
    </row>
    <row r="71" spans="2:21" s="94" customFormat="1" x14ac:dyDescent="0.25">
      <c r="B71" s="94" t="s">
        <v>552</v>
      </c>
      <c r="C71" s="94">
        <v>1</v>
      </c>
      <c r="D71" s="94">
        <v>0</v>
      </c>
      <c r="E71" s="94">
        <v>0</v>
      </c>
      <c r="F71" s="94">
        <v>0</v>
      </c>
      <c r="G71" s="94">
        <v>0</v>
      </c>
      <c r="H71" s="94">
        <v>1</v>
      </c>
      <c r="I71" s="95">
        <v>5.8823529411764705E-2</v>
      </c>
      <c r="J71" s="95">
        <v>0</v>
      </c>
      <c r="K71" s="95">
        <v>0</v>
      </c>
      <c r="L71" s="95">
        <v>0</v>
      </c>
      <c r="M71" s="95">
        <v>0</v>
      </c>
      <c r="N71" s="95">
        <v>1.6666666666666666E-2</v>
      </c>
      <c r="P71" s="94" t="str">
        <f t="shared" si="1"/>
        <v>1 (6%)</v>
      </c>
      <c r="Q71" s="94" t="str">
        <f t="shared" si="2"/>
        <v>0 (0%)</v>
      </c>
      <c r="R71" s="94" t="str">
        <f t="shared" si="3"/>
        <v>0 (0%)</v>
      </c>
      <c r="S71" s="94" t="str">
        <f t="shared" si="4"/>
        <v>0 (0%)</v>
      </c>
      <c r="T71" s="94" t="str">
        <f t="shared" si="5"/>
        <v>0 (0%)</v>
      </c>
      <c r="U71" s="94" t="str">
        <f t="shared" si="6"/>
        <v>1 (2%)</v>
      </c>
    </row>
    <row r="72" spans="2:21" s="94" customFormat="1" x14ac:dyDescent="0.25">
      <c r="B72" s="94" t="s">
        <v>165</v>
      </c>
      <c r="C72" s="94">
        <v>2</v>
      </c>
      <c r="D72" s="94">
        <v>0</v>
      </c>
      <c r="E72" s="94">
        <v>0</v>
      </c>
      <c r="F72" s="94">
        <v>2</v>
      </c>
      <c r="G72" s="94">
        <v>0</v>
      </c>
      <c r="H72" s="94">
        <v>4</v>
      </c>
      <c r="I72" s="95">
        <v>0.11764705882352941</v>
      </c>
      <c r="J72" s="95">
        <v>0</v>
      </c>
      <c r="K72" s="95">
        <v>0</v>
      </c>
      <c r="L72" s="95">
        <v>9.5238095238095233E-2</v>
      </c>
      <c r="M72" s="95">
        <v>0</v>
      </c>
      <c r="N72" s="95">
        <v>6.6666666666666666E-2</v>
      </c>
      <c r="P72" s="94" t="str">
        <f t="shared" si="1"/>
        <v>2 (12%)</v>
      </c>
      <c r="Q72" s="94" t="str">
        <f t="shared" si="2"/>
        <v>0 (0%)</v>
      </c>
      <c r="R72" s="94" t="str">
        <f t="shared" si="3"/>
        <v>0 (0%)</v>
      </c>
      <c r="S72" s="94" t="str">
        <f t="shared" si="4"/>
        <v>2 (10%)</v>
      </c>
      <c r="T72" s="94" t="str">
        <f t="shared" si="5"/>
        <v>0 (0%)</v>
      </c>
      <c r="U72" s="94" t="str">
        <f t="shared" si="6"/>
        <v>4 (7%)</v>
      </c>
    </row>
    <row r="73" spans="2:21" s="39" customFormat="1" x14ac:dyDescent="0.25">
      <c r="B73" s="39" t="s">
        <v>801</v>
      </c>
      <c r="C73" s="39">
        <v>8</v>
      </c>
      <c r="D73" s="39">
        <v>8</v>
      </c>
      <c r="E73" s="39">
        <v>1</v>
      </c>
      <c r="F73" s="39">
        <v>6</v>
      </c>
      <c r="G73" s="39">
        <v>1</v>
      </c>
      <c r="H73" s="39">
        <v>24</v>
      </c>
      <c r="I73" s="93">
        <v>0.4705882352941177</v>
      </c>
      <c r="J73" s="93">
        <v>0.88888888888888884</v>
      </c>
      <c r="K73" s="93">
        <v>9.0909090909090912E-2</v>
      </c>
      <c r="L73" s="93">
        <v>0.2857142857142857</v>
      </c>
      <c r="M73" s="93">
        <v>0.14285714285714285</v>
      </c>
      <c r="N73" s="93">
        <v>0.4</v>
      </c>
      <c r="P73" s="39" t="str">
        <f t="shared" si="1"/>
        <v>8 (47%)</v>
      </c>
      <c r="Q73" s="39" t="str">
        <f t="shared" si="2"/>
        <v>8 (89%)</v>
      </c>
      <c r="R73" s="39" t="str">
        <f t="shared" si="3"/>
        <v>1 (9%)</v>
      </c>
      <c r="S73" s="39" t="str">
        <f t="shared" si="4"/>
        <v>6 (29%)</v>
      </c>
      <c r="T73" s="39" t="str">
        <f t="shared" si="5"/>
        <v>1 (14%)</v>
      </c>
      <c r="U73" s="39" t="str">
        <f t="shared" si="6"/>
        <v>24 (40%)</v>
      </c>
    </row>
    <row r="74" spans="2:21" s="94" customFormat="1" x14ac:dyDescent="0.25">
      <c r="B74" s="94" t="s">
        <v>216</v>
      </c>
      <c r="C74" s="94">
        <v>1</v>
      </c>
      <c r="D74" s="94">
        <v>0</v>
      </c>
      <c r="E74" s="94">
        <v>0</v>
      </c>
      <c r="F74" s="94">
        <v>0</v>
      </c>
      <c r="G74" s="94">
        <v>0</v>
      </c>
      <c r="H74" s="94">
        <v>1</v>
      </c>
      <c r="I74" s="95">
        <v>5.8823529411764705E-2</v>
      </c>
      <c r="J74" s="95">
        <v>0</v>
      </c>
      <c r="K74" s="95">
        <v>0</v>
      </c>
      <c r="L74" s="95">
        <v>0</v>
      </c>
      <c r="M74" s="95">
        <v>0</v>
      </c>
      <c r="N74" s="95">
        <v>1.6666666666666666E-2</v>
      </c>
      <c r="P74" s="94" t="str">
        <f t="shared" si="1"/>
        <v>1 (6%)</v>
      </c>
      <c r="Q74" s="94" t="str">
        <f t="shared" si="2"/>
        <v>0 (0%)</v>
      </c>
      <c r="R74" s="94" t="str">
        <f t="shared" si="3"/>
        <v>0 (0%)</v>
      </c>
      <c r="S74" s="94" t="str">
        <f t="shared" si="4"/>
        <v>0 (0%)</v>
      </c>
      <c r="T74" s="94" t="str">
        <f t="shared" si="5"/>
        <v>0 (0%)</v>
      </c>
      <c r="U74" s="94" t="str">
        <f t="shared" si="6"/>
        <v>1 (2%)</v>
      </c>
    </row>
    <row r="75" spans="2:21" s="94" customFormat="1" x14ac:dyDescent="0.25">
      <c r="B75" s="94" t="s">
        <v>354</v>
      </c>
      <c r="C75" s="94">
        <v>0</v>
      </c>
      <c r="D75" s="94">
        <v>1</v>
      </c>
      <c r="E75" s="94">
        <v>1</v>
      </c>
      <c r="F75" s="94">
        <v>0</v>
      </c>
      <c r="G75" s="94">
        <v>0</v>
      </c>
      <c r="H75" s="94">
        <v>2</v>
      </c>
      <c r="I75" s="95">
        <v>0</v>
      </c>
      <c r="J75" s="95">
        <v>0.1111111111111111</v>
      </c>
      <c r="K75" s="95">
        <v>9.0909090909090912E-2</v>
      </c>
      <c r="L75" s="95">
        <v>0</v>
      </c>
      <c r="M75" s="95">
        <v>0</v>
      </c>
      <c r="N75" s="95">
        <v>3.3333333333333333E-2</v>
      </c>
      <c r="P75" s="94" t="str">
        <f t="shared" si="1"/>
        <v>0 (0%)</v>
      </c>
      <c r="Q75" s="94" t="str">
        <f t="shared" si="2"/>
        <v>1 (11%)</v>
      </c>
      <c r="R75" s="94" t="str">
        <f t="shared" si="3"/>
        <v>1 (9%)</v>
      </c>
      <c r="S75" s="94" t="str">
        <f t="shared" si="4"/>
        <v>0 (0%)</v>
      </c>
      <c r="T75" s="94" t="str">
        <f t="shared" si="5"/>
        <v>0 (0%)</v>
      </c>
      <c r="U75" s="94" t="str">
        <f t="shared" si="6"/>
        <v>2 (3%)</v>
      </c>
    </row>
    <row r="76" spans="2:21" s="94" customFormat="1" x14ac:dyDescent="0.25">
      <c r="B76" s="94" t="s">
        <v>616</v>
      </c>
      <c r="C76" s="94">
        <v>0</v>
      </c>
      <c r="D76" s="94">
        <v>3</v>
      </c>
      <c r="E76" s="94">
        <v>0</v>
      </c>
      <c r="F76" s="94">
        <v>0</v>
      </c>
      <c r="G76" s="94">
        <v>0</v>
      </c>
      <c r="H76" s="94">
        <v>3</v>
      </c>
      <c r="I76" s="95">
        <v>0</v>
      </c>
      <c r="J76" s="95">
        <v>0.33333333333333331</v>
      </c>
      <c r="K76" s="95">
        <v>0</v>
      </c>
      <c r="L76" s="95">
        <v>0</v>
      </c>
      <c r="M76" s="95">
        <v>0</v>
      </c>
      <c r="N76" s="95">
        <v>0.05</v>
      </c>
      <c r="P76" s="94" t="str">
        <f t="shared" si="1"/>
        <v>0 (0%)</v>
      </c>
      <c r="Q76" s="94" t="str">
        <f t="shared" si="2"/>
        <v>3 (33%)</v>
      </c>
      <c r="R76" s="94" t="str">
        <f t="shared" si="3"/>
        <v>0 (0%)</v>
      </c>
      <c r="S76" s="94" t="str">
        <f t="shared" si="4"/>
        <v>0 (0%)</v>
      </c>
      <c r="T76" s="94" t="str">
        <f t="shared" si="5"/>
        <v>0 (0%)</v>
      </c>
      <c r="U76" s="94" t="str">
        <f t="shared" si="6"/>
        <v>3 (5%)</v>
      </c>
    </row>
    <row r="77" spans="2:21" s="94" customFormat="1" x14ac:dyDescent="0.25">
      <c r="B77" s="94" t="s">
        <v>313</v>
      </c>
      <c r="C77" s="94">
        <v>6</v>
      </c>
      <c r="D77" s="94">
        <v>4</v>
      </c>
      <c r="E77" s="94">
        <v>0</v>
      </c>
      <c r="F77" s="94">
        <v>6</v>
      </c>
      <c r="G77" s="94">
        <v>0</v>
      </c>
      <c r="H77" s="94">
        <v>16</v>
      </c>
      <c r="I77" s="95">
        <v>0.35294117647058826</v>
      </c>
      <c r="J77" s="95">
        <v>0.44444444444444442</v>
      </c>
      <c r="K77" s="95">
        <v>0</v>
      </c>
      <c r="L77" s="95">
        <v>0.2857142857142857</v>
      </c>
      <c r="M77" s="95">
        <v>0</v>
      </c>
      <c r="N77" s="95">
        <v>0.26666666666666666</v>
      </c>
      <c r="P77" s="94" t="str">
        <f t="shared" si="1"/>
        <v>6 (35%)</v>
      </c>
      <c r="Q77" s="94" t="str">
        <f t="shared" si="2"/>
        <v>4 (44%)</v>
      </c>
      <c r="R77" s="94" t="str">
        <f t="shared" si="3"/>
        <v>0 (0%)</v>
      </c>
      <c r="S77" s="94" t="str">
        <f t="shared" si="4"/>
        <v>6 (29%)</v>
      </c>
      <c r="T77" s="94" t="str">
        <f t="shared" si="5"/>
        <v>0 (0%)</v>
      </c>
      <c r="U77" s="94" t="str">
        <f t="shared" si="6"/>
        <v>16 (27%)</v>
      </c>
    </row>
    <row r="78" spans="2:21" s="94" customFormat="1" x14ac:dyDescent="0.25">
      <c r="B78" s="94" t="s">
        <v>403</v>
      </c>
      <c r="C78" s="94">
        <v>0</v>
      </c>
      <c r="D78" s="94">
        <v>0</v>
      </c>
      <c r="E78" s="94">
        <v>0</v>
      </c>
      <c r="F78" s="94">
        <v>0</v>
      </c>
      <c r="G78" s="94">
        <v>1</v>
      </c>
      <c r="H78" s="94">
        <v>1</v>
      </c>
      <c r="I78" s="95">
        <v>0</v>
      </c>
      <c r="J78" s="95">
        <v>0</v>
      </c>
      <c r="K78" s="95">
        <v>0</v>
      </c>
      <c r="L78" s="95">
        <v>0</v>
      </c>
      <c r="M78" s="95">
        <v>0.14285714285714285</v>
      </c>
      <c r="N78" s="95">
        <v>1.6666666666666666E-2</v>
      </c>
      <c r="P78" s="94" t="str">
        <f t="shared" si="1"/>
        <v>0 (0%)</v>
      </c>
      <c r="Q78" s="94" t="str">
        <f t="shared" si="2"/>
        <v>0 (0%)</v>
      </c>
      <c r="R78" s="94" t="str">
        <f t="shared" si="3"/>
        <v>0 (0%)</v>
      </c>
      <c r="S78" s="94" t="str">
        <f t="shared" si="4"/>
        <v>0 (0%)</v>
      </c>
      <c r="T78" s="94" t="str">
        <f t="shared" si="5"/>
        <v>1 (14%)</v>
      </c>
      <c r="U78" s="94" t="str">
        <f t="shared" si="6"/>
        <v>1 (2%)</v>
      </c>
    </row>
    <row r="79" spans="2:21" s="94" customFormat="1" x14ac:dyDescent="0.25">
      <c r="B79" s="94" t="s">
        <v>460</v>
      </c>
      <c r="C79" s="94">
        <v>1</v>
      </c>
      <c r="D79" s="94">
        <v>0</v>
      </c>
      <c r="E79" s="94">
        <v>0</v>
      </c>
      <c r="F79" s="94">
        <v>0</v>
      </c>
      <c r="G79" s="94">
        <v>0</v>
      </c>
      <c r="H79" s="94">
        <v>1</v>
      </c>
      <c r="I79" s="95">
        <v>5.8823529411764705E-2</v>
      </c>
      <c r="J79" s="95">
        <v>0</v>
      </c>
      <c r="K79" s="95">
        <v>0</v>
      </c>
      <c r="L79" s="95">
        <v>0</v>
      </c>
      <c r="M79" s="95">
        <v>0</v>
      </c>
      <c r="N79" s="95">
        <v>1.6666666666666666E-2</v>
      </c>
      <c r="P79" s="94" t="str">
        <f t="shared" si="1"/>
        <v>1 (6%)</v>
      </c>
      <c r="Q79" s="94" t="str">
        <f t="shared" si="2"/>
        <v>0 (0%)</v>
      </c>
      <c r="R79" s="94" t="str">
        <f t="shared" si="3"/>
        <v>0 (0%)</v>
      </c>
      <c r="S79" s="94" t="str">
        <f t="shared" si="4"/>
        <v>0 (0%)</v>
      </c>
      <c r="T79" s="94" t="str">
        <f t="shared" si="5"/>
        <v>0 (0%)</v>
      </c>
      <c r="U79" s="94" t="str">
        <f t="shared" si="6"/>
        <v>1 (2%)</v>
      </c>
    </row>
    <row r="80" spans="2:21" s="39" customFormat="1" x14ac:dyDescent="0.25">
      <c r="B80" s="39" t="s">
        <v>802</v>
      </c>
      <c r="C80" s="39">
        <v>28</v>
      </c>
      <c r="D80" s="39">
        <v>22</v>
      </c>
      <c r="E80" s="39">
        <v>25</v>
      </c>
      <c r="F80" s="39">
        <v>44</v>
      </c>
      <c r="G80" s="39">
        <v>7</v>
      </c>
      <c r="H80" s="39">
        <v>126</v>
      </c>
      <c r="I80" s="93">
        <v>1.6470588235294117</v>
      </c>
      <c r="J80" s="93">
        <v>2.4444444444444446</v>
      </c>
      <c r="K80" s="93">
        <v>2.2727272727272725</v>
      </c>
      <c r="L80" s="93">
        <v>2.0952380952380953</v>
      </c>
      <c r="M80" s="93">
        <v>1</v>
      </c>
      <c r="N80" s="93">
        <v>2.0999999999999996</v>
      </c>
      <c r="P80" s="39" t="str">
        <f t="shared" si="1"/>
        <v>28 (165%)</v>
      </c>
      <c r="Q80" s="39" t="str">
        <f t="shared" si="2"/>
        <v>22 (244%)</v>
      </c>
      <c r="R80" s="39" t="str">
        <f t="shared" si="3"/>
        <v>25 (227%)</v>
      </c>
      <c r="S80" s="39" t="str">
        <f t="shared" si="4"/>
        <v>44 (210%)</v>
      </c>
      <c r="T80" s="39" t="str">
        <f t="shared" si="5"/>
        <v>7 (100%)</v>
      </c>
      <c r="U80" s="39" t="str">
        <f t="shared" si="6"/>
        <v>126 (210%)</v>
      </c>
    </row>
    <row r="81" spans="2:21" s="94" customFormat="1" x14ac:dyDescent="0.25">
      <c r="B81" s="94" t="s">
        <v>274</v>
      </c>
      <c r="C81" s="94">
        <v>2</v>
      </c>
      <c r="D81" s="94">
        <v>7</v>
      </c>
      <c r="E81" s="94">
        <v>7</v>
      </c>
      <c r="F81" s="94">
        <v>10</v>
      </c>
      <c r="G81" s="94">
        <v>2</v>
      </c>
      <c r="H81" s="94">
        <v>28</v>
      </c>
      <c r="I81" s="95">
        <v>0.11764705882352941</v>
      </c>
      <c r="J81" s="95">
        <v>0.77777777777777779</v>
      </c>
      <c r="K81" s="95">
        <v>0.63636363636363635</v>
      </c>
      <c r="L81" s="95">
        <v>0.47619047619047616</v>
      </c>
      <c r="M81" s="95">
        <v>0.2857142857142857</v>
      </c>
      <c r="N81" s="95">
        <v>0.46666666666666667</v>
      </c>
      <c r="P81" s="94" t="str">
        <f t="shared" si="1"/>
        <v>2 (12%)</v>
      </c>
      <c r="Q81" s="94" t="str">
        <f t="shared" si="2"/>
        <v>7 (78%)</v>
      </c>
      <c r="R81" s="94" t="str">
        <f t="shared" si="3"/>
        <v>7 (64%)</v>
      </c>
      <c r="S81" s="94" t="str">
        <f t="shared" si="4"/>
        <v>10 (48%)</v>
      </c>
      <c r="T81" s="94" t="str">
        <f t="shared" si="5"/>
        <v>2 (29%)</v>
      </c>
      <c r="U81" s="94" t="str">
        <f t="shared" si="6"/>
        <v>28 (47%)</v>
      </c>
    </row>
    <row r="82" spans="2:21" s="94" customFormat="1" x14ac:dyDescent="0.25">
      <c r="B82" s="94" t="s">
        <v>196</v>
      </c>
      <c r="C82" s="94">
        <v>4</v>
      </c>
      <c r="D82" s="94">
        <v>5</v>
      </c>
      <c r="E82" s="94">
        <v>5</v>
      </c>
      <c r="F82" s="94">
        <v>10</v>
      </c>
      <c r="G82" s="94">
        <v>0</v>
      </c>
      <c r="H82" s="94">
        <v>24</v>
      </c>
      <c r="I82" s="95">
        <v>0.23529411764705882</v>
      </c>
      <c r="J82" s="95">
        <v>0.55555555555555558</v>
      </c>
      <c r="K82" s="95">
        <v>0.45454545454545453</v>
      </c>
      <c r="L82" s="95">
        <v>0.47619047619047616</v>
      </c>
      <c r="M82" s="95">
        <v>0</v>
      </c>
      <c r="N82" s="95">
        <v>0.4</v>
      </c>
      <c r="P82" s="94" t="str">
        <f t="shared" si="1"/>
        <v>4 (24%)</v>
      </c>
      <c r="Q82" s="94" t="str">
        <f t="shared" si="2"/>
        <v>5 (56%)</v>
      </c>
      <c r="R82" s="94" t="str">
        <f t="shared" si="3"/>
        <v>5 (45%)</v>
      </c>
      <c r="S82" s="94" t="str">
        <f t="shared" si="4"/>
        <v>10 (48%)</v>
      </c>
      <c r="T82" s="94" t="str">
        <f t="shared" si="5"/>
        <v>0 (0%)</v>
      </c>
      <c r="U82" s="94" t="str">
        <f t="shared" si="6"/>
        <v>24 (40%)</v>
      </c>
    </row>
    <row r="83" spans="2:21" s="94" customFormat="1" x14ac:dyDescent="0.25">
      <c r="B83" s="94" t="s">
        <v>302</v>
      </c>
      <c r="C83" s="94">
        <v>14</v>
      </c>
      <c r="D83" s="94">
        <v>9</v>
      </c>
      <c r="E83" s="94">
        <v>11</v>
      </c>
      <c r="F83" s="94">
        <v>21</v>
      </c>
      <c r="G83" s="94">
        <v>5</v>
      </c>
      <c r="H83" s="94">
        <v>60</v>
      </c>
      <c r="I83" s="95">
        <v>0.82352941176470584</v>
      </c>
      <c r="J83" s="95">
        <v>1</v>
      </c>
      <c r="K83" s="95">
        <v>1</v>
      </c>
      <c r="L83" s="95">
        <v>1</v>
      </c>
      <c r="M83" s="95">
        <v>0.7142857142857143</v>
      </c>
      <c r="N83" s="95">
        <v>1</v>
      </c>
      <c r="P83" s="94" t="str">
        <f t="shared" si="1"/>
        <v>14 (82%)</v>
      </c>
      <c r="Q83" s="94" t="str">
        <f t="shared" si="2"/>
        <v>9 (100%)</v>
      </c>
      <c r="R83" s="94" t="str">
        <f t="shared" si="3"/>
        <v>11 (100%)</v>
      </c>
      <c r="S83" s="94" t="str">
        <f t="shared" si="4"/>
        <v>21 (100%)</v>
      </c>
      <c r="T83" s="94" t="str">
        <f t="shared" si="5"/>
        <v>5 (71%)</v>
      </c>
      <c r="U83" s="94" t="str">
        <f t="shared" si="6"/>
        <v>60 (100%)</v>
      </c>
    </row>
    <row r="84" spans="2:21" s="94" customFormat="1" x14ac:dyDescent="0.25">
      <c r="B84" s="94" t="s">
        <v>608</v>
      </c>
      <c r="C84" s="94">
        <v>0</v>
      </c>
      <c r="D84" s="94">
        <v>0</v>
      </c>
      <c r="E84" s="94">
        <v>0</v>
      </c>
      <c r="F84" s="94">
        <v>1</v>
      </c>
      <c r="G84" s="94">
        <v>0</v>
      </c>
      <c r="H84" s="94">
        <v>1</v>
      </c>
      <c r="I84" s="95">
        <v>0</v>
      </c>
      <c r="J84" s="95">
        <v>0</v>
      </c>
      <c r="K84" s="95">
        <v>0</v>
      </c>
      <c r="L84" s="95">
        <v>4.7619047619047616E-2</v>
      </c>
      <c r="M84" s="95">
        <v>0</v>
      </c>
      <c r="N84" s="95">
        <v>1.6666666666666666E-2</v>
      </c>
      <c r="P84" s="94" t="str">
        <f t="shared" si="1"/>
        <v>0 (0%)</v>
      </c>
      <c r="Q84" s="94" t="str">
        <f t="shared" si="2"/>
        <v>0 (0%)</v>
      </c>
      <c r="R84" s="94" t="str">
        <f t="shared" si="3"/>
        <v>0 (0%)</v>
      </c>
      <c r="S84" s="94" t="str">
        <f t="shared" si="4"/>
        <v>1 (5%)</v>
      </c>
      <c r="T84" s="94" t="str">
        <f t="shared" si="5"/>
        <v>0 (0%)</v>
      </c>
      <c r="U84" s="94" t="str">
        <f t="shared" si="6"/>
        <v>1 (2%)</v>
      </c>
    </row>
    <row r="85" spans="2:21" s="94" customFormat="1" x14ac:dyDescent="0.25">
      <c r="B85" s="94" t="s">
        <v>458</v>
      </c>
      <c r="C85" s="94">
        <v>6</v>
      </c>
      <c r="D85" s="94">
        <v>1</v>
      </c>
      <c r="E85" s="94">
        <v>2</v>
      </c>
      <c r="F85" s="94">
        <v>2</v>
      </c>
      <c r="G85" s="94">
        <v>0</v>
      </c>
      <c r="H85" s="94">
        <v>11</v>
      </c>
      <c r="I85" s="95">
        <v>0.35294117647058826</v>
      </c>
      <c r="J85" s="95">
        <v>0.1111111111111111</v>
      </c>
      <c r="K85" s="95">
        <v>0.18181818181818182</v>
      </c>
      <c r="L85" s="95">
        <v>9.5238095238095233E-2</v>
      </c>
      <c r="M85" s="95">
        <v>0</v>
      </c>
      <c r="N85" s="95">
        <v>0.18333333333333332</v>
      </c>
      <c r="P85" s="94" t="str">
        <f t="shared" si="1"/>
        <v>6 (35%)</v>
      </c>
      <c r="Q85" s="94" t="str">
        <f t="shared" si="2"/>
        <v>1 (11%)</v>
      </c>
      <c r="R85" s="94" t="str">
        <f t="shared" si="3"/>
        <v>2 (18%)</v>
      </c>
      <c r="S85" s="94" t="str">
        <f t="shared" si="4"/>
        <v>2 (10%)</v>
      </c>
      <c r="T85" s="94" t="str">
        <f t="shared" si="5"/>
        <v>0 (0%)</v>
      </c>
      <c r="U85" s="94" t="str">
        <f t="shared" si="6"/>
        <v>11 (18%)</v>
      </c>
    </row>
    <row r="86" spans="2:21" s="94" customFormat="1" x14ac:dyDescent="0.25">
      <c r="B86" s="94" t="s">
        <v>429</v>
      </c>
      <c r="C86" s="94">
        <v>2</v>
      </c>
      <c r="D86" s="94">
        <v>0</v>
      </c>
      <c r="E86" s="94">
        <v>0</v>
      </c>
      <c r="F86" s="94">
        <v>0</v>
      </c>
      <c r="G86" s="94">
        <v>0</v>
      </c>
      <c r="H86" s="94">
        <v>2</v>
      </c>
      <c r="I86" s="95">
        <v>0.11764705882352941</v>
      </c>
      <c r="J86" s="95">
        <v>0</v>
      </c>
      <c r="K86" s="95">
        <v>0</v>
      </c>
      <c r="L86" s="95">
        <v>0</v>
      </c>
      <c r="M86" s="95">
        <v>0</v>
      </c>
      <c r="N86" s="95">
        <v>3.3333333333333333E-2</v>
      </c>
      <c r="P86" s="94" t="str">
        <f t="shared" si="1"/>
        <v>2 (12%)</v>
      </c>
      <c r="Q86" s="94" t="str">
        <f t="shared" si="2"/>
        <v>0 (0%)</v>
      </c>
      <c r="R86" s="94" t="str">
        <f t="shared" si="3"/>
        <v>0 (0%)</v>
      </c>
      <c r="S86" s="94" t="str">
        <f t="shared" si="4"/>
        <v>0 (0%)</v>
      </c>
      <c r="T86" s="94" t="str">
        <f t="shared" si="5"/>
        <v>0 (0%)</v>
      </c>
      <c r="U86" s="94" t="str">
        <f t="shared" si="6"/>
        <v>2 (3%)</v>
      </c>
    </row>
    <row r="87" spans="2:21" s="39" customFormat="1" x14ac:dyDescent="0.25">
      <c r="B87" s="39" t="s">
        <v>803</v>
      </c>
      <c r="C87" s="39">
        <v>11</v>
      </c>
      <c r="D87" s="39">
        <v>5</v>
      </c>
      <c r="E87" s="39">
        <v>15</v>
      </c>
      <c r="F87" s="39">
        <v>15</v>
      </c>
      <c r="G87" s="39">
        <v>7</v>
      </c>
      <c r="H87" s="39">
        <v>53</v>
      </c>
      <c r="I87" s="93">
        <v>0.6470588235294118</v>
      </c>
      <c r="J87" s="93">
        <v>0.55555555555555558</v>
      </c>
      <c r="K87" s="93">
        <v>1.3636363636363635</v>
      </c>
      <c r="L87" s="93">
        <v>0.71428571428571419</v>
      </c>
      <c r="M87" s="93">
        <v>1</v>
      </c>
      <c r="N87" s="93">
        <v>0.8833333333333333</v>
      </c>
      <c r="P87" s="39" t="str">
        <f t="shared" si="1"/>
        <v>11 (65%)</v>
      </c>
      <c r="Q87" s="39" t="str">
        <f t="shared" si="2"/>
        <v>5 (56%)</v>
      </c>
      <c r="R87" s="39" t="str">
        <f t="shared" si="3"/>
        <v>15 (136%)</v>
      </c>
      <c r="S87" s="39" t="str">
        <f t="shared" si="4"/>
        <v>15 (71%)</v>
      </c>
      <c r="T87" s="39" t="str">
        <f t="shared" si="5"/>
        <v>7 (100%)</v>
      </c>
      <c r="U87" s="39" t="str">
        <f t="shared" si="6"/>
        <v>53 (88%)</v>
      </c>
    </row>
    <row r="88" spans="2:21" s="94" customFormat="1" x14ac:dyDescent="0.25">
      <c r="B88" s="94" t="s">
        <v>179</v>
      </c>
      <c r="C88" s="94">
        <v>2</v>
      </c>
      <c r="D88" s="94">
        <v>4</v>
      </c>
      <c r="E88" s="94">
        <v>0</v>
      </c>
      <c r="F88" s="94">
        <v>5</v>
      </c>
      <c r="G88" s="94">
        <v>0</v>
      </c>
      <c r="H88" s="94">
        <v>11</v>
      </c>
      <c r="I88" s="95">
        <v>0.11764705882352941</v>
      </c>
      <c r="J88" s="95">
        <v>0.44444444444444442</v>
      </c>
      <c r="K88" s="95">
        <v>0</v>
      </c>
      <c r="L88" s="95">
        <v>0.23809523809523808</v>
      </c>
      <c r="M88" s="95">
        <v>0</v>
      </c>
      <c r="N88" s="95">
        <v>0.18333333333333332</v>
      </c>
      <c r="P88" s="94" t="str">
        <f t="shared" si="1"/>
        <v>2 (12%)</v>
      </c>
      <c r="Q88" s="94" t="str">
        <f t="shared" si="2"/>
        <v>4 (44%)</v>
      </c>
      <c r="R88" s="94" t="str">
        <f t="shared" si="3"/>
        <v>0 (0%)</v>
      </c>
      <c r="S88" s="94" t="str">
        <f t="shared" si="4"/>
        <v>5 (24%)</v>
      </c>
      <c r="T88" s="94" t="str">
        <f t="shared" si="5"/>
        <v>0 (0%)</v>
      </c>
      <c r="U88" s="94" t="str">
        <f t="shared" si="6"/>
        <v>11 (18%)</v>
      </c>
    </row>
    <row r="89" spans="2:21" s="94" customFormat="1" x14ac:dyDescent="0.25">
      <c r="B89" s="94" t="s">
        <v>577</v>
      </c>
      <c r="C89" s="94">
        <v>0</v>
      </c>
      <c r="D89" s="94">
        <v>0</v>
      </c>
      <c r="E89" s="94">
        <v>0</v>
      </c>
      <c r="F89" s="94">
        <v>1</v>
      </c>
      <c r="G89" s="94">
        <v>0</v>
      </c>
      <c r="H89" s="94">
        <v>1</v>
      </c>
      <c r="I89" s="95">
        <v>0</v>
      </c>
      <c r="J89" s="95">
        <v>0</v>
      </c>
      <c r="K89" s="95">
        <v>0</v>
      </c>
      <c r="L89" s="95">
        <v>4.7619047619047616E-2</v>
      </c>
      <c r="M89" s="95">
        <v>0</v>
      </c>
      <c r="N89" s="95">
        <v>1.6666666666666666E-2</v>
      </c>
      <c r="P89" s="94" t="str">
        <f t="shared" si="1"/>
        <v>0 (0%)</v>
      </c>
      <c r="Q89" s="94" t="str">
        <f t="shared" si="2"/>
        <v>0 (0%)</v>
      </c>
      <c r="R89" s="94" t="str">
        <f t="shared" si="3"/>
        <v>0 (0%)</v>
      </c>
      <c r="S89" s="94" t="str">
        <f t="shared" si="4"/>
        <v>1 (5%)</v>
      </c>
      <c r="T89" s="94" t="str">
        <f t="shared" si="5"/>
        <v>0 (0%)</v>
      </c>
      <c r="U89" s="94" t="str">
        <f t="shared" si="6"/>
        <v>1 (2%)</v>
      </c>
    </row>
    <row r="90" spans="2:21" s="94" customFormat="1" x14ac:dyDescent="0.25">
      <c r="B90" s="94" t="s">
        <v>243</v>
      </c>
      <c r="C90" s="94">
        <v>0</v>
      </c>
      <c r="D90" s="94">
        <v>0</v>
      </c>
      <c r="E90" s="94">
        <v>0</v>
      </c>
      <c r="F90" s="94">
        <v>0</v>
      </c>
      <c r="G90" s="94">
        <v>1</v>
      </c>
      <c r="H90" s="94">
        <v>1</v>
      </c>
      <c r="I90" s="95">
        <v>0</v>
      </c>
      <c r="J90" s="95">
        <v>0</v>
      </c>
      <c r="K90" s="95">
        <v>0</v>
      </c>
      <c r="L90" s="95">
        <v>0</v>
      </c>
      <c r="M90" s="95">
        <v>0.14285714285714285</v>
      </c>
      <c r="N90" s="95">
        <v>1.6666666666666666E-2</v>
      </c>
      <c r="P90" s="94" t="str">
        <f t="shared" si="1"/>
        <v>0 (0%)</v>
      </c>
      <c r="Q90" s="94" t="str">
        <f t="shared" si="2"/>
        <v>0 (0%)</v>
      </c>
      <c r="R90" s="94" t="str">
        <f t="shared" si="3"/>
        <v>0 (0%)</v>
      </c>
      <c r="S90" s="94" t="str">
        <f t="shared" si="4"/>
        <v>0 (0%)</v>
      </c>
      <c r="T90" s="94" t="str">
        <f t="shared" si="5"/>
        <v>1 (14%)</v>
      </c>
      <c r="U90" s="94" t="str">
        <f t="shared" si="6"/>
        <v>1 (2%)</v>
      </c>
    </row>
    <row r="91" spans="2:21" s="94" customFormat="1" x14ac:dyDescent="0.25">
      <c r="B91" s="94" t="s">
        <v>488</v>
      </c>
      <c r="C91" s="94">
        <v>0</v>
      </c>
      <c r="D91" s="94">
        <v>0</v>
      </c>
      <c r="E91" s="94">
        <v>3</v>
      </c>
      <c r="F91" s="94">
        <v>0</v>
      </c>
      <c r="G91" s="94">
        <v>0</v>
      </c>
      <c r="H91" s="94">
        <v>3</v>
      </c>
      <c r="I91" s="95">
        <v>0</v>
      </c>
      <c r="J91" s="95">
        <v>0</v>
      </c>
      <c r="K91" s="95">
        <v>0.27272727272727271</v>
      </c>
      <c r="L91" s="95">
        <v>0</v>
      </c>
      <c r="M91" s="95">
        <v>0</v>
      </c>
      <c r="N91" s="95">
        <v>0.05</v>
      </c>
      <c r="P91" s="94" t="str">
        <f t="shared" si="1"/>
        <v>0 (0%)</v>
      </c>
      <c r="Q91" s="94" t="str">
        <f t="shared" si="2"/>
        <v>0 (0%)</v>
      </c>
      <c r="R91" s="94" t="str">
        <f t="shared" si="3"/>
        <v>3 (27%)</v>
      </c>
      <c r="S91" s="94" t="str">
        <f t="shared" si="4"/>
        <v>0 (0%)</v>
      </c>
      <c r="T91" s="94" t="str">
        <f t="shared" si="5"/>
        <v>0 (0%)</v>
      </c>
      <c r="U91" s="94" t="str">
        <f t="shared" si="6"/>
        <v>3 (5%)</v>
      </c>
    </row>
    <row r="92" spans="2:21" s="94" customFormat="1" x14ac:dyDescent="0.25">
      <c r="B92" s="94" t="s">
        <v>538</v>
      </c>
      <c r="C92" s="94">
        <v>1</v>
      </c>
      <c r="D92" s="94">
        <v>0</v>
      </c>
      <c r="E92" s="94">
        <v>0</v>
      </c>
      <c r="F92" s="94">
        <v>0</v>
      </c>
      <c r="G92" s="94">
        <v>0</v>
      </c>
      <c r="H92" s="94">
        <v>1</v>
      </c>
      <c r="I92" s="95">
        <v>5.8823529411764705E-2</v>
      </c>
      <c r="J92" s="95">
        <v>0</v>
      </c>
      <c r="K92" s="95">
        <v>0</v>
      </c>
      <c r="L92" s="95">
        <v>0</v>
      </c>
      <c r="M92" s="95">
        <v>0</v>
      </c>
      <c r="N92" s="95">
        <v>1.6666666666666666E-2</v>
      </c>
      <c r="P92" s="94" t="str">
        <f t="shared" si="1"/>
        <v>1 (6%)</v>
      </c>
      <c r="Q92" s="94" t="str">
        <f t="shared" si="2"/>
        <v>0 (0%)</v>
      </c>
      <c r="R92" s="94" t="str">
        <f t="shared" si="3"/>
        <v>0 (0%)</v>
      </c>
      <c r="S92" s="94" t="str">
        <f t="shared" si="4"/>
        <v>0 (0%)</v>
      </c>
      <c r="T92" s="94" t="str">
        <f t="shared" si="5"/>
        <v>0 (0%)</v>
      </c>
      <c r="U92" s="94" t="str">
        <f t="shared" si="6"/>
        <v>1 (2%)</v>
      </c>
    </row>
    <row r="93" spans="2:21" s="94" customFormat="1" x14ac:dyDescent="0.25">
      <c r="B93" s="94" t="s">
        <v>253</v>
      </c>
      <c r="C93" s="94">
        <v>2</v>
      </c>
      <c r="D93" s="94">
        <v>0</v>
      </c>
      <c r="E93" s="94">
        <v>0</v>
      </c>
      <c r="F93" s="94">
        <v>0</v>
      </c>
      <c r="G93" s="94">
        <v>0</v>
      </c>
      <c r="H93" s="94">
        <v>2</v>
      </c>
      <c r="I93" s="95">
        <v>0.11764705882352941</v>
      </c>
      <c r="J93" s="95">
        <v>0</v>
      </c>
      <c r="K93" s="95">
        <v>0</v>
      </c>
      <c r="L93" s="95">
        <v>0</v>
      </c>
      <c r="M93" s="95">
        <v>0</v>
      </c>
      <c r="N93" s="95">
        <v>3.3333333333333333E-2</v>
      </c>
      <c r="P93" s="94" t="str">
        <f t="shared" si="1"/>
        <v>2 (12%)</v>
      </c>
      <c r="Q93" s="94" t="str">
        <f t="shared" si="2"/>
        <v>0 (0%)</v>
      </c>
      <c r="R93" s="94" t="str">
        <f t="shared" si="3"/>
        <v>0 (0%)</v>
      </c>
      <c r="S93" s="94" t="str">
        <f t="shared" si="4"/>
        <v>0 (0%)</v>
      </c>
      <c r="T93" s="94" t="str">
        <f t="shared" si="5"/>
        <v>0 (0%)</v>
      </c>
      <c r="U93" s="94" t="str">
        <f t="shared" si="6"/>
        <v>2 (3%)</v>
      </c>
    </row>
    <row r="94" spans="2:21" s="94" customFormat="1" x14ac:dyDescent="0.25">
      <c r="B94" s="94" t="s">
        <v>258</v>
      </c>
      <c r="C94" s="94">
        <v>0</v>
      </c>
      <c r="D94" s="94">
        <v>0</v>
      </c>
      <c r="E94" s="94">
        <v>2</v>
      </c>
      <c r="F94" s="94">
        <v>3</v>
      </c>
      <c r="G94" s="94">
        <v>0</v>
      </c>
      <c r="H94" s="94">
        <v>5</v>
      </c>
      <c r="I94" s="95">
        <v>0</v>
      </c>
      <c r="J94" s="95">
        <v>0</v>
      </c>
      <c r="K94" s="95">
        <v>0.18181818181818182</v>
      </c>
      <c r="L94" s="95">
        <v>0.14285714285714285</v>
      </c>
      <c r="M94" s="95">
        <v>0</v>
      </c>
      <c r="N94" s="95">
        <v>8.3333333333333329E-2</v>
      </c>
      <c r="P94" s="94" t="str">
        <f t="shared" si="1"/>
        <v>0 (0%)</v>
      </c>
      <c r="Q94" s="94" t="str">
        <f t="shared" si="2"/>
        <v>0 (0%)</v>
      </c>
      <c r="R94" s="94" t="str">
        <f t="shared" si="3"/>
        <v>2 (18%)</v>
      </c>
      <c r="S94" s="94" t="str">
        <f t="shared" si="4"/>
        <v>3 (14%)</v>
      </c>
      <c r="T94" s="94" t="str">
        <f t="shared" si="5"/>
        <v>0 (0%)</v>
      </c>
      <c r="U94" s="94" t="str">
        <f t="shared" si="6"/>
        <v>5 (8%)</v>
      </c>
    </row>
    <row r="95" spans="2:21" s="94" customFormat="1" x14ac:dyDescent="0.25">
      <c r="B95" s="94" t="s">
        <v>622</v>
      </c>
      <c r="C95" s="94">
        <v>3</v>
      </c>
      <c r="D95" s="94">
        <v>0</v>
      </c>
      <c r="E95" s="94">
        <v>0</v>
      </c>
      <c r="F95" s="94">
        <v>0</v>
      </c>
      <c r="G95" s="94">
        <v>0</v>
      </c>
      <c r="H95" s="94">
        <v>3</v>
      </c>
      <c r="I95" s="95">
        <v>0.17647058823529413</v>
      </c>
      <c r="J95" s="95">
        <v>0</v>
      </c>
      <c r="K95" s="95">
        <v>0</v>
      </c>
      <c r="L95" s="95">
        <v>0</v>
      </c>
      <c r="M95" s="95">
        <v>0</v>
      </c>
      <c r="N95" s="95">
        <v>0.05</v>
      </c>
      <c r="P95" s="94" t="str">
        <f t="shared" si="1"/>
        <v>3 (18%)</v>
      </c>
      <c r="Q95" s="94" t="str">
        <f t="shared" si="2"/>
        <v>0 (0%)</v>
      </c>
      <c r="R95" s="94" t="str">
        <f t="shared" si="3"/>
        <v>0 (0%)</v>
      </c>
      <c r="S95" s="94" t="str">
        <f t="shared" si="4"/>
        <v>0 (0%)</v>
      </c>
      <c r="T95" s="94" t="str">
        <f t="shared" si="5"/>
        <v>0 (0%)</v>
      </c>
      <c r="U95" s="94" t="str">
        <f t="shared" si="6"/>
        <v>3 (5%)</v>
      </c>
    </row>
    <row r="96" spans="2:21" s="94" customFormat="1" x14ac:dyDescent="0.25">
      <c r="B96" s="94" t="s">
        <v>252</v>
      </c>
      <c r="C96" s="94">
        <v>0</v>
      </c>
      <c r="D96" s="94">
        <v>0</v>
      </c>
      <c r="E96" s="94">
        <v>6</v>
      </c>
      <c r="F96" s="94">
        <v>3</v>
      </c>
      <c r="G96" s="94">
        <v>0</v>
      </c>
      <c r="H96" s="94">
        <v>9</v>
      </c>
      <c r="I96" s="95">
        <v>0</v>
      </c>
      <c r="J96" s="95">
        <v>0</v>
      </c>
      <c r="K96" s="95">
        <v>0.54545454545454541</v>
      </c>
      <c r="L96" s="95">
        <v>0.14285714285714285</v>
      </c>
      <c r="M96" s="95">
        <v>0</v>
      </c>
      <c r="N96" s="95">
        <v>0.15</v>
      </c>
      <c r="P96" s="94" t="str">
        <f t="shared" si="1"/>
        <v>0 (0%)</v>
      </c>
      <c r="Q96" s="94" t="str">
        <f t="shared" si="2"/>
        <v>0 (0%)</v>
      </c>
      <c r="R96" s="94" t="str">
        <f t="shared" si="3"/>
        <v>6 (55%)</v>
      </c>
      <c r="S96" s="94" t="str">
        <f t="shared" si="4"/>
        <v>3 (14%)</v>
      </c>
      <c r="T96" s="94" t="str">
        <f t="shared" si="5"/>
        <v>0 (0%)</v>
      </c>
      <c r="U96" s="94" t="str">
        <f t="shared" si="6"/>
        <v>9 (15%)</v>
      </c>
    </row>
    <row r="97" spans="2:21" s="94" customFormat="1" x14ac:dyDescent="0.25">
      <c r="B97" s="94" t="s">
        <v>304</v>
      </c>
      <c r="C97" s="94">
        <v>1</v>
      </c>
      <c r="D97" s="94">
        <v>1</v>
      </c>
      <c r="E97" s="94">
        <v>3</v>
      </c>
      <c r="F97" s="94">
        <v>3</v>
      </c>
      <c r="G97" s="94">
        <v>3</v>
      </c>
      <c r="H97" s="94">
        <v>11</v>
      </c>
      <c r="I97" s="95">
        <v>5.8823529411764705E-2</v>
      </c>
      <c r="J97" s="95">
        <v>0.1111111111111111</v>
      </c>
      <c r="K97" s="95">
        <v>0.27272727272727271</v>
      </c>
      <c r="L97" s="95">
        <v>0.14285714285714285</v>
      </c>
      <c r="M97" s="95">
        <v>0.42857142857142855</v>
      </c>
      <c r="N97" s="95">
        <v>0.18333333333333332</v>
      </c>
      <c r="P97" s="94" t="str">
        <f t="shared" si="1"/>
        <v>1 (6%)</v>
      </c>
      <c r="Q97" s="94" t="str">
        <f t="shared" si="2"/>
        <v>1 (11%)</v>
      </c>
      <c r="R97" s="94" t="str">
        <f t="shared" si="3"/>
        <v>3 (27%)</v>
      </c>
      <c r="S97" s="94" t="str">
        <f t="shared" si="4"/>
        <v>3 (14%)</v>
      </c>
      <c r="T97" s="94" t="str">
        <f t="shared" si="5"/>
        <v>3 (43%)</v>
      </c>
      <c r="U97" s="94" t="str">
        <f t="shared" si="6"/>
        <v>11 (18%)</v>
      </c>
    </row>
    <row r="98" spans="2:21" s="94" customFormat="1" x14ac:dyDescent="0.25">
      <c r="B98" s="94" t="s">
        <v>172</v>
      </c>
      <c r="C98" s="94">
        <v>2</v>
      </c>
      <c r="D98" s="94">
        <v>0</v>
      </c>
      <c r="E98" s="94">
        <v>1</v>
      </c>
      <c r="F98" s="94">
        <v>0</v>
      </c>
      <c r="G98" s="94">
        <v>3</v>
      </c>
      <c r="H98" s="94">
        <v>6</v>
      </c>
      <c r="I98" s="95">
        <v>0.11764705882352941</v>
      </c>
      <c r="J98" s="95">
        <v>0</v>
      </c>
      <c r="K98" s="95">
        <v>9.0909090909090912E-2</v>
      </c>
      <c r="L98" s="95">
        <v>0</v>
      </c>
      <c r="M98" s="95">
        <v>0.42857142857142855</v>
      </c>
      <c r="N98" s="95">
        <v>0.1</v>
      </c>
      <c r="P98" s="94" t="str">
        <f t="shared" si="1"/>
        <v>2 (12%)</v>
      </c>
      <c r="Q98" s="94" t="str">
        <f t="shared" si="2"/>
        <v>0 (0%)</v>
      </c>
      <c r="R98" s="94" t="str">
        <f t="shared" si="3"/>
        <v>1 (9%)</v>
      </c>
      <c r="S98" s="94" t="str">
        <f t="shared" si="4"/>
        <v>0 (0%)</v>
      </c>
      <c r="T98" s="94" t="str">
        <f t="shared" si="5"/>
        <v>3 (43%)</v>
      </c>
      <c r="U98" s="94" t="str">
        <f t="shared" si="6"/>
        <v>6 (10%)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39"/>
  <sheetViews>
    <sheetView zoomScale="85" zoomScaleNormal="85" workbookViewId="0">
      <selection sqref="A1:XFD1"/>
    </sheetView>
  </sheetViews>
  <sheetFormatPr defaultRowHeight="15" x14ac:dyDescent="0.25"/>
  <cols>
    <col min="1" max="1" width="28.7109375" bestFit="1" customWidth="1"/>
    <col min="2" max="2" width="16.140625" bestFit="1" customWidth="1"/>
    <col min="3" max="3" width="13.7109375" customWidth="1"/>
    <col min="4" max="4" width="12.7109375" customWidth="1"/>
    <col min="5" max="5" width="16.28515625" customWidth="1"/>
    <col min="6" max="6" width="14.85546875" customWidth="1"/>
    <col min="7" max="7" width="14" customWidth="1"/>
    <col min="8" max="8" width="11.5703125" customWidth="1"/>
    <col min="9" max="9" width="12.42578125" customWidth="1"/>
    <col min="10" max="10" width="12" customWidth="1"/>
    <col min="11" max="11" width="13.28515625" customWidth="1"/>
    <col min="12" max="12" width="12.28515625" customWidth="1"/>
    <col min="13" max="13" width="14" customWidth="1"/>
    <col min="14" max="14" width="13.28515625" customWidth="1"/>
  </cols>
  <sheetData>
    <row r="1" spans="1:14" ht="60" x14ac:dyDescent="0.25">
      <c r="A1" s="6" t="s">
        <v>816</v>
      </c>
      <c r="B1" s="6" t="s">
        <v>833</v>
      </c>
      <c r="C1" s="6" t="s">
        <v>834</v>
      </c>
      <c r="D1" s="5" t="s">
        <v>835</v>
      </c>
      <c r="E1" s="5" t="s">
        <v>836</v>
      </c>
      <c r="F1" s="5" t="s">
        <v>837</v>
      </c>
      <c r="G1" s="5" t="s">
        <v>838</v>
      </c>
      <c r="H1" s="7" t="s">
        <v>839</v>
      </c>
      <c r="I1" s="6" t="s">
        <v>840</v>
      </c>
      <c r="J1" s="5" t="s">
        <v>841</v>
      </c>
      <c r="K1" s="5" t="s">
        <v>842</v>
      </c>
      <c r="L1" s="5" t="s">
        <v>843</v>
      </c>
      <c r="M1" s="5" t="s">
        <v>844</v>
      </c>
      <c r="N1" s="7" t="s">
        <v>845</v>
      </c>
    </row>
    <row r="2" spans="1:14" x14ac:dyDescent="0.25">
      <c r="A2" t="s">
        <v>179</v>
      </c>
      <c r="B2" t="s">
        <v>803</v>
      </c>
      <c r="C2">
        <v>2</v>
      </c>
      <c r="D2">
        <v>4</v>
      </c>
      <c r="E2">
        <v>0</v>
      </c>
      <c r="F2">
        <v>5</v>
      </c>
      <c r="G2">
        <v>0</v>
      </c>
      <c r="H2">
        <v>11</v>
      </c>
      <c r="I2" s="91">
        <v>0.11764705882352941</v>
      </c>
      <c r="J2" s="91">
        <v>0.44444444444444442</v>
      </c>
      <c r="K2" s="91">
        <v>0</v>
      </c>
      <c r="L2" s="91">
        <v>0.23809523809523808</v>
      </c>
      <c r="M2" s="91">
        <v>0</v>
      </c>
      <c r="N2" s="91">
        <v>0.18333333333333332</v>
      </c>
    </row>
    <row r="3" spans="1:14" x14ac:dyDescent="0.25">
      <c r="A3" t="s">
        <v>577</v>
      </c>
      <c r="B3" t="s">
        <v>803</v>
      </c>
      <c r="C3">
        <v>0</v>
      </c>
      <c r="D3">
        <v>0</v>
      </c>
      <c r="E3">
        <v>0</v>
      </c>
      <c r="F3">
        <v>1</v>
      </c>
      <c r="G3">
        <v>0</v>
      </c>
      <c r="H3">
        <v>1</v>
      </c>
      <c r="I3" s="91">
        <v>0</v>
      </c>
      <c r="J3" s="91">
        <v>0</v>
      </c>
      <c r="K3" s="91">
        <v>0</v>
      </c>
      <c r="L3" s="91">
        <v>4.7619047619047616E-2</v>
      </c>
      <c r="M3" s="91">
        <v>0</v>
      </c>
      <c r="N3" s="91">
        <v>1.6666666666666666E-2</v>
      </c>
    </row>
    <row r="4" spans="1:14" x14ac:dyDescent="0.25">
      <c r="A4" t="s">
        <v>216</v>
      </c>
      <c r="B4" t="s">
        <v>801</v>
      </c>
      <c r="C4">
        <v>1</v>
      </c>
      <c r="D4">
        <v>0</v>
      </c>
      <c r="E4">
        <v>0</v>
      </c>
      <c r="F4">
        <v>0</v>
      </c>
      <c r="G4">
        <v>0</v>
      </c>
      <c r="H4">
        <v>1</v>
      </c>
      <c r="I4" s="91">
        <v>5.8823529411764705E-2</v>
      </c>
      <c r="J4" s="91">
        <v>0</v>
      </c>
      <c r="K4" s="91">
        <v>0</v>
      </c>
      <c r="L4" s="91">
        <v>0</v>
      </c>
      <c r="M4" s="91">
        <v>0</v>
      </c>
      <c r="N4" s="91">
        <v>1.6666666666666666E-2</v>
      </c>
    </row>
    <row r="5" spans="1:14" x14ac:dyDescent="0.25">
      <c r="A5" t="s">
        <v>243</v>
      </c>
      <c r="B5" t="s">
        <v>803</v>
      </c>
      <c r="C5">
        <v>0</v>
      </c>
      <c r="D5">
        <v>0</v>
      </c>
      <c r="E5">
        <v>0</v>
      </c>
      <c r="F5">
        <v>0</v>
      </c>
      <c r="G5">
        <v>1</v>
      </c>
      <c r="H5">
        <v>1</v>
      </c>
      <c r="I5" s="91">
        <v>0</v>
      </c>
      <c r="J5" s="91">
        <v>0</v>
      </c>
      <c r="K5" s="91">
        <v>0</v>
      </c>
      <c r="L5" s="91">
        <v>0</v>
      </c>
      <c r="M5" s="91">
        <v>0.14285714285714285</v>
      </c>
      <c r="N5" s="91">
        <v>1.6666666666666666E-2</v>
      </c>
    </row>
    <row r="6" spans="1:14" x14ac:dyDescent="0.25">
      <c r="A6" t="s">
        <v>287</v>
      </c>
      <c r="B6" t="s">
        <v>798</v>
      </c>
      <c r="C6">
        <v>0</v>
      </c>
      <c r="D6">
        <v>3</v>
      </c>
      <c r="E6">
        <v>0</v>
      </c>
      <c r="F6">
        <v>0</v>
      </c>
      <c r="G6">
        <v>0</v>
      </c>
      <c r="H6">
        <v>3</v>
      </c>
      <c r="I6" s="91">
        <v>0</v>
      </c>
      <c r="J6" s="91">
        <v>0.33333333333333331</v>
      </c>
      <c r="K6" s="91">
        <v>0</v>
      </c>
      <c r="L6" s="91">
        <v>0</v>
      </c>
      <c r="M6" s="91">
        <v>0</v>
      </c>
      <c r="N6" s="91">
        <v>0.05</v>
      </c>
    </row>
    <row r="7" spans="1:14" x14ac:dyDescent="0.25">
      <c r="A7" t="s">
        <v>233</v>
      </c>
      <c r="B7" t="s">
        <v>798</v>
      </c>
      <c r="C7">
        <v>2</v>
      </c>
      <c r="D7">
        <v>1</v>
      </c>
      <c r="E7">
        <v>0</v>
      </c>
      <c r="F7">
        <v>0</v>
      </c>
      <c r="G7">
        <v>0</v>
      </c>
      <c r="H7">
        <v>3</v>
      </c>
      <c r="I7" s="91">
        <v>0.11764705882352941</v>
      </c>
      <c r="J7" s="91">
        <v>0.1111111111111111</v>
      </c>
      <c r="K7" s="91">
        <v>0</v>
      </c>
      <c r="L7" s="91">
        <v>0</v>
      </c>
      <c r="M7" s="91">
        <v>0</v>
      </c>
      <c r="N7" s="91">
        <v>0.05</v>
      </c>
    </row>
    <row r="8" spans="1:14" x14ac:dyDescent="0.25">
      <c r="A8" t="s">
        <v>263</v>
      </c>
      <c r="B8" t="s">
        <v>798</v>
      </c>
      <c r="C8">
        <v>7</v>
      </c>
      <c r="D8">
        <v>0</v>
      </c>
      <c r="E8">
        <v>2</v>
      </c>
      <c r="F8">
        <v>3</v>
      </c>
      <c r="G8">
        <v>3</v>
      </c>
      <c r="H8">
        <v>15</v>
      </c>
      <c r="I8" s="91">
        <v>0.41176470588235292</v>
      </c>
      <c r="J8" s="91">
        <v>0</v>
      </c>
      <c r="K8" s="91">
        <v>0.18181818181818182</v>
      </c>
      <c r="L8" s="91">
        <v>0.14285714285714285</v>
      </c>
      <c r="M8" s="91">
        <v>0.42857142857142855</v>
      </c>
      <c r="N8" s="91">
        <v>0.25</v>
      </c>
    </row>
    <row r="9" spans="1:14" x14ac:dyDescent="0.25">
      <c r="A9" t="s">
        <v>202</v>
      </c>
      <c r="B9" t="s">
        <v>798</v>
      </c>
      <c r="C9">
        <v>3</v>
      </c>
      <c r="D9">
        <v>4</v>
      </c>
      <c r="E9">
        <v>2</v>
      </c>
      <c r="F9">
        <v>4</v>
      </c>
      <c r="G9">
        <v>0</v>
      </c>
      <c r="H9">
        <v>13</v>
      </c>
      <c r="I9" s="91">
        <v>0.17647058823529413</v>
      </c>
      <c r="J9" s="91">
        <v>0.44444444444444442</v>
      </c>
      <c r="K9" s="91">
        <v>0.18181818181818182</v>
      </c>
      <c r="L9" s="91">
        <v>0.19047619047619047</v>
      </c>
      <c r="M9" s="91">
        <v>0</v>
      </c>
      <c r="N9" s="91">
        <v>0.21666666666666667</v>
      </c>
    </row>
    <row r="10" spans="1:14" x14ac:dyDescent="0.25">
      <c r="A10" t="s">
        <v>488</v>
      </c>
      <c r="B10" t="s">
        <v>803</v>
      </c>
      <c r="C10">
        <v>0</v>
      </c>
      <c r="D10">
        <v>0</v>
      </c>
      <c r="E10">
        <v>3</v>
      </c>
      <c r="F10">
        <v>0</v>
      </c>
      <c r="G10">
        <v>0</v>
      </c>
      <c r="H10">
        <v>3</v>
      </c>
      <c r="I10" s="91">
        <v>0</v>
      </c>
      <c r="J10" s="91">
        <v>0</v>
      </c>
      <c r="K10" s="91">
        <v>0.27272727272727271</v>
      </c>
      <c r="L10" s="91">
        <v>0</v>
      </c>
      <c r="M10" s="91">
        <v>0</v>
      </c>
      <c r="N10" s="91">
        <v>0.05</v>
      </c>
    </row>
    <row r="11" spans="1:14" x14ac:dyDescent="0.25">
      <c r="A11" t="s">
        <v>538</v>
      </c>
      <c r="B11" t="s">
        <v>803</v>
      </c>
      <c r="C11">
        <v>1</v>
      </c>
      <c r="D11">
        <v>0</v>
      </c>
      <c r="E11">
        <v>0</v>
      </c>
      <c r="F11">
        <v>0</v>
      </c>
      <c r="G11">
        <v>0</v>
      </c>
      <c r="H11">
        <v>1</v>
      </c>
      <c r="I11" s="91">
        <v>5.8823529411764705E-2</v>
      </c>
      <c r="J11" s="91">
        <v>0</v>
      </c>
      <c r="K11" s="91">
        <v>0</v>
      </c>
      <c r="L11" s="91">
        <v>0</v>
      </c>
      <c r="M11" s="91">
        <v>0</v>
      </c>
      <c r="N11" s="91">
        <v>1.6666666666666666E-2</v>
      </c>
    </row>
    <row r="12" spans="1:14" x14ac:dyDescent="0.25">
      <c r="A12" t="s">
        <v>274</v>
      </c>
      <c r="B12" t="s">
        <v>802</v>
      </c>
      <c r="C12">
        <v>2</v>
      </c>
      <c r="D12">
        <v>7</v>
      </c>
      <c r="E12">
        <v>7</v>
      </c>
      <c r="F12">
        <v>10</v>
      </c>
      <c r="G12">
        <v>2</v>
      </c>
      <c r="H12">
        <v>28</v>
      </c>
      <c r="I12" s="91">
        <v>0.11764705882352941</v>
      </c>
      <c r="J12" s="91">
        <v>0.77777777777777779</v>
      </c>
      <c r="K12" s="91">
        <v>0.63636363636363635</v>
      </c>
      <c r="L12" s="91">
        <v>0.47619047619047616</v>
      </c>
      <c r="M12" s="91">
        <v>0.2857142857142857</v>
      </c>
      <c r="N12" s="91">
        <v>0.46666666666666667</v>
      </c>
    </row>
    <row r="13" spans="1:14" x14ac:dyDescent="0.25">
      <c r="A13" t="s">
        <v>495</v>
      </c>
      <c r="B13" t="s">
        <v>798</v>
      </c>
      <c r="C13">
        <v>0</v>
      </c>
      <c r="D13">
        <v>0</v>
      </c>
      <c r="E13">
        <v>0</v>
      </c>
      <c r="F13">
        <v>0</v>
      </c>
      <c r="G13">
        <v>0</v>
      </c>
      <c r="H13">
        <v>0</v>
      </c>
      <c r="I13" s="91">
        <v>0</v>
      </c>
      <c r="J13" s="91">
        <v>0</v>
      </c>
      <c r="K13" s="91">
        <v>0</v>
      </c>
      <c r="L13" s="91">
        <v>0</v>
      </c>
      <c r="M13" s="91">
        <v>0</v>
      </c>
      <c r="N13" s="91">
        <v>0</v>
      </c>
    </row>
    <row r="14" spans="1:14" x14ac:dyDescent="0.25">
      <c r="A14" t="s">
        <v>196</v>
      </c>
      <c r="B14" t="s">
        <v>802</v>
      </c>
      <c r="C14">
        <v>4</v>
      </c>
      <c r="D14">
        <v>5</v>
      </c>
      <c r="E14">
        <v>5</v>
      </c>
      <c r="F14">
        <v>10</v>
      </c>
      <c r="G14">
        <v>0</v>
      </c>
      <c r="H14">
        <v>24</v>
      </c>
      <c r="I14" s="91">
        <v>0.23529411764705882</v>
      </c>
      <c r="J14" s="91">
        <v>0.55555555555555558</v>
      </c>
      <c r="K14" s="91">
        <v>0.45454545454545453</v>
      </c>
      <c r="L14" s="91">
        <v>0.47619047619047616</v>
      </c>
      <c r="M14" s="91">
        <v>0</v>
      </c>
      <c r="N14" s="91">
        <v>0.4</v>
      </c>
    </row>
    <row r="15" spans="1:14" x14ac:dyDescent="0.25">
      <c r="A15" t="s">
        <v>302</v>
      </c>
      <c r="B15" t="s">
        <v>802</v>
      </c>
      <c r="C15">
        <v>14</v>
      </c>
      <c r="D15">
        <v>9</v>
      </c>
      <c r="E15">
        <v>11</v>
      </c>
      <c r="F15">
        <v>21</v>
      </c>
      <c r="G15">
        <v>5</v>
      </c>
      <c r="H15">
        <v>60</v>
      </c>
      <c r="I15" s="91">
        <v>0.82352941176470584</v>
      </c>
      <c r="J15" s="91">
        <v>1</v>
      </c>
      <c r="K15" s="91">
        <v>1</v>
      </c>
      <c r="L15" s="91">
        <v>1</v>
      </c>
      <c r="M15" s="91">
        <v>0.7142857142857143</v>
      </c>
      <c r="N15" s="91">
        <v>1</v>
      </c>
    </row>
    <row r="16" spans="1:14" x14ac:dyDescent="0.25">
      <c r="A16" t="s">
        <v>253</v>
      </c>
      <c r="B16" t="s">
        <v>803</v>
      </c>
      <c r="C16">
        <v>2</v>
      </c>
      <c r="D16">
        <v>0</v>
      </c>
      <c r="E16">
        <v>0</v>
      </c>
      <c r="F16">
        <v>0</v>
      </c>
      <c r="G16">
        <v>0</v>
      </c>
      <c r="H16">
        <v>2</v>
      </c>
      <c r="I16" s="91">
        <v>0.11764705882352941</v>
      </c>
      <c r="J16" s="91">
        <v>0</v>
      </c>
      <c r="K16" s="91">
        <v>0</v>
      </c>
      <c r="L16" s="91">
        <v>0</v>
      </c>
      <c r="M16" s="91">
        <v>0</v>
      </c>
      <c r="N16" s="91">
        <v>3.3333333333333333E-2</v>
      </c>
    </row>
    <row r="17" spans="1:14" x14ac:dyDescent="0.25">
      <c r="A17" t="s">
        <v>354</v>
      </c>
      <c r="B17" t="s">
        <v>801</v>
      </c>
      <c r="C17">
        <v>0</v>
      </c>
      <c r="D17">
        <v>1</v>
      </c>
      <c r="E17">
        <v>1</v>
      </c>
      <c r="F17">
        <v>0</v>
      </c>
      <c r="G17">
        <v>0</v>
      </c>
      <c r="H17">
        <v>2</v>
      </c>
      <c r="I17" s="91">
        <v>0</v>
      </c>
      <c r="J17" s="91">
        <v>0.1111111111111111</v>
      </c>
      <c r="K17" s="91">
        <v>9.0909090909090912E-2</v>
      </c>
      <c r="L17" s="91">
        <v>0</v>
      </c>
      <c r="M17" s="91">
        <v>0</v>
      </c>
      <c r="N17" s="91">
        <v>3.3333333333333333E-2</v>
      </c>
    </row>
    <row r="18" spans="1:14" x14ac:dyDescent="0.25">
      <c r="A18" t="s">
        <v>608</v>
      </c>
      <c r="B18" t="s">
        <v>802</v>
      </c>
      <c r="C18">
        <v>0</v>
      </c>
      <c r="D18">
        <v>0</v>
      </c>
      <c r="E18">
        <v>0</v>
      </c>
      <c r="F18">
        <v>1</v>
      </c>
      <c r="G18">
        <v>0</v>
      </c>
      <c r="H18">
        <v>1</v>
      </c>
      <c r="I18" s="91">
        <v>0</v>
      </c>
      <c r="J18" s="91">
        <v>0</v>
      </c>
      <c r="K18" s="91">
        <v>0</v>
      </c>
      <c r="L18" s="91">
        <v>4.7619047619047616E-2</v>
      </c>
      <c r="M18" s="91">
        <v>0</v>
      </c>
      <c r="N18" s="91">
        <v>1.6666666666666666E-2</v>
      </c>
    </row>
    <row r="19" spans="1:14" x14ac:dyDescent="0.25">
      <c r="A19" t="s">
        <v>258</v>
      </c>
      <c r="B19" t="s">
        <v>803</v>
      </c>
      <c r="C19">
        <v>0</v>
      </c>
      <c r="D19">
        <v>0</v>
      </c>
      <c r="E19">
        <v>2</v>
      </c>
      <c r="F19">
        <v>3</v>
      </c>
      <c r="G19">
        <v>0</v>
      </c>
      <c r="H19">
        <v>5</v>
      </c>
      <c r="I19" s="91">
        <v>0</v>
      </c>
      <c r="J19" s="91">
        <v>0</v>
      </c>
      <c r="K19" s="91">
        <v>0.18181818181818182</v>
      </c>
      <c r="L19" s="91">
        <v>0.14285714285714285</v>
      </c>
      <c r="M19" s="91">
        <v>0</v>
      </c>
      <c r="N19" s="91">
        <v>8.3333333333333329E-2</v>
      </c>
    </row>
    <row r="20" spans="1:14" x14ac:dyDescent="0.25">
      <c r="A20" t="s">
        <v>616</v>
      </c>
      <c r="B20" t="s">
        <v>801</v>
      </c>
      <c r="C20">
        <v>0</v>
      </c>
      <c r="D20">
        <v>3</v>
      </c>
      <c r="E20">
        <v>0</v>
      </c>
      <c r="F20">
        <v>0</v>
      </c>
      <c r="G20">
        <v>0</v>
      </c>
      <c r="H20">
        <v>3</v>
      </c>
      <c r="I20" s="91">
        <v>0</v>
      </c>
      <c r="J20" s="91">
        <v>0.33333333333333331</v>
      </c>
      <c r="K20" s="91">
        <v>0</v>
      </c>
      <c r="L20" s="91">
        <v>0</v>
      </c>
      <c r="M20" s="91">
        <v>0</v>
      </c>
      <c r="N20" s="91">
        <v>0.05</v>
      </c>
    </row>
    <row r="21" spans="1:14" x14ac:dyDescent="0.25">
      <c r="A21" t="s">
        <v>327</v>
      </c>
      <c r="B21" t="s">
        <v>800</v>
      </c>
      <c r="C21">
        <v>0</v>
      </c>
      <c r="D21">
        <v>0</v>
      </c>
      <c r="E21">
        <v>1</v>
      </c>
      <c r="F21">
        <v>0</v>
      </c>
      <c r="G21">
        <v>0</v>
      </c>
      <c r="H21">
        <v>1</v>
      </c>
      <c r="I21" s="91">
        <v>0</v>
      </c>
      <c r="J21" s="91">
        <v>0</v>
      </c>
      <c r="K21" s="91">
        <v>9.0909090909090912E-2</v>
      </c>
      <c r="L21" s="91">
        <v>0</v>
      </c>
      <c r="M21" s="91">
        <v>0</v>
      </c>
      <c r="N21" s="91">
        <v>1.6666666666666666E-2</v>
      </c>
    </row>
    <row r="22" spans="1:14" x14ac:dyDescent="0.25">
      <c r="A22" t="s">
        <v>536</v>
      </c>
      <c r="B22" t="s">
        <v>799</v>
      </c>
      <c r="C22">
        <v>2</v>
      </c>
      <c r="D22">
        <v>0</v>
      </c>
      <c r="E22">
        <v>2</v>
      </c>
      <c r="F22">
        <v>0</v>
      </c>
      <c r="G22">
        <v>7</v>
      </c>
      <c r="H22">
        <v>11</v>
      </c>
      <c r="I22" s="91">
        <v>0.11764705882352941</v>
      </c>
      <c r="J22" s="91">
        <v>0</v>
      </c>
      <c r="K22" s="91">
        <v>0.18181818181818182</v>
      </c>
      <c r="L22" s="91">
        <v>0</v>
      </c>
      <c r="M22" s="91">
        <v>1</v>
      </c>
      <c r="N22" s="91">
        <v>0.18333333333333332</v>
      </c>
    </row>
    <row r="23" spans="1:14" x14ac:dyDescent="0.25">
      <c r="A23" t="s">
        <v>156</v>
      </c>
      <c r="B23" t="s">
        <v>799</v>
      </c>
      <c r="C23">
        <v>17</v>
      </c>
      <c r="D23">
        <v>5</v>
      </c>
      <c r="E23">
        <v>4</v>
      </c>
      <c r="F23">
        <v>5</v>
      </c>
      <c r="G23">
        <v>4</v>
      </c>
      <c r="H23">
        <v>35</v>
      </c>
      <c r="I23" s="91">
        <v>1</v>
      </c>
      <c r="J23" s="91">
        <v>0.55555555555555558</v>
      </c>
      <c r="K23" s="91">
        <v>0.36363636363636365</v>
      </c>
      <c r="L23" s="91">
        <v>0.23809523809523808</v>
      </c>
      <c r="M23" s="91">
        <v>0.5714285714285714</v>
      </c>
      <c r="N23" s="91">
        <v>0.58333333333333337</v>
      </c>
    </row>
    <row r="24" spans="1:14" x14ac:dyDescent="0.25">
      <c r="A24" t="s">
        <v>568</v>
      </c>
      <c r="B24" t="s">
        <v>800</v>
      </c>
      <c r="C24">
        <v>0</v>
      </c>
      <c r="D24">
        <v>0</v>
      </c>
      <c r="E24">
        <v>0</v>
      </c>
      <c r="F24">
        <v>1</v>
      </c>
      <c r="G24">
        <v>0</v>
      </c>
      <c r="H24">
        <v>1</v>
      </c>
      <c r="I24" s="91">
        <v>0</v>
      </c>
      <c r="J24" s="91">
        <v>0</v>
      </c>
      <c r="K24" s="91">
        <v>0</v>
      </c>
      <c r="L24" s="91">
        <v>4.7619047619047616E-2</v>
      </c>
      <c r="M24" s="91">
        <v>0</v>
      </c>
      <c r="N24" s="91">
        <v>1.6666666666666666E-2</v>
      </c>
    </row>
    <row r="25" spans="1:14" x14ac:dyDescent="0.25">
      <c r="A25" t="s">
        <v>458</v>
      </c>
      <c r="B25" t="s">
        <v>802</v>
      </c>
      <c r="C25">
        <v>6</v>
      </c>
      <c r="D25">
        <v>1</v>
      </c>
      <c r="E25">
        <v>2</v>
      </c>
      <c r="F25">
        <v>2</v>
      </c>
      <c r="G25">
        <v>0</v>
      </c>
      <c r="H25">
        <v>11</v>
      </c>
      <c r="I25" s="91">
        <v>0.35294117647058826</v>
      </c>
      <c r="J25" s="91">
        <v>0.1111111111111111</v>
      </c>
      <c r="K25" s="91">
        <v>0.18181818181818182</v>
      </c>
      <c r="L25" s="91">
        <v>9.5238095238095233E-2</v>
      </c>
      <c r="M25" s="91">
        <v>0</v>
      </c>
      <c r="N25" s="91">
        <v>0.18333333333333332</v>
      </c>
    </row>
    <row r="26" spans="1:14" x14ac:dyDescent="0.25">
      <c r="A26" t="s">
        <v>622</v>
      </c>
      <c r="B26" t="s">
        <v>803</v>
      </c>
      <c r="C26">
        <v>3</v>
      </c>
      <c r="D26">
        <v>0</v>
      </c>
      <c r="E26">
        <v>0</v>
      </c>
      <c r="F26">
        <v>0</v>
      </c>
      <c r="G26">
        <v>0</v>
      </c>
      <c r="H26">
        <v>3</v>
      </c>
      <c r="I26" s="91">
        <v>0.17647058823529413</v>
      </c>
      <c r="J26" s="91">
        <v>0</v>
      </c>
      <c r="K26" s="91">
        <v>0</v>
      </c>
      <c r="L26" s="91">
        <v>0</v>
      </c>
      <c r="M26" s="91">
        <v>0</v>
      </c>
      <c r="N26" s="91">
        <v>0.05</v>
      </c>
    </row>
    <row r="27" spans="1:14" x14ac:dyDescent="0.25">
      <c r="A27" t="s">
        <v>242</v>
      </c>
      <c r="B27" t="s">
        <v>798</v>
      </c>
      <c r="C27">
        <v>1</v>
      </c>
      <c r="D27">
        <v>0</v>
      </c>
      <c r="E27">
        <v>0</v>
      </c>
      <c r="F27">
        <v>0</v>
      </c>
      <c r="G27">
        <v>0</v>
      </c>
      <c r="H27">
        <v>1</v>
      </c>
      <c r="I27" s="91">
        <v>5.8823529411764705E-2</v>
      </c>
      <c r="J27" s="91">
        <v>0</v>
      </c>
      <c r="K27" s="91">
        <v>0</v>
      </c>
      <c r="L27" s="91">
        <v>0</v>
      </c>
      <c r="M27" s="91">
        <v>0</v>
      </c>
      <c r="N27" s="91">
        <v>1.6666666666666666E-2</v>
      </c>
    </row>
    <row r="28" spans="1:14" x14ac:dyDescent="0.25">
      <c r="A28" t="s">
        <v>252</v>
      </c>
      <c r="B28" t="s">
        <v>803</v>
      </c>
      <c r="C28">
        <v>0</v>
      </c>
      <c r="D28">
        <v>0</v>
      </c>
      <c r="E28">
        <v>6</v>
      </c>
      <c r="F28">
        <v>3</v>
      </c>
      <c r="G28">
        <v>0</v>
      </c>
      <c r="H28">
        <v>9</v>
      </c>
      <c r="I28" s="91">
        <v>0</v>
      </c>
      <c r="J28" s="91">
        <v>0</v>
      </c>
      <c r="K28" s="91">
        <v>0.54545454545454541</v>
      </c>
      <c r="L28" s="91">
        <v>0.14285714285714285</v>
      </c>
      <c r="M28" s="91">
        <v>0</v>
      </c>
      <c r="N28" s="91">
        <v>0.15</v>
      </c>
    </row>
    <row r="29" spans="1:14" x14ac:dyDescent="0.25">
      <c r="A29" t="s">
        <v>215</v>
      </c>
      <c r="B29" t="s">
        <v>799</v>
      </c>
      <c r="C29">
        <v>0</v>
      </c>
      <c r="D29">
        <v>0</v>
      </c>
      <c r="E29">
        <v>0</v>
      </c>
      <c r="F29">
        <v>0</v>
      </c>
      <c r="G29">
        <v>2</v>
      </c>
      <c r="H29">
        <v>2</v>
      </c>
      <c r="I29" s="91">
        <v>0</v>
      </c>
      <c r="J29" s="91">
        <v>0</v>
      </c>
      <c r="K29" s="91">
        <v>0</v>
      </c>
      <c r="L29" s="91">
        <v>0</v>
      </c>
      <c r="M29" s="91">
        <v>0.2857142857142857</v>
      </c>
      <c r="N29" s="91">
        <v>3.3333333333333333E-2</v>
      </c>
    </row>
    <row r="30" spans="1:14" x14ac:dyDescent="0.25">
      <c r="A30" t="s">
        <v>429</v>
      </c>
      <c r="B30" t="s">
        <v>802</v>
      </c>
      <c r="C30">
        <v>2</v>
      </c>
      <c r="D30">
        <v>0</v>
      </c>
      <c r="E30">
        <v>0</v>
      </c>
      <c r="F30">
        <v>0</v>
      </c>
      <c r="G30">
        <v>0</v>
      </c>
      <c r="H30">
        <v>2</v>
      </c>
      <c r="I30" s="91">
        <v>0.11764705882352941</v>
      </c>
      <c r="J30" s="91">
        <v>0</v>
      </c>
      <c r="K30" s="91">
        <v>0</v>
      </c>
      <c r="L30" s="91">
        <v>0</v>
      </c>
      <c r="M30" s="91">
        <v>0</v>
      </c>
      <c r="N30" s="91">
        <v>3.3333333333333333E-2</v>
      </c>
    </row>
    <row r="31" spans="1:14" x14ac:dyDescent="0.25">
      <c r="A31" t="s">
        <v>178</v>
      </c>
      <c r="B31" t="s">
        <v>800</v>
      </c>
      <c r="C31">
        <v>5</v>
      </c>
      <c r="D31">
        <v>2</v>
      </c>
      <c r="E31">
        <v>2</v>
      </c>
      <c r="F31">
        <v>6</v>
      </c>
      <c r="G31">
        <v>1</v>
      </c>
      <c r="H31">
        <v>16</v>
      </c>
      <c r="I31" s="91">
        <v>0.29411764705882354</v>
      </c>
      <c r="J31" s="91">
        <v>0.22222222222222221</v>
      </c>
      <c r="K31" s="91">
        <v>0.18181818181818182</v>
      </c>
      <c r="L31" s="91">
        <v>0.2857142857142857</v>
      </c>
      <c r="M31" s="91">
        <v>0.14285714285714285</v>
      </c>
      <c r="N31" s="91">
        <v>0.26666666666666666</v>
      </c>
    </row>
    <row r="32" spans="1:14" x14ac:dyDescent="0.25">
      <c r="A32" t="s">
        <v>313</v>
      </c>
      <c r="B32" t="s">
        <v>801</v>
      </c>
      <c r="C32">
        <v>6</v>
      </c>
      <c r="D32">
        <v>4</v>
      </c>
      <c r="E32">
        <v>0</v>
      </c>
      <c r="F32">
        <v>6</v>
      </c>
      <c r="G32">
        <v>0</v>
      </c>
      <c r="H32">
        <v>16</v>
      </c>
      <c r="I32" s="91">
        <v>0.35294117647058826</v>
      </c>
      <c r="J32" s="91">
        <v>0.44444444444444442</v>
      </c>
      <c r="K32" s="91">
        <v>0</v>
      </c>
      <c r="L32" s="91">
        <v>0.2857142857142857</v>
      </c>
      <c r="M32" s="91">
        <v>0</v>
      </c>
      <c r="N32" s="91">
        <v>0.26666666666666666</v>
      </c>
    </row>
    <row r="33" spans="1:14" x14ac:dyDescent="0.25">
      <c r="A33" t="s">
        <v>552</v>
      </c>
      <c r="B33" t="s">
        <v>800</v>
      </c>
      <c r="C33">
        <v>1</v>
      </c>
      <c r="D33">
        <v>0</v>
      </c>
      <c r="E33">
        <v>0</v>
      </c>
      <c r="F33">
        <v>0</v>
      </c>
      <c r="G33">
        <v>0</v>
      </c>
      <c r="H33">
        <v>1</v>
      </c>
      <c r="I33" s="91">
        <v>5.8823529411764705E-2</v>
      </c>
      <c r="J33" s="91">
        <v>0</v>
      </c>
      <c r="K33" s="91">
        <v>0</v>
      </c>
      <c r="L33" s="91">
        <v>0</v>
      </c>
      <c r="M33" s="91">
        <v>0</v>
      </c>
      <c r="N33" s="91">
        <v>1.6666666666666666E-2</v>
      </c>
    </row>
    <row r="34" spans="1:14" x14ac:dyDescent="0.25">
      <c r="A34" t="s">
        <v>403</v>
      </c>
      <c r="B34" t="s">
        <v>801</v>
      </c>
      <c r="C34">
        <v>0</v>
      </c>
      <c r="D34">
        <v>0</v>
      </c>
      <c r="E34">
        <v>0</v>
      </c>
      <c r="F34">
        <v>0</v>
      </c>
      <c r="G34">
        <v>1</v>
      </c>
      <c r="H34">
        <v>1</v>
      </c>
      <c r="I34" s="91">
        <v>0</v>
      </c>
      <c r="J34" s="91">
        <v>0</v>
      </c>
      <c r="K34" s="91">
        <v>0</v>
      </c>
      <c r="L34" s="91">
        <v>0</v>
      </c>
      <c r="M34" s="91">
        <v>0.14285714285714285</v>
      </c>
      <c r="N34" s="91">
        <v>1.6666666666666666E-2</v>
      </c>
    </row>
    <row r="35" spans="1:14" x14ac:dyDescent="0.25">
      <c r="A35" t="s">
        <v>460</v>
      </c>
      <c r="B35" t="s">
        <v>801</v>
      </c>
      <c r="C35">
        <v>1</v>
      </c>
      <c r="D35">
        <v>0</v>
      </c>
      <c r="E35">
        <v>0</v>
      </c>
      <c r="F35">
        <v>0</v>
      </c>
      <c r="G35">
        <v>0</v>
      </c>
      <c r="H35">
        <v>1</v>
      </c>
      <c r="I35" s="91">
        <v>5.8823529411764705E-2</v>
      </c>
      <c r="J35" s="91">
        <v>0</v>
      </c>
      <c r="K35" s="91">
        <v>0</v>
      </c>
      <c r="L35" s="91">
        <v>0</v>
      </c>
      <c r="M35" s="91">
        <v>0</v>
      </c>
      <c r="N35" s="91">
        <v>1.6666666666666666E-2</v>
      </c>
    </row>
    <row r="36" spans="1:14" x14ac:dyDescent="0.25">
      <c r="A36" t="s">
        <v>165</v>
      </c>
      <c r="B36" t="s">
        <v>800</v>
      </c>
      <c r="C36">
        <v>2</v>
      </c>
      <c r="D36">
        <v>0</v>
      </c>
      <c r="E36">
        <v>0</v>
      </c>
      <c r="F36">
        <v>2</v>
      </c>
      <c r="G36">
        <v>0</v>
      </c>
      <c r="H36">
        <v>4</v>
      </c>
      <c r="I36" s="91">
        <v>0.11764705882352941</v>
      </c>
      <c r="J36" s="91">
        <v>0</v>
      </c>
      <c r="K36" s="91">
        <v>0</v>
      </c>
      <c r="L36" s="91">
        <v>9.5238095238095233E-2</v>
      </c>
      <c r="M36" s="91">
        <v>0</v>
      </c>
      <c r="N36" s="91">
        <v>6.6666666666666666E-2</v>
      </c>
    </row>
    <row r="37" spans="1:14" x14ac:dyDescent="0.25">
      <c r="A37" t="s">
        <v>304</v>
      </c>
      <c r="B37" t="s">
        <v>803</v>
      </c>
      <c r="C37">
        <v>1</v>
      </c>
      <c r="D37">
        <v>1</v>
      </c>
      <c r="E37">
        <v>3</v>
      </c>
      <c r="F37">
        <v>3</v>
      </c>
      <c r="G37">
        <v>3</v>
      </c>
      <c r="H37">
        <v>11</v>
      </c>
      <c r="I37" s="91">
        <v>5.8823529411764705E-2</v>
      </c>
      <c r="J37" s="91">
        <v>0.1111111111111111</v>
      </c>
      <c r="K37" s="91">
        <v>0.27272727272727271</v>
      </c>
      <c r="L37" s="91">
        <v>0.14285714285714285</v>
      </c>
      <c r="M37" s="91">
        <v>0.42857142857142855</v>
      </c>
      <c r="N37" s="91">
        <v>0.18333333333333332</v>
      </c>
    </row>
    <row r="38" spans="1:14" x14ac:dyDescent="0.25">
      <c r="A38" t="s">
        <v>172</v>
      </c>
      <c r="B38" t="s">
        <v>803</v>
      </c>
      <c r="C38">
        <v>2</v>
      </c>
      <c r="D38">
        <v>0</v>
      </c>
      <c r="E38">
        <v>1</v>
      </c>
      <c r="F38">
        <v>0</v>
      </c>
      <c r="G38">
        <v>3</v>
      </c>
      <c r="H38">
        <v>6</v>
      </c>
      <c r="I38" s="91">
        <v>0.11764705882352941</v>
      </c>
      <c r="J38" s="91">
        <v>0</v>
      </c>
      <c r="K38" s="91">
        <v>9.0909090909090912E-2</v>
      </c>
      <c r="L38" s="91">
        <v>0</v>
      </c>
      <c r="M38" s="91">
        <v>0.42857142857142855</v>
      </c>
      <c r="N38" s="91">
        <v>0.1</v>
      </c>
    </row>
    <row r="39" spans="1:14" x14ac:dyDescent="0.25">
      <c r="A39" t="s">
        <v>177</v>
      </c>
      <c r="B39" t="s">
        <v>798</v>
      </c>
      <c r="C39">
        <v>5</v>
      </c>
      <c r="D39">
        <v>3</v>
      </c>
      <c r="E39">
        <v>0</v>
      </c>
      <c r="F39">
        <v>6</v>
      </c>
      <c r="G39">
        <v>2</v>
      </c>
      <c r="H39">
        <v>16</v>
      </c>
      <c r="I39" s="91">
        <v>0.29411764705882354</v>
      </c>
      <c r="J39" s="91">
        <v>0.33333333333333331</v>
      </c>
      <c r="K39" s="91">
        <v>0</v>
      </c>
      <c r="L39" s="91">
        <v>0.2857142857142857</v>
      </c>
      <c r="M39" s="91">
        <v>0.2857142857142857</v>
      </c>
      <c r="N39" s="91">
        <v>0.26666666666666666</v>
      </c>
    </row>
  </sheetData>
  <autoFilter ref="A1:N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0"/>
  <sheetViews>
    <sheetView workbookViewId="0">
      <selection activeCell="C1" sqref="C1:E40"/>
    </sheetView>
  </sheetViews>
  <sheetFormatPr defaultRowHeight="15" x14ac:dyDescent="0.25"/>
  <cols>
    <col min="3" max="3" width="28.7109375" bestFit="1" customWidth="1"/>
    <col min="4" max="4" width="16.140625" bestFit="1" customWidth="1"/>
    <col min="5" max="5" width="57.42578125" bestFit="1" customWidth="1"/>
  </cols>
  <sheetData>
    <row r="1" spans="1:5" x14ac:dyDescent="0.25">
      <c r="A1" t="s">
        <v>707</v>
      </c>
      <c r="B1" t="s">
        <v>846</v>
      </c>
      <c r="C1" t="s">
        <v>816</v>
      </c>
      <c r="D1" t="s">
        <v>833</v>
      </c>
      <c r="E1" t="s">
        <v>847</v>
      </c>
    </row>
    <row r="2" spans="1:5" x14ac:dyDescent="0.25">
      <c r="A2">
        <v>1</v>
      </c>
      <c r="B2">
        <v>1.1000000000000001</v>
      </c>
      <c r="C2" t="s">
        <v>287</v>
      </c>
      <c r="D2" t="s">
        <v>798</v>
      </c>
    </row>
    <row r="3" spans="1:5" x14ac:dyDescent="0.25">
      <c r="B3">
        <v>1.2000000000000002</v>
      </c>
      <c r="C3" t="s">
        <v>233</v>
      </c>
      <c r="D3" t="s">
        <v>798</v>
      </c>
    </row>
    <row r="4" spans="1:5" x14ac:dyDescent="0.25">
      <c r="B4">
        <v>1.3000000000000003</v>
      </c>
      <c r="C4" t="s">
        <v>263</v>
      </c>
      <c r="D4" t="s">
        <v>798</v>
      </c>
    </row>
    <row r="5" spans="1:5" x14ac:dyDescent="0.25">
      <c r="B5">
        <v>1.4000000000000004</v>
      </c>
      <c r="C5" t="s">
        <v>242</v>
      </c>
      <c r="D5" t="s">
        <v>798</v>
      </c>
    </row>
    <row r="6" spans="1:5" x14ac:dyDescent="0.25">
      <c r="B6">
        <v>1.5000000000000004</v>
      </c>
      <c r="C6" t="s">
        <v>177</v>
      </c>
      <c r="D6" t="s">
        <v>798</v>
      </c>
    </row>
    <row r="7" spans="1:5" x14ac:dyDescent="0.25">
      <c r="B7">
        <v>1.6000000000000005</v>
      </c>
      <c r="C7" t="s">
        <v>202</v>
      </c>
      <c r="D7" t="s">
        <v>798</v>
      </c>
    </row>
    <row r="8" spans="1:5" x14ac:dyDescent="0.25">
      <c r="B8">
        <v>1.7000000000000006</v>
      </c>
      <c r="C8" t="s">
        <v>495</v>
      </c>
      <c r="D8" t="s">
        <v>798</v>
      </c>
    </row>
    <row r="9" spans="1:5" x14ac:dyDescent="0.25">
      <c r="A9">
        <v>2</v>
      </c>
      <c r="B9">
        <v>2.1</v>
      </c>
      <c r="C9" t="s">
        <v>536</v>
      </c>
      <c r="D9" t="s">
        <v>799</v>
      </c>
    </row>
    <row r="10" spans="1:5" x14ac:dyDescent="0.25">
      <c r="B10">
        <v>2.2000000000000002</v>
      </c>
      <c r="C10" t="s">
        <v>156</v>
      </c>
      <c r="D10" t="s">
        <v>799</v>
      </c>
    </row>
    <row r="11" spans="1:5" x14ac:dyDescent="0.25">
      <c r="B11">
        <v>2.3000000000000003</v>
      </c>
      <c r="C11" t="s">
        <v>215</v>
      </c>
      <c r="D11" t="s">
        <v>799</v>
      </c>
    </row>
    <row r="12" spans="1:5" x14ac:dyDescent="0.25">
      <c r="A12">
        <v>3</v>
      </c>
      <c r="B12">
        <v>3.1</v>
      </c>
      <c r="C12" t="s">
        <v>327</v>
      </c>
      <c r="D12" t="s">
        <v>800</v>
      </c>
    </row>
    <row r="13" spans="1:5" x14ac:dyDescent="0.25">
      <c r="B13">
        <v>3.2</v>
      </c>
      <c r="C13" t="s">
        <v>568</v>
      </c>
      <c r="D13" t="s">
        <v>800</v>
      </c>
    </row>
    <row r="14" spans="1:5" x14ac:dyDescent="0.25">
      <c r="B14">
        <v>3.3000000000000003</v>
      </c>
      <c r="C14" t="s">
        <v>178</v>
      </c>
      <c r="D14" t="s">
        <v>800</v>
      </c>
    </row>
    <row r="15" spans="1:5" x14ac:dyDescent="0.25">
      <c r="B15">
        <v>3.4000000000000004</v>
      </c>
      <c r="C15" t="s">
        <v>552</v>
      </c>
      <c r="D15" t="s">
        <v>800</v>
      </c>
    </row>
    <row r="16" spans="1:5" x14ac:dyDescent="0.25">
      <c r="B16">
        <v>3.5000000000000004</v>
      </c>
      <c r="C16" t="s">
        <v>165</v>
      </c>
      <c r="D16" t="s">
        <v>800</v>
      </c>
    </row>
    <row r="17" spans="1:5" x14ac:dyDescent="0.25">
      <c r="A17">
        <v>4</v>
      </c>
      <c r="B17">
        <v>4.0999999999999996</v>
      </c>
      <c r="C17" t="s">
        <v>216</v>
      </c>
      <c r="D17" t="s">
        <v>801</v>
      </c>
      <c r="E17" t="s">
        <v>848</v>
      </c>
    </row>
    <row r="18" spans="1:5" x14ac:dyDescent="0.25">
      <c r="B18">
        <v>4.1999999999999993</v>
      </c>
      <c r="C18" t="s">
        <v>616</v>
      </c>
      <c r="D18" t="s">
        <v>801</v>
      </c>
    </row>
    <row r="19" spans="1:5" x14ac:dyDescent="0.25">
      <c r="B19">
        <v>4.2999999999999989</v>
      </c>
      <c r="C19" t="s">
        <v>313</v>
      </c>
      <c r="D19" t="s">
        <v>801</v>
      </c>
    </row>
    <row r="20" spans="1:5" x14ac:dyDescent="0.25">
      <c r="B20">
        <v>4.3999999999999986</v>
      </c>
      <c r="C20" t="s">
        <v>403</v>
      </c>
      <c r="D20" t="s">
        <v>801</v>
      </c>
      <c r="E20" t="s">
        <v>849</v>
      </c>
    </row>
    <row r="21" spans="1:5" x14ac:dyDescent="0.25">
      <c r="B21">
        <v>4.4999999999999982</v>
      </c>
      <c r="C21" t="s">
        <v>460</v>
      </c>
      <c r="D21" t="s">
        <v>801</v>
      </c>
    </row>
    <row r="22" spans="1:5" x14ac:dyDescent="0.25">
      <c r="B22">
        <v>4.5999999999999996</v>
      </c>
      <c r="C22" t="s">
        <v>354</v>
      </c>
      <c r="D22" t="s">
        <v>801</v>
      </c>
    </row>
    <row r="23" spans="1:5" x14ac:dyDescent="0.25">
      <c r="A23">
        <v>5</v>
      </c>
      <c r="B23">
        <v>5.0999999999999996</v>
      </c>
      <c r="C23" t="s">
        <v>274</v>
      </c>
      <c r="D23" t="s">
        <v>802</v>
      </c>
    </row>
    <row r="24" spans="1:5" x14ac:dyDescent="0.25">
      <c r="B24">
        <v>5.1999999999999993</v>
      </c>
      <c r="C24" t="s">
        <v>196</v>
      </c>
      <c r="D24" t="s">
        <v>802</v>
      </c>
    </row>
    <row r="25" spans="1:5" x14ac:dyDescent="0.25">
      <c r="B25">
        <v>5.2999999999999989</v>
      </c>
      <c r="C25" t="s">
        <v>302</v>
      </c>
      <c r="D25" t="s">
        <v>802</v>
      </c>
      <c r="E25" t="s">
        <v>850</v>
      </c>
    </row>
    <row r="26" spans="1:5" x14ac:dyDescent="0.25">
      <c r="B26">
        <v>5.3999999999999986</v>
      </c>
      <c r="C26" t="s">
        <v>851</v>
      </c>
      <c r="D26" t="s">
        <v>802</v>
      </c>
    </row>
    <row r="27" spans="1:5" x14ac:dyDescent="0.25">
      <c r="B27">
        <v>5.4999999999999982</v>
      </c>
      <c r="C27" t="s">
        <v>608</v>
      </c>
      <c r="D27" t="s">
        <v>802</v>
      </c>
    </row>
    <row r="28" spans="1:5" x14ac:dyDescent="0.25">
      <c r="B28">
        <v>5.5999999999999979</v>
      </c>
      <c r="C28" t="s">
        <v>458</v>
      </c>
      <c r="D28" t="s">
        <v>802</v>
      </c>
    </row>
    <row r="29" spans="1:5" x14ac:dyDescent="0.25">
      <c r="B29">
        <v>5.6999999999999975</v>
      </c>
      <c r="C29" t="s">
        <v>429</v>
      </c>
      <c r="D29" t="s">
        <v>802</v>
      </c>
      <c r="E29" t="s">
        <v>852</v>
      </c>
    </row>
    <row r="30" spans="1:5" x14ac:dyDescent="0.25">
      <c r="A30">
        <v>6</v>
      </c>
      <c r="B30">
        <v>6.1</v>
      </c>
      <c r="C30" t="s">
        <v>179</v>
      </c>
      <c r="D30" t="s">
        <v>803</v>
      </c>
    </row>
    <row r="31" spans="1:5" x14ac:dyDescent="0.25">
      <c r="B31">
        <v>6.1999999999999993</v>
      </c>
      <c r="C31" t="s">
        <v>577</v>
      </c>
      <c r="D31" t="s">
        <v>803</v>
      </c>
    </row>
    <row r="32" spans="1:5" x14ac:dyDescent="0.25">
      <c r="B32">
        <v>6.2999999999999989</v>
      </c>
      <c r="C32" t="s">
        <v>243</v>
      </c>
      <c r="D32" t="s">
        <v>803</v>
      </c>
    </row>
    <row r="33" spans="2:4" x14ac:dyDescent="0.25">
      <c r="B33">
        <v>6.3999999999999986</v>
      </c>
      <c r="C33" t="s">
        <v>488</v>
      </c>
      <c r="D33" t="s">
        <v>803</v>
      </c>
    </row>
    <row r="34" spans="2:4" x14ac:dyDescent="0.25">
      <c r="B34">
        <v>6.4999999999999982</v>
      </c>
      <c r="C34" t="s">
        <v>538</v>
      </c>
      <c r="D34" t="s">
        <v>803</v>
      </c>
    </row>
    <row r="35" spans="2:4" x14ac:dyDescent="0.25">
      <c r="B35">
        <v>6.5999999999999979</v>
      </c>
      <c r="C35" t="s">
        <v>253</v>
      </c>
      <c r="D35" t="s">
        <v>803</v>
      </c>
    </row>
    <row r="36" spans="2:4" x14ac:dyDescent="0.25">
      <c r="B36">
        <v>6.6999999999999975</v>
      </c>
      <c r="C36" t="s">
        <v>258</v>
      </c>
      <c r="D36" t="s">
        <v>803</v>
      </c>
    </row>
    <row r="37" spans="2:4" x14ac:dyDescent="0.25">
      <c r="B37">
        <v>6.7999999999999972</v>
      </c>
      <c r="C37" t="s">
        <v>622</v>
      </c>
      <c r="D37" t="s">
        <v>803</v>
      </c>
    </row>
    <row r="38" spans="2:4" x14ac:dyDescent="0.25">
      <c r="B38">
        <v>6.8999999999999968</v>
      </c>
      <c r="C38" t="s">
        <v>252</v>
      </c>
      <c r="D38" t="s">
        <v>803</v>
      </c>
    </row>
    <row r="39" spans="2:4" x14ac:dyDescent="0.25">
      <c r="B39">
        <v>6.1</v>
      </c>
      <c r="C39" t="s">
        <v>304</v>
      </c>
      <c r="D39" t="s">
        <v>803</v>
      </c>
    </row>
    <row r="40" spans="2:4" x14ac:dyDescent="0.25">
      <c r="B40">
        <v>6.1099999999999994</v>
      </c>
      <c r="C40" t="s">
        <v>172</v>
      </c>
      <c r="D40" t="s">
        <v>803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4"/>
  <sheetViews>
    <sheetView workbookViewId="0">
      <selection activeCell="A2" sqref="A2:A14"/>
    </sheetView>
  </sheetViews>
  <sheetFormatPr defaultRowHeight="15" x14ac:dyDescent="0.25"/>
  <cols>
    <col min="1" max="1" width="38.7109375" bestFit="1" customWidth="1"/>
  </cols>
  <sheetData>
    <row r="1" spans="1:1" x14ac:dyDescent="0.25">
      <c r="A1" t="s">
        <v>853</v>
      </c>
    </row>
    <row r="2" spans="1:1" x14ac:dyDescent="0.25">
      <c r="A2" t="s">
        <v>150</v>
      </c>
    </row>
    <row r="3" spans="1:1" x14ac:dyDescent="0.25">
      <c r="A3" t="s">
        <v>190</v>
      </c>
    </row>
    <row r="4" spans="1:1" x14ac:dyDescent="0.25">
      <c r="A4" t="s">
        <v>296</v>
      </c>
    </row>
    <row r="5" spans="1:1" x14ac:dyDescent="0.25">
      <c r="A5" t="s">
        <v>340</v>
      </c>
    </row>
    <row r="6" spans="1:1" x14ac:dyDescent="0.25">
      <c r="A6" t="s">
        <v>391</v>
      </c>
    </row>
    <row r="7" spans="1:1" x14ac:dyDescent="0.25">
      <c r="A7" t="s">
        <v>436</v>
      </c>
    </row>
    <row r="8" spans="1:1" x14ac:dyDescent="0.25">
      <c r="A8" t="s">
        <v>519</v>
      </c>
    </row>
    <row r="9" spans="1:1" x14ac:dyDescent="0.25">
      <c r="A9" t="s">
        <v>544</v>
      </c>
    </row>
    <row r="10" spans="1:1" x14ac:dyDescent="0.25">
      <c r="A10" t="s">
        <v>854</v>
      </c>
    </row>
    <row r="11" spans="1:1" x14ac:dyDescent="0.25">
      <c r="A11" t="s">
        <v>573</v>
      </c>
    </row>
    <row r="12" spans="1:1" x14ac:dyDescent="0.25">
      <c r="A12" t="s">
        <v>606</v>
      </c>
    </row>
    <row r="13" spans="1:1" x14ac:dyDescent="0.25">
      <c r="A13" t="s">
        <v>855</v>
      </c>
    </row>
    <row r="14" spans="1:1" x14ac:dyDescent="0.25">
      <c r="A14" t="s">
        <v>651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70"/>
  <sheetViews>
    <sheetView zoomScale="70" zoomScaleNormal="70" workbookViewId="0">
      <selection activeCell="A5" sqref="A5"/>
    </sheetView>
  </sheetViews>
  <sheetFormatPr defaultRowHeight="15" x14ac:dyDescent="0.25"/>
  <cols>
    <col min="1" max="1" width="36.140625" bestFit="1" customWidth="1"/>
    <col min="4" max="4" width="10.85546875" customWidth="1"/>
    <col min="6" max="7" width="13.85546875" customWidth="1"/>
    <col min="10" max="10" width="12" customWidth="1"/>
    <col min="12" max="13" width="14.7109375" customWidth="1"/>
    <col min="16" max="16" width="9.5703125" customWidth="1"/>
    <col min="17" max="17" width="6.140625" bestFit="1" customWidth="1"/>
    <col min="18" max="19" width="14" customWidth="1"/>
    <col min="24" max="24" width="14.42578125" bestFit="1" customWidth="1"/>
    <col min="28" max="31" width="15.85546875" bestFit="1" customWidth="1"/>
    <col min="32" max="32" width="15.28515625" customWidth="1"/>
    <col min="33" max="33" width="17.140625" customWidth="1"/>
    <col min="34" max="34" width="13" bestFit="1" customWidth="1"/>
    <col min="35" max="35" width="33" bestFit="1" customWidth="1"/>
    <col min="37" max="37" width="23" bestFit="1" customWidth="1"/>
    <col min="38" max="38" width="30.28515625" customWidth="1"/>
    <col min="39" max="39" width="30.28515625" bestFit="1" customWidth="1"/>
    <col min="40" max="40" width="15.42578125" bestFit="1" customWidth="1"/>
    <col min="41" max="41" width="23" bestFit="1" customWidth="1"/>
    <col min="42" max="42" width="30.28515625" bestFit="1" customWidth="1"/>
  </cols>
  <sheetData>
    <row r="1" spans="1:35" ht="15.75" thickBot="1" x14ac:dyDescent="0.3">
      <c r="B1" s="247" t="s">
        <v>856</v>
      </c>
      <c r="C1" s="247"/>
      <c r="D1" s="247"/>
      <c r="E1" s="247"/>
      <c r="F1" s="247"/>
      <c r="G1" s="247"/>
      <c r="H1" s="247"/>
      <c r="I1" s="247"/>
      <c r="J1" s="247"/>
      <c r="K1" s="247"/>
      <c r="L1" s="247"/>
      <c r="M1" s="247"/>
      <c r="N1" s="247"/>
      <c r="O1" s="247"/>
      <c r="P1" s="247"/>
      <c r="Q1" s="247"/>
      <c r="R1" s="247"/>
      <c r="S1" s="247"/>
      <c r="T1" s="247" t="s">
        <v>780</v>
      </c>
      <c r="U1" s="247"/>
      <c r="V1" s="247"/>
      <c r="W1" s="247"/>
      <c r="X1" s="247"/>
      <c r="Y1" s="247"/>
      <c r="Z1" s="29"/>
      <c r="AB1" s="247" t="s">
        <v>781</v>
      </c>
      <c r="AC1" s="247"/>
      <c r="AD1" s="247"/>
      <c r="AE1" s="247"/>
      <c r="AF1" s="247"/>
      <c r="AG1" s="247"/>
    </row>
    <row r="2" spans="1:35" ht="16.5" thickTop="1" thickBot="1" x14ac:dyDescent="0.3">
      <c r="A2" s="3"/>
      <c r="B2" s="248" t="s">
        <v>26</v>
      </c>
      <c r="C2" s="249"/>
      <c r="D2" s="249"/>
      <c r="E2" s="249"/>
      <c r="F2" s="249"/>
      <c r="G2" s="250"/>
      <c r="H2" s="248" t="s">
        <v>27</v>
      </c>
      <c r="I2" s="249"/>
      <c r="J2" s="249"/>
      <c r="K2" s="249"/>
      <c r="L2" s="249"/>
      <c r="M2" s="250"/>
      <c r="N2" s="257" t="s">
        <v>28</v>
      </c>
      <c r="O2" s="258"/>
      <c r="P2" s="258"/>
      <c r="Q2" s="258"/>
      <c r="R2" s="258"/>
      <c r="S2" s="259"/>
      <c r="T2" s="257" t="s">
        <v>857</v>
      </c>
      <c r="U2" s="258"/>
      <c r="V2" s="258"/>
      <c r="W2" s="258"/>
      <c r="X2" s="258"/>
      <c r="Y2" s="131"/>
      <c r="Z2" s="30"/>
      <c r="AB2" s="257" t="s">
        <v>858</v>
      </c>
      <c r="AC2" s="258"/>
      <c r="AD2" s="258"/>
      <c r="AE2" s="258"/>
      <c r="AF2" s="258"/>
      <c r="AG2" s="131"/>
    </row>
    <row r="3" spans="1:35" s="4" customFormat="1" ht="48.75" customHeight="1" thickBot="1" x14ac:dyDescent="0.3">
      <c r="A3" s="17" t="s">
        <v>859</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row>
    <row r="4" spans="1:35" s="4" customFormat="1" ht="48.75" customHeight="1" x14ac:dyDescent="0.25">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35" x14ac:dyDescent="0.25">
      <c r="A5" s="18" t="s">
        <v>166</v>
      </c>
      <c r="B5" s="8">
        <f>COUNTIFS(tbl_data[1:T1C],A5,tbl_data[12. Consultation Group of],$B$3)</f>
        <v>1</v>
      </c>
      <c r="C5" s="9">
        <f>COUNTIFS(tbl_data[1:T1C],$A5,tbl_data[12. Consultation Group of],$C$3)</f>
        <v>1</v>
      </c>
      <c r="D5" s="9">
        <f>COUNTIFS(tbl_data[1:T1C],$A5,tbl_data[12. Consultation Group of],$D$3)</f>
        <v>0</v>
      </c>
      <c r="E5" s="9">
        <f>COUNTIFS(tbl_data[1:T1C],$A5,tbl_data[12. Consultation Group of],$E$3)</f>
        <v>2</v>
      </c>
      <c r="F5" s="9">
        <f>COUNTIFS(tbl_data[1:T1C],$A5,tbl_data[12. Consultation Group of],$F$3)</f>
        <v>0</v>
      </c>
      <c r="G5" s="10">
        <f>SUM(B5:F5)</f>
        <v>4</v>
      </c>
      <c r="H5" s="8">
        <f>COUNTIFS(tbl_data[2:T1C],A5,tbl_data[12. Consultation Group of],$H$3)</f>
        <v>1</v>
      </c>
      <c r="I5" s="9">
        <f>COUNTIFS(tbl_data[2:T1C],$A5,tbl_data[12. Consultation Group of],$I$3)</f>
        <v>0</v>
      </c>
      <c r="J5" s="9">
        <f>COUNTIFS(tbl_data[2:T1C],$A5,tbl_data[12. Consultation Group of],$J$3)</f>
        <v>1</v>
      </c>
      <c r="K5" s="9">
        <f>COUNTIFS(tbl_data[2:T1C],$A5,tbl_data[12. Consultation Group of],$K$3)</f>
        <v>1</v>
      </c>
      <c r="L5" s="9">
        <f>COUNTIFS(tbl_data[2:T1C],$A5,tbl_data[12. Consultation Group of],$L$3)</f>
        <v>0</v>
      </c>
      <c r="M5" s="10">
        <f>SUM(H5:L5)</f>
        <v>3</v>
      </c>
      <c r="N5" s="8">
        <f>COUNTIFS(tbl_data[3:T1C],$A5,tbl_data[12. Consultation Group of],$N$3)</f>
        <v>1</v>
      </c>
      <c r="O5" s="9">
        <f>COUNTIFS(tbl_data[3:T1C],$A5,tbl_data[12. Consultation Group of],$O$3)</f>
        <v>0</v>
      </c>
      <c r="P5" s="9">
        <f>COUNTIFS(tbl_data[3:T1C],$A5,tbl_data[12. Consultation Group of],$P$3)</f>
        <v>0</v>
      </c>
      <c r="Q5" s="9">
        <f>COUNTIFS(tbl_data[3:T1C],$A5,tbl_data[12. Consultation Group of],$Q$3)</f>
        <v>0</v>
      </c>
      <c r="R5" s="9">
        <f>COUNTIFS(tbl_data[3:T1C],$A5,tbl_data[12. Consultation Group of],$R$3)</f>
        <v>0</v>
      </c>
      <c r="S5" s="10">
        <f>SUM(N5:R5)</f>
        <v>1</v>
      </c>
      <c r="T5" s="8">
        <f t="shared" ref="T5:X5" si="0">B5*3+H5*2+N5*1</f>
        <v>6</v>
      </c>
      <c r="U5" s="9">
        <f t="shared" si="0"/>
        <v>3</v>
      </c>
      <c r="V5" s="9">
        <f t="shared" si="0"/>
        <v>2</v>
      </c>
      <c r="W5" s="9">
        <f t="shared" si="0"/>
        <v>8</v>
      </c>
      <c r="X5" s="9">
        <f t="shared" si="0"/>
        <v>0</v>
      </c>
      <c r="Y5" s="10">
        <f>SUM(T5:X5)</f>
        <v>19</v>
      </c>
      <c r="Z5" s="32"/>
      <c r="AB5" s="22">
        <f t="shared" ref="AB5:AB50" si="1">T5/T$53</f>
        <v>0.375</v>
      </c>
      <c r="AC5" s="22">
        <f t="shared" ref="AC5:AC50" si="2">U5/U$53</f>
        <v>0.27272727272727271</v>
      </c>
      <c r="AD5" s="22">
        <f t="shared" ref="AD5:AD50" si="3">V5/V$53</f>
        <v>0.2857142857142857</v>
      </c>
      <c r="AE5" s="22">
        <f t="shared" ref="AE5:AE50" si="4">W5/W$53</f>
        <v>0.42105263157894735</v>
      </c>
      <c r="AF5" s="22">
        <f t="shared" ref="AF5:AF50" si="5">X5/X$53</f>
        <v>0</v>
      </c>
      <c r="AG5" s="22">
        <f t="shared" ref="AG5:AG50" si="6">Y5/Y$53</f>
        <v>0.45238095238095238</v>
      </c>
      <c r="AH5" s="32"/>
      <c r="AI5" s="24" t="s">
        <v>166</v>
      </c>
    </row>
    <row r="6" spans="1:35" x14ac:dyDescent="0.25">
      <c r="A6" s="18" t="s">
        <v>168</v>
      </c>
      <c r="B6" s="8">
        <f>COUNTIFS(tbl_data[1:T1C],A6,tbl_data[12. Consultation Group of],$B$3)</f>
        <v>1</v>
      </c>
      <c r="C6" s="9">
        <f>COUNTIFS(tbl_data[1:T1C],$A6,tbl_data[12. Consultation Group of],$C$3)</f>
        <v>0</v>
      </c>
      <c r="D6" s="9">
        <f>COUNTIFS(tbl_data[1:T1C],$A6,tbl_data[12. Consultation Group of],$D$3)</f>
        <v>1</v>
      </c>
      <c r="E6" s="9">
        <f>COUNTIFS(tbl_data[1:T1C],$A6,tbl_data[12. Consultation Group of],$E$3)</f>
        <v>1</v>
      </c>
      <c r="F6" s="9">
        <f>COUNTIFS(tbl_data[1:T1C],$A6,tbl_data[12. Consultation Group of],$F$3)</f>
        <v>0</v>
      </c>
      <c r="G6" s="13">
        <f t="shared" ref="G6:G40" si="7">SUM(B6:F6)</f>
        <v>3</v>
      </c>
      <c r="H6" s="8">
        <f>COUNTIFS(tbl_data[2:T1C],A6,tbl_data[12. Consultation Group of],$H$3)</f>
        <v>1</v>
      </c>
      <c r="I6" s="9">
        <f>COUNTIFS(tbl_data[2:T1C],$A6,tbl_data[12. Consultation Group of],$I$3)</f>
        <v>0</v>
      </c>
      <c r="J6" s="9">
        <f>COUNTIFS(tbl_data[2:T1C],$A6,tbl_data[12. Consultation Group of],$J$3)</f>
        <v>0</v>
      </c>
      <c r="K6" s="9">
        <f>COUNTIFS(tbl_data[2:T1C],$A6,tbl_data[12. Consultation Group of],$K$3)</f>
        <v>0</v>
      </c>
      <c r="L6" s="9">
        <f>COUNTIFS(tbl_data[2:T1C],$A6,tbl_data[12. Consultation Group of],$L$3)</f>
        <v>0</v>
      </c>
      <c r="M6" s="13">
        <f t="shared" ref="M6:M50" si="8">SUM(H6:L6)</f>
        <v>1</v>
      </c>
      <c r="N6" s="8">
        <f>COUNTIFS(tbl_data[3:T1C],$A6,tbl_data[12. Consultation Group of],$N$3)</f>
        <v>2</v>
      </c>
      <c r="O6" s="9">
        <f>COUNTIFS(tbl_data[3:T1C],$A6,tbl_data[12. Consultation Group of],$O$3)</f>
        <v>0</v>
      </c>
      <c r="P6" s="9">
        <f>COUNTIFS(tbl_data[3:T1C],$A6,tbl_data[12. Consultation Group of],$P$3)</f>
        <v>1</v>
      </c>
      <c r="Q6" s="9">
        <f>COUNTIFS(tbl_data[3:T1C],$A6,tbl_data[12. Consultation Group of],$Q$3)</f>
        <v>2</v>
      </c>
      <c r="R6" s="9">
        <f>COUNTIFS(tbl_data[3:T1C],$A6,tbl_data[12. Consultation Group of],$R$3)</f>
        <v>1</v>
      </c>
      <c r="S6" s="13">
        <f t="shared" ref="S6:S40" si="9">SUM(N6:R6)</f>
        <v>6</v>
      </c>
      <c r="T6" s="8">
        <f t="shared" ref="T6:T50" si="10">B6*3+H6*2+N6*1</f>
        <v>7</v>
      </c>
      <c r="U6" s="9">
        <f t="shared" ref="U6:U50" si="11">C6*3+I6*2+O6*1</f>
        <v>0</v>
      </c>
      <c r="V6" s="9">
        <f t="shared" ref="V6:V50" si="12">D6*3+J6*2+P6*1</f>
        <v>4</v>
      </c>
      <c r="W6" s="9">
        <f t="shared" ref="W6:W50" si="13">E6*3+K6*2+Q6*1</f>
        <v>5</v>
      </c>
      <c r="X6" s="9">
        <f t="shared" ref="X6:X50" si="14">F6*3+L6*2+R6*1</f>
        <v>1</v>
      </c>
      <c r="Y6" s="13">
        <f t="shared" ref="Y6:Y50" si="15">SUM(T6:X6)</f>
        <v>17</v>
      </c>
      <c r="Z6" s="32"/>
      <c r="AB6" s="22">
        <f t="shared" si="1"/>
        <v>0.4375</v>
      </c>
      <c r="AC6" s="22">
        <f t="shared" si="2"/>
        <v>0</v>
      </c>
      <c r="AD6" s="22">
        <f t="shared" si="3"/>
        <v>0.5714285714285714</v>
      </c>
      <c r="AE6" s="22">
        <f t="shared" si="4"/>
        <v>0.26315789473684209</v>
      </c>
      <c r="AF6" s="22">
        <f t="shared" si="5"/>
        <v>0.1111111111111111</v>
      </c>
      <c r="AG6" s="22">
        <f t="shared" si="6"/>
        <v>0.40476190476190477</v>
      </c>
      <c r="AH6" s="32"/>
      <c r="AI6" s="24" t="s">
        <v>168</v>
      </c>
    </row>
    <row r="7" spans="1:35" x14ac:dyDescent="0.25">
      <c r="A7" s="18" t="s">
        <v>173</v>
      </c>
      <c r="B7" s="8">
        <f>COUNTIFS(tbl_data[1:T1C],A7,tbl_data[12. Consultation Group of],$B$3)</f>
        <v>0</v>
      </c>
      <c r="C7" s="9">
        <f>COUNTIFS(tbl_data[1:T1C],$A7,tbl_data[12. Consultation Group of],$C$3)</f>
        <v>0</v>
      </c>
      <c r="D7" s="9">
        <f>COUNTIFS(tbl_data[1:T1C],$A7,tbl_data[12. Consultation Group of],$D$3)</f>
        <v>0</v>
      </c>
      <c r="E7" s="9">
        <f>COUNTIFS(tbl_data[1:T1C],$A7,tbl_data[12. Consultation Group of],$E$3)</f>
        <v>0</v>
      </c>
      <c r="F7" s="9">
        <f>COUNTIFS(tbl_data[1:T1C],$A7,tbl_data[12. Consultation Group of],$F$3)</f>
        <v>0</v>
      </c>
      <c r="G7" s="13">
        <f t="shared" si="7"/>
        <v>0</v>
      </c>
      <c r="H7" s="8">
        <f>COUNTIFS(tbl_data[2:T1C],A7,tbl_data[12. Consultation Group of],$H$3)</f>
        <v>0</v>
      </c>
      <c r="I7" s="9">
        <f>COUNTIFS(tbl_data[2:T1C],$A7,tbl_data[12. Consultation Group of],$I$3)</f>
        <v>0</v>
      </c>
      <c r="J7" s="9">
        <f>COUNTIFS(tbl_data[2:T1C],$A7,tbl_data[12. Consultation Group of],$J$3)</f>
        <v>0</v>
      </c>
      <c r="K7" s="9">
        <f>COUNTIFS(tbl_data[2:T1C],$A7,tbl_data[12. Consultation Group of],$K$3)</f>
        <v>0</v>
      </c>
      <c r="L7" s="9">
        <f>COUNTIFS(tbl_data[2:T1C],$A7,tbl_data[12. Consultation Group of],$L$3)</f>
        <v>0</v>
      </c>
      <c r="M7" s="13">
        <f t="shared" si="8"/>
        <v>0</v>
      </c>
      <c r="N7" s="8">
        <f>COUNTIFS(tbl_data[3:T1C],$A7,tbl_data[12. Consultation Group of],$N$3)</f>
        <v>0</v>
      </c>
      <c r="O7" s="9">
        <f>COUNTIFS(tbl_data[3:T1C],$A7,tbl_data[12. Consultation Group of],$O$3)</f>
        <v>0</v>
      </c>
      <c r="P7" s="9">
        <f>COUNTIFS(tbl_data[3:T1C],$A7,tbl_data[12. Consultation Group of],$P$3)</f>
        <v>0</v>
      </c>
      <c r="Q7" s="9">
        <f>COUNTIFS(tbl_data[3:T1C],$A7,tbl_data[12. Consultation Group of],$Q$3)</f>
        <v>0</v>
      </c>
      <c r="R7" s="9">
        <f>COUNTIFS(tbl_data[3:T1C],$A7,tbl_data[12. Consultation Group of],$R$3)</f>
        <v>1</v>
      </c>
      <c r="S7" s="13">
        <f t="shared" si="9"/>
        <v>1</v>
      </c>
      <c r="T7" s="8">
        <f t="shared" si="10"/>
        <v>0</v>
      </c>
      <c r="U7" s="9">
        <f t="shared" si="11"/>
        <v>0</v>
      </c>
      <c r="V7" s="9">
        <f t="shared" si="12"/>
        <v>0</v>
      </c>
      <c r="W7" s="9">
        <f t="shared" si="13"/>
        <v>0</v>
      </c>
      <c r="X7" s="9">
        <f t="shared" si="14"/>
        <v>1</v>
      </c>
      <c r="Y7" s="13">
        <f t="shared" si="15"/>
        <v>1</v>
      </c>
      <c r="Z7" s="32"/>
      <c r="AB7" s="22">
        <f t="shared" si="1"/>
        <v>0</v>
      </c>
      <c r="AC7" s="22">
        <f t="shared" si="2"/>
        <v>0</v>
      </c>
      <c r="AD7" s="22">
        <f t="shared" si="3"/>
        <v>0</v>
      </c>
      <c r="AE7" s="22">
        <f t="shared" si="4"/>
        <v>0</v>
      </c>
      <c r="AF7" s="22">
        <f t="shared" si="5"/>
        <v>0.1111111111111111</v>
      </c>
      <c r="AG7" s="22">
        <f t="shared" si="6"/>
        <v>2.3809523809523808E-2</v>
      </c>
      <c r="AH7" s="32"/>
      <c r="AI7" s="24" t="s">
        <v>173</v>
      </c>
    </row>
    <row r="8" spans="1:35" x14ac:dyDescent="0.25">
      <c r="A8" s="18" t="s">
        <v>287</v>
      </c>
      <c r="B8" s="8">
        <f>COUNTIFS(tbl_data[1:T1C],A8,tbl_data[12. Consultation Group of],$B$3)</f>
        <v>3</v>
      </c>
      <c r="C8" s="9">
        <f>COUNTIFS(tbl_data[1:T1C],$A8,tbl_data[12. Consultation Group of],$C$3)</f>
        <v>0</v>
      </c>
      <c r="D8" s="9">
        <f>COUNTIFS(tbl_data[1:T1C],$A8,tbl_data[12. Consultation Group of],$D$3)</f>
        <v>2</v>
      </c>
      <c r="E8" s="9">
        <f>COUNTIFS(tbl_data[1:T1C],$A8,tbl_data[12. Consultation Group of],$E$3)</f>
        <v>5</v>
      </c>
      <c r="F8" s="9">
        <f>COUNTIFS(tbl_data[1:T1C],$A8,tbl_data[12. Consultation Group of],$F$3)</f>
        <v>0</v>
      </c>
      <c r="G8" s="13">
        <f t="shared" si="7"/>
        <v>10</v>
      </c>
      <c r="H8" s="8">
        <f>COUNTIFS(tbl_data[2:T1C],A8,tbl_data[12. Consultation Group of],$H$3)</f>
        <v>2</v>
      </c>
      <c r="I8" s="9">
        <f>COUNTIFS(tbl_data[2:T1C],$A8,tbl_data[12. Consultation Group of],$I$3)</f>
        <v>1</v>
      </c>
      <c r="J8" s="9">
        <f>COUNTIFS(tbl_data[2:T1C],$A8,tbl_data[12. Consultation Group of],$J$3)</f>
        <v>0</v>
      </c>
      <c r="K8" s="9">
        <f>COUNTIFS(tbl_data[2:T1C],$A8,tbl_data[12. Consultation Group of],$K$3)</f>
        <v>1</v>
      </c>
      <c r="L8" s="9">
        <f>COUNTIFS(tbl_data[2:T1C],$A8,tbl_data[12. Consultation Group of],$L$3)</f>
        <v>0</v>
      </c>
      <c r="M8" s="13">
        <f t="shared" si="8"/>
        <v>4</v>
      </c>
      <c r="N8" s="8">
        <f>COUNTIFS(tbl_data[3:T1C],$A8,tbl_data[12. Consultation Group of],$N$3)</f>
        <v>1</v>
      </c>
      <c r="O8" s="9">
        <f>COUNTIFS(tbl_data[3:T1C],$A8,tbl_data[12. Consultation Group of],$O$3)</f>
        <v>0</v>
      </c>
      <c r="P8" s="9">
        <f>COUNTIFS(tbl_data[3:T1C],$A8,tbl_data[12. Consultation Group of],$P$3)</f>
        <v>0</v>
      </c>
      <c r="Q8" s="9">
        <f>COUNTIFS(tbl_data[3:T1C],$A8,tbl_data[12. Consultation Group of],$Q$3)</f>
        <v>2</v>
      </c>
      <c r="R8" s="9">
        <f>COUNTIFS(tbl_data[3:T1C],$A8,tbl_data[12. Consultation Group of],$R$3)</f>
        <v>1</v>
      </c>
      <c r="S8" s="13">
        <f t="shared" si="9"/>
        <v>4</v>
      </c>
      <c r="T8" s="8">
        <f t="shared" si="10"/>
        <v>14</v>
      </c>
      <c r="U8" s="9">
        <f t="shared" si="11"/>
        <v>2</v>
      </c>
      <c r="V8" s="9">
        <f t="shared" si="12"/>
        <v>6</v>
      </c>
      <c r="W8" s="9">
        <f t="shared" si="13"/>
        <v>19</v>
      </c>
      <c r="X8" s="9">
        <f t="shared" si="14"/>
        <v>1</v>
      </c>
      <c r="Y8" s="13">
        <f t="shared" si="15"/>
        <v>42</v>
      </c>
      <c r="Z8" s="32"/>
      <c r="AB8" s="22">
        <f t="shared" si="1"/>
        <v>0.875</v>
      </c>
      <c r="AC8" s="22">
        <f t="shared" si="2"/>
        <v>0.18181818181818182</v>
      </c>
      <c r="AD8" s="22">
        <f t="shared" si="3"/>
        <v>0.8571428571428571</v>
      </c>
      <c r="AE8" s="22">
        <f t="shared" si="4"/>
        <v>1</v>
      </c>
      <c r="AF8" s="22">
        <f t="shared" si="5"/>
        <v>0.1111111111111111</v>
      </c>
      <c r="AG8" s="22">
        <f t="shared" si="6"/>
        <v>1</v>
      </c>
      <c r="AH8" s="32"/>
      <c r="AI8" s="24" t="s">
        <v>287</v>
      </c>
    </row>
    <row r="9" spans="1:35" x14ac:dyDescent="0.25">
      <c r="A9" s="18" t="s">
        <v>278</v>
      </c>
      <c r="B9" s="8">
        <f>COUNTIFS(tbl_data[1:T1C],A9,tbl_data[12. Consultation Group of],$B$3)</f>
        <v>0</v>
      </c>
      <c r="C9" s="9">
        <f>COUNTIFS(tbl_data[1:T1C],$A9,tbl_data[12. Consultation Group of],$C$3)</f>
        <v>0</v>
      </c>
      <c r="D9" s="9">
        <f>COUNTIFS(tbl_data[1:T1C],$A9,tbl_data[12. Consultation Group of],$D$3)</f>
        <v>0</v>
      </c>
      <c r="E9" s="9">
        <f>COUNTIFS(tbl_data[1:T1C],$A9,tbl_data[12. Consultation Group of],$E$3)</f>
        <v>0</v>
      </c>
      <c r="F9" s="9">
        <f>COUNTIFS(tbl_data[1:T1C],$A9,tbl_data[12. Consultation Group of],$F$3)</f>
        <v>1</v>
      </c>
      <c r="G9" s="13">
        <f t="shared" si="7"/>
        <v>1</v>
      </c>
      <c r="H9" s="8">
        <f>COUNTIFS(tbl_data[2:T1C],A9,tbl_data[12. Consultation Group of],$H$3)</f>
        <v>0</v>
      </c>
      <c r="I9" s="9">
        <f>COUNTIFS(tbl_data[2:T1C],$A9,tbl_data[12. Consultation Group of],$I$3)</f>
        <v>0</v>
      </c>
      <c r="J9" s="9">
        <f>COUNTIFS(tbl_data[2:T1C],$A9,tbl_data[12. Consultation Group of],$J$3)</f>
        <v>0</v>
      </c>
      <c r="K9" s="9">
        <f>COUNTIFS(tbl_data[2:T1C],$A9,tbl_data[12. Consultation Group of],$K$3)</f>
        <v>0</v>
      </c>
      <c r="L9" s="9">
        <f>COUNTIFS(tbl_data[2:T1C],$A9,tbl_data[12. Consultation Group of],$L$3)</f>
        <v>1</v>
      </c>
      <c r="M9" s="13">
        <f t="shared" si="8"/>
        <v>1</v>
      </c>
      <c r="N9" s="8">
        <f>COUNTIFS(tbl_data[3:T1C],$A9,tbl_data[12. Consultation Group of],$N$3)</f>
        <v>0</v>
      </c>
      <c r="O9" s="9">
        <f>COUNTIFS(tbl_data[3:T1C],$A9,tbl_data[12. Consultation Group of],$O$3)</f>
        <v>0</v>
      </c>
      <c r="P9" s="9">
        <f>COUNTIFS(tbl_data[3:T1C],$A9,tbl_data[12. Consultation Group of],$P$3)</f>
        <v>0</v>
      </c>
      <c r="Q9" s="9">
        <f>COUNTIFS(tbl_data[3:T1C],$A9,tbl_data[12. Consultation Group of],$Q$3)</f>
        <v>0</v>
      </c>
      <c r="R9" s="9">
        <f>COUNTIFS(tbl_data[3:T1C],$A9,tbl_data[12. Consultation Group of],$R$3)</f>
        <v>0</v>
      </c>
      <c r="S9" s="13">
        <f t="shared" si="9"/>
        <v>0</v>
      </c>
      <c r="T9" s="8">
        <f t="shared" si="10"/>
        <v>0</v>
      </c>
      <c r="U9" s="9">
        <f t="shared" si="11"/>
        <v>0</v>
      </c>
      <c r="V9" s="9">
        <f t="shared" si="12"/>
        <v>0</v>
      </c>
      <c r="W9" s="9">
        <f t="shared" si="13"/>
        <v>0</v>
      </c>
      <c r="X9" s="9">
        <f t="shared" si="14"/>
        <v>5</v>
      </c>
      <c r="Y9" s="13">
        <f t="shared" si="15"/>
        <v>5</v>
      </c>
      <c r="Z9" s="32"/>
      <c r="AB9" s="22">
        <f t="shared" si="1"/>
        <v>0</v>
      </c>
      <c r="AC9" s="22">
        <f t="shared" si="2"/>
        <v>0</v>
      </c>
      <c r="AD9" s="22">
        <f t="shared" si="3"/>
        <v>0</v>
      </c>
      <c r="AE9" s="22">
        <f t="shared" si="4"/>
        <v>0</v>
      </c>
      <c r="AF9" s="22">
        <f t="shared" si="5"/>
        <v>0.55555555555555558</v>
      </c>
      <c r="AG9" s="22">
        <f t="shared" si="6"/>
        <v>0.11904761904761904</v>
      </c>
      <c r="AH9" s="32"/>
      <c r="AI9" s="24" t="s">
        <v>278</v>
      </c>
    </row>
    <row r="10" spans="1:35" x14ac:dyDescent="0.25">
      <c r="A10" s="18" t="s">
        <v>229</v>
      </c>
      <c r="B10" s="8">
        <f>COUNTIFS(tbl_data[1:T1C],A10,tbl_data[12. Consultation Group of],$B$3)</f>
        <v>4</v>
      </c>
      <c r="C10" s="9">
        <f>COUNTIFS(tbl_data[1:T1C],$A10,tbl_data[12. Consultation Group of],$C$3)</f>
        <v>0</v>
      </c>
      <c r="D10" s="9">
        <f>COUNTIFS(tbl_data[1:T1C],$A10,tbl_data[12. Consultation Group of],$D$3)</f>
        <v>0</v>
      </c>
      <c r="E10" s="9">
        <f>COUNTIFS(tbl_data[1:T1C],$A10,tbl_data[12. Consultation Group of],$E$3)</f>
        <v>0</v>
      </c>
      <c r="F10" s="9">
        <f>COUNTIFS(tbl_data[1:T1C],$A10,tbl_data[12. Consultation Group of],$F$3)</f>
        <v>2</v>
      </c>
      <c r="G10" s="13">
        <f t="shared" si="7"/>
        <v>6</v>
      </c>
      <c r="H10" s="8">
        <f>COUNTIFS(tbl_data[2:T1C],A10,tbl_data[12. Consultation Group of],$H$3)</f>
        <v>2</v>
      </c>
      <c r="I10" s="9">
        <f>COUNTIFS(tbl_data[2:T1C],$A10,tbl_data[12. Consultation Group of],$I$3)</f>
        <v>0</v>
      </c>
      <c r="J10" s="9">
        <f>COUNTIFS(tbl_data[2:T1C],$A10,tbl_data[12. Consultation Group of],$J$3)</f>
        <v>1</v>
      </c>
      <c r="K10" s="9">
        <f>COUNTIFS(tbl_data[2:T1C],$A10,tbl_data[12. Consultation Group of],$K$3)</f>
        <v>1</v>
      </c>
      <c r="L10" s="9">
        <f>COUNTIFS(tbl_data[2:T1C],$A10,tbl_data[12. Consultation Group of],$L$3)</f>
        <v>1</v>
      </c>
      <c r="M10" s="13">
        <f t="shared" si="8"/>
        <v>5</v>
      </c>
      <c r="N10" s="8">
        <f>COUNTIFS(tbl_data[3:T1C],$A10,tbl_data[12. Consultation Group of],$N$3)</f>
        <v>0</v>
      </c>
      <c r="O10" s="9">
        <f>COUNTIFS(tbl_data[3:T1C],$A10,tbl_data[12. Consultation Group of],$O$3)</f>
        <v>0</v>
      </c>
      <c r="P10" s="9">
        <f>COUNTIFS(tbl_data[3:T1C],$A10,tbl_data[12. Consultation Group of],$P$3)</f>
        <v>0</v>
      </c>
      <c r="Q10" s="9">
        <f>COUNTIFS(tbl_data[3:T1C],$A10,tbl_data[12. Consultation Group of],$Q$3)</f>
        <v>0</v>
      </c>
      <c r="R10" s="9">
        <f>COUNTIFS(tbl_data[3:T1C],$A10,tbl_data[12. Consultation Group of],$R$3)</f>
        <v>1</v>
      </c>
      <c r="S10" s="13">
        <f t="shared" si="9"/>
        <v>1</v>
      </c>
      <c r="T10" s="8">
        <f t="shared" si="10"/>
        <v>16</v>
      </c>
      <c r="U10" s="9">
        <f t="shared" si="11"/>
        <v>0</v>
      </c>
      <c r="V10" s="9">
        <f t="shared" si="12"/>
        <v>2</v>
      </c>
      <c r="W10" s="9">
        <f t="shared" si="13"/>
        <v>2</v>
      </c>
      <c r="X10" s="9">
        <f t="shared" si="14"/>
        <v>9</v>
      </c>
      <c r="Y10" s="13">
        <f t="shared" si="15"/>
        <v>29</v>
      </c>
      <c r="Z10" s="32"/>
      <c r="AB10" s="22">
        <f t="shared" si="1"/>
        <v>1</v>
      </c>
      <c r="AC10" s="22">
        <f t="shared" si="2"/>
        <v>0</v>
      </c>
      <c r="AD10" s="22">
        <f t="shared" si="3"/>
        <v>0.2857142857142857</v>
      </c>
      <c r="AE10" s="22">
        <f t="shared" si="4"/>
        <v>0.10526315789473684</v>
      </c>
      <c r="AF10" s="22">
        <f t="shared" si="5"/>
        <v>1</v>
      </c>
      <c r="AG10" s="22">
        <f t="shared" si="6"/>
        <v>0.69047619047619047</v>
      </c>
      <c r="AH10" s="32"/>
      <c r="AI10" s="24" t="s">
        <v>229</v>
      </c>
    </row>
    <row r="11" spans="1:35" x14ac:dyDescent="0.25">
      <c r="A11" s="18" t="s">
        <v>158</v>
      </c>
      <c r="B11" s="8">
        <f>COUNTIFS(tbl_data[1:T1C],A11,tbl_data[12. Consultation Group of],$B$3)</f>
        <v>0</v>
      </c>
      <c r="C11" s="9">
        <f>COUNTIFS(tbl_data[1:T1C],$A11,tbl_data[12. Consultation Group of],$C$3)</f>
        <v>0</v>
      </c>
      <c r="D11" s="9">
        <f>COUNTIFS(tbl_data[1:T1C],$A11,tbl_data[12. Consultation Group of],$D$3)</f>
        <v>0</v>
      </c>
      <c r="E11" s="9">
        <f>COUNTIFS(tbl_data[1:T1C],$A11,tbl_data[12. Consultation Group of],$E$3)</f>
        <v>0</v>
      </c>
      <c r="F11" s="9">
        <f>COUNTIFS(tbl_data[1:T1C],$A11,tbl_data[12. Consultation Group of],$F$3)</f>
        <v>0</v>
      </c>
      <c r="G11" s="13">
        <f t="shared" si="7"/>
        <v>0</v>
      </c>
      <c r="H11" s="8">
        <f>COUNTIFS(tbl_data[2:T1C],A11,tbl_data[12. Consultation Group of],$H$3)</f>
        <v>1</v>
      </c>
      <c r="I11" s="9">
        <f>COUNTIFS(tbl_data[2:T1C],$A11,tbl_data[12. Consultation Group of],$I$3)</f>
        <v>0</v>
      </c>
      <c r="J11" s="9">
        <f>COUNTIFS(tbl_data[2:T1C],$A11,tbl_data[12. Consultation Group of],$J$3)</f>
        <v>0</v>
      </c>
      <c r="K11" s="9">
        <f>COUNTIFS(tbl_data[2:T1C],$A11,tbl_data[12. Consultation Group of],$K$3)</f>
        <v>0</v>
      </c>
      <c r="L11" s="9">
        <f>COUNTIFS(tbl_data[2:T1C],$A11,tbl_data[12. Consultation Group of],$L$3)</f>
        <v>0</v>
      </c>
      <c r="M11" s="13">
        <f t="shared" si="8"/>
        <v>1</v>
      </c>
      <c r="N11" s="8">
        <f>COUNTIFS(tbl_data[3:T1C],$A11,tbl_data[12. Consultation Group of],$N$3)</f>
        <v>0</v>
      </c>
      <c r="O11" s="9">
        <f>COUNTIFS(tbl_data[3:T1C],$A11,tbl_data[12. Consultation Group of],$O$3)</f>
        <v>0</v>
      </c>
      <c r="P11" s="9">
        <f>COUNTIFS(tbl_data[3:T1C],$A11,tbl_data[12. Consultation Group of],$P$3)</f>
        <v>0</v>
      </c>
      <c r="Q11" s="9">
        <f>COUNTIFS(tbl_data[3:T1C],$A11,tbl_data[12. Consultation Group of],$Q$3)</f>
        <v>0</v>
      </c>
      <c r="R11" s="9">
        <f>COUNTIFS(tbl_data[3:T1C],$A11,tbl_data[12. Consultation Group of],$R$3)</f>
        <v>0</v>
      </c>
      <c r="S11" s="13">
        <f t="shared" si="9"/>
        <v>0</v>
      </c>
      <c r="T11" s="8">
        <f t="shared" si="10"/>
        <v>2</v>
      </c>
      <c r="U11" s="9">
        <f t="shared" si="11"/>
        <v>0</v>
      </c>
      <c r="V11" s="9">
        <f t="shared" si="12"/>
        <v>0</v>
      </c>
      <c r="W11" s="9">
        <f t="shared" si="13"/>
        <v>0</v>
      </c>
      <c r="X11" s="9">
        <f t="shared" si="14"/>
        <v>0</v>
      </c>
      <c r="Y11" s="13">
        <f t="shared" si="15"/>
        <v>2</v>
      </c>
      <c r="Z11" s="32"/>
      <c r="AB11" s="22">
        <f t="shared" si="1"/>
        <v>0.125</v>
      </c>
      <c r="AC11" s="22">
        <f t="shared" si="2"/>
        <v>0</v>
      </c>
      <c r="AD11" s="22">
        <f t="shared" si="3"/>
        <v>0</v>
      </c>
      <c r="AE11" s="22">
        <f t="shared" si="4"/>
        <v>0</v>
      </c>
      <c r="AF11" s="22">
        <f t="shared" si="5"/>
        <v>0</v>
      </c>
      <c r="AG11" s="22">
        <f t="shared" si="6"/>
        <v>4.7619047619047616E-2</v>
      </c>
      <c r="AH11" s="32"/>
      <c r="AI11" s="24" t="s">
        <v>158</v>
      </c>
    </row>
    <row r="12" spans="1:35" x14ac:dyDescent="0.25">
      <c r="A12" s="18" t="s">
        <v>202</v>
      </c>
      <c r="B12" s="8">
        <f>COUNTIFS(tbl_data[1:T1C],A12,tbl_data[12. Consultation Group of],$B$3)</f>
        <v>0</v>
      </c>
      <c r="C12" s="9">
        <f>COUNTIFS(tbl_data[1:T1C],$A12,tbl_data[12. Consultation Group of],$C$3)</f>
        <v>0</v>
      </c>
      <c r="D12" s="9">
        <f>COUNTIFS(tbl_data[1:T1C],$A12,tbl_data[12. Consultation Group of],$D$3)</f>
        <v>0</v>
      </c>
      <c r="E12" s="9">
        <f>COUNTIFS(tbl_data[1:T1C],$A12,tbl_data[12. Consultation Group of],$E$3)</f>
        <v>0</v>
      </c>
      <c r="F12" s="9">
        <f>COUNTIFS(tbl_data[1:T1C],$A12,tbl_data[12. Consultation Group of],$F$3)</f>
        <v>0</v>
      </c>
      <c r="G12" s="13">
        <f t="shared" si="7"/>
        <v>0</v>
      </c>
      <c r="H12" s="8">
        <f>COUNTIFS(tbl_data[2:T1C],A12,tbl_data[12. Consultation Group of],$H$3)</f>
        <v>0</v>
      </c>
      <c r="I12" s="9">
        <f>COUNTIFS(tbl_data[2:T1C],$A12,tbl_data[12. Consultation Group of],$I$3)</f>
        <v>0</v>
      </c>
      <c r="J12" s="9">
        <f>COUNTIFS(tbl_data[2:T1C],$A12,tbl_data[12. Consultation Group of],$J$3)</f>
        <v>0</v>
      </c>
      <c r="K12" s="9">
        <f>COUNTIFS(tbl_data[2:T1C],$A12,tbl_data[12. Consultation Group of],$K$3)</f>
        <v>0</v>
      </c>
      <c r="L12" s="9">
        <f>COUNTIFS(tbl_data[2:T1C],$A12,tbl_data[12. Consultation Group of],$L$3)</f>
        <v>0</v>
      </c>
      <c r="M12" s="13">
        <f t="shared" si="8"/>
        <v>0</v>
      </c>
      <c r="N12" s="8">
        <f>COUNTIFS(tbl_data[3:T1C],$A12,tbl_data[12. Consultation Group of],$N$3)</f>
        <v>1</v>
      </c>
      <c r="O12" s="9">
        <f>COUNTIFS(tbl_data[3:T1C],$A12,tbl_data[12. Consultation Group of],$O$3)</f>
        <v>0</v>
      </c>
      <c r="P12" s="9">
        <f>COUNTIFS(tbl_data[3:T1C],$A12,tbl_data[12. Consultation Group of],$P$3)</f>
        <v>0</v>
      </c>
      <c r="Q12" s="9">
        <f>COUNTIFS(tbl_data[3:T1C],$A12,tbl_data[12. Consultation Group of],$Q$3)</f>
        <v>0</v>
      </c>
      <c r="R12" s="9">
        <f>COUNTIFS(tbl_data[3:T1C],$A12,tbl_data[12. Consultation Group of],$R$3)</f>
        <v>0</v>
      </c>
      <c r="S12" s="13">
        <f t="shared" si="9"/>
        <v>1</v>
      </c>
      <c r="T12" s="8">
        <f t="shared" si="10"/>
        <v>1</v>
      </c>
      <c r="U12" s="9">
        <f t="shared" si="11"/>
        <v>0</v>
      </c>
      <c r="V12" s="9">
        <f t="shared" si="12"/>
        <v>0</v>
      </c>
      <c r="W12" s="9">
        <f t="shared" si="13"/>
        <v>0</v>
      </c>
      <c r="X12" s="9">
        <f t="shared" si="14"/>
        <v>0</v>
      </c>
      <c r="Y12" s="13">
        <f t="shared" si="15"/>
        <v>1</v>
      </c>
      <c r="Z12" s="32"/>
      <c r="AB12" s="22">
        <f t="shared" si="1"/>
        <v>6.25E-2</v>
      </c>
      <c r="AC12" s="22">
        <f t="shared" si="2"/>
        <v>0</v>
      </c>
      <c r="AD12" s="22">
        <f t="shared" si="3"/>
        <v>0</v>
      </c>
      <c r="AE12" s="22">
        <f t="shared" si="4"/>
        <v>0</v>
      </c>
      <c r="AF12" s="22">
        <f t="shared" si="5"/>
        <v>0</v>
      </c>
      <c r="AG12" s="22">
        <f t="shared" si="6"/>
        <v>2.3809523809523808E-2</v>
      </c>
      <c r="AH12" s="32"/>
      <c r="AI12" s="24" t="s">
        <v>202</v>
      </c>
    </row>
    <row r="13" spans="1:35" x14ac:dyDescent="0.25">
      <c r="A13" s="18" t="s">
        <v>174</v>
      </c>
      <c r="B13" s="8">
        <f>COUNTIFS(tbl_data[1:T1C],A13,tbl_data[12. Consultation Group of],$B$3)</f>
        <v>0</v>
      </c>
      <c r="C13" s="9">
        <f>COUNTIFS(tbl_data[1:T1C],$A13,tbl_data[12. Consultation Group of],$C$3)</f>
        <v>3</v>
      </c>
      <c r="D13" s="9">
        <f>COUNTIFS(tbl_data[1:T1C],$A13,tbl_data[12. Consultation Group of],$D$3)</f>
        <v>2</v>
      </c>
      <c r="E13" s="9">
        <f>COUNTIFS(tbl_data[1:T1C],$A13,tbl_data[12. Consultation Group of],$E$3)</f>
        <v>3</v>
      </c>
      <c r="F13" s="9">
        <f>COUNTIFS(tbl_data[1:T1C],$A13,tbl_data[12. Consultation Group of],$F$3)</f>
        <v>0</v>
      </c>
      <c r="G13" s="13">
        <f t="shared" si="7"/>
        <v>8</v>
      </c>
      <c r="H13" s="8">
        <f>COUNTIFS(tbl_data[2:T1C],A13,tbl_data[12. Consultation Group of],$H$3)</f>
        <v>0</v>
      </c>
      <c r="I13" s="9">
        <f>COUNTIFS(tbl_data[2:T1C],$A13,tbl_data[12. Consultation Group of],$I$3)</f>
        <v>0</v>
      </c>
      <c r="J13" s="9">
        <f>COUNTIFS(tbl_data[2:T1C],$A13,tbl_data[12. Consultation Group of],$J$3)</f>
        <v>0</v>
      </c>
      <c r="K13" s="9">
        <f>COUNTIFS(tbl_data[2:T1C],$A13,tbl_data[12. Consultation Group of],$K$3)</f>
        <v>2</v>
      </c>
      <c r="L13" s="9">
        <f>COUNTIFS(tbl_data[2:T1C],$A13,tbl_data[12. Consultation Group of],$L$3)</f>
        <v>2</v>
      </c>
      <c r="M13" s="13">
        <f t="shared" si="8"/>
        <v>4</v>
      </c>
      <c r="N13" s="8">
        <f>COUNTIFS(tbl_data[3:T1C],$A13,tbl_data[12. Consultation Group of],$N$3)</f>
        <v>1</v>
      </c>
      <c r="O13" s="9">
        <f>COUNTIFS(tbl_data[3:T1C],$A13,tbl_data[12. Consultation Group of],$O$3)</f>
        <v>2</v>
      </c>
      <c r="P13" s="9">
        <f>COUNTIFS(tbl_data[3:T1C],$A13,tbl_data[12. Consultation Group of],$P$3)</f>
        <v>1</v>
      </c>
      <c r="Q13" s="9">
        <f>COUNTIFS(tbl_data[3:T1C],$A13,tbl_data[12. Consultation Group of],$Q$3)</f>
        <v>1</v>
      </c>
      <c r="R13" s="9">
        <f>COUNTIFS(tbl_data[3:T1C],$A13,tbl_data[12. Consultation Group of],$R$3)</f>
        <v>0</v>
      </c>
      <c r="S13" s="13">
        <f t="shared" si="9"/>
        <v>5</v>
      </c>
      <c r="T13" s="8">
        <f t="shared" si="10"/>
        <v>1</v>
      </c>
      <c r="U13" s="9">
        <f t="shared" si="11"/>
        <v>11</v>
      </c>
      <c r="V13" s="9">
        <f t="shared" si="12"/>
        <v>7</v>
      </c>
      <c r="W13" s="9">
        <f t="shared" si="13"/>
        <v>14</v>
      </c>
      <c r="X13" s="9">
        <f t="shared" si="14"/>
        <v>4</v>
      </c>
      <c r="Y13" s="13">
        <f t="shared" si="15"/>
        <v>37</v>
      </c>
      <c r="Z13" s="32"/>
      <c r="AB13" s="22">
        <f t="shared" si="1"/>
        <v>6.25E-2</v>
      </c>
      <c r="AC13" s="22">
        <f t="shared" si="2"/>
        <v>1</v>
      </c>
      <c r="AD13" s="22">
        <f t="shared" si="3"/>
        <v>1</v>
      </c>
      <c r="AE13" s="22">
        <f t="shared" si="4"/>
        <v>0.73684210526315785</v>
      </c>
      <c r="AF13" s="22">
        <f t="shared" si="5"/>
        <v>0.44444444444444442</v>
      </c>
      <c r="AG13" s="22">
        <f t="shared" si="6"/>
        <v>0.88095238095238093</v>
      </c>
      <c r="AH13" s="32"/>
      <c r="AI13" s="24" t="s">
        <v>174</v>
      </c>
    </row>
    <row r="14" spans="1:35" x14ac:dyDescent="0.25">
      <c r="A14" s="18" t="s">
        <v>167</v>
      </c>
      <c r="B14" s="8">
        <f>COUNTIFS(tbl_data[1:T1C],A14,tbl_data[12. Consultation Group of],$B$3)</f>
        <v>0</v>
      </c>
      <c r="C14" s="9">
        <f>COUNTIFS(tbl_data[1:T1C],$A14,tbl_data[12. Consultation Group of],$C$3)</f>
        <v>1</v>
      </c>
      <c r="D14" s="9">
        <f>COUNTIFS(tbl_data[1:T1C],$A14,tbl_data[12. Consultation Group of],$D$3)</f>
        <v>0</v>
      </c>
      <c r="E14" s="9">
        <f>COUNTIFS(tbl_data[1:T1C],$A14,tbl_data[12. Consultation Group of],$E$3)</f>
        <v>1</v>
      </c>
      <c r="F14" s="9">
        <f>COUNTIFS(tbl_data[1:T1C],$A14,tbl_data[12. Consultation Group of],$F$3)</f>
        <v>0</v>
      </c>
      <c r="G14" s="13">
        <f t="shared" si="7"/>
        <v>2</v>
      </c>
      <c r="H14" s="8">
        <f>COUNTIFS(tbl_data[2:T1C],A14,tbl_data[12. Consultation Group of],$H$3)</f>
        <v>2</v>
      </c>
      <c r="I14" s="9">
        <f>COUNTIFS(tbl_data[2:T1C],$A14,tbl_data[12. Consultation Group of],$I$3)</f>
        <v>0</v>
      </c>
      <c r="J14" s="9">
        <f>COUNTIFS(tbl_data[2:T1C],$A14,tbl_data[12. Consultation Group of],$J$3)</f>
        <v>2</v>
      </c>
      <c r="K14" s="9">
        <f>COUNTIFS(tbl_data[2:T1C],$A14,tbl_data[12. Consultation Group of],$K$3)</f>
        <v>0</v>
      </c>
      <c r="L14" s="9">
        <f>COUNTIFS(tbl_data[2:T1C],$A14,tbl_data[12. Consultation Group of],$L$3)</f>
        <v>1</v>
      </c>
      <c r="M14" s="13">
        <f t="shared" si="8"/>
        <v>5</v>
      </c>
      <c r="N14" s="8">
        <f>COUNTIFS(tbl_data[3:T1C],$A14,tbl_data[12. Consultation Group of],$N$3)</f>
        <v>1</v>
      </c>
      <c r="O14" s="9">
        <f>COUNTIFS(tbl_data[3:T1C],$A14,tbl_data[12. Consultation Group of],$O$3)</f>
        <v>1</v>
      </c>
      <c r="P14" s="9">
        <f>COUNTIFS(tbl_data[3:T1C],$A14,tbl_data[12. Consultation Group of],$P$3)</f>
        <v>0</v>
      </c>
      <c r="Q14" s="9">
        <f>COUNTIFS(tbl_data[3:T1C],$A14,tbl_data[12. Consultation Group of],$Q$3)</f>
        <v>1</v>
      </c>
      <c r="R14" s="9">
        <f>COUNTIFS(tbl_data[3:T1C],$A14,tbl_data[12. Consultation Group of],$R$3)</f>
        <v>0</v>
      </c>
      <c r="S14" s="13">
        <f t="shared" si="9"/>
        <v>3</v>
      </c>
      <c r="T14" s="8">
        <f t="shared" si="10"/>
        <v>5</v>
      </c>
      <c r="U14" s="9">
        <f t="shared" si="11"/>
        <v>4</v>
      </c>
      <c r="V14" s="9">
        <f t="shared" si="12"/>
        <v>4</v>
      </c>
      <c r="W14" s="9">
        <f t="shared" si="13"/>
        <v>4</v>
      </c>
      <c r="X14" s="9">
        <f t="shared" si="14"/>
        <v>2</v>
      </c>
      <c r="Y14" s="13">
        <f t="shared" si="15"/>
        <v>19</v>
      </c>
      <c r="Z14" s="32"/>
      <c r="AB14" s="22">
        <f t="shared" si="1"/>
        <v>0.3125</v>
      </c>
      <c r="AC14" s="22">
        <f t="shared" si="2"/>
        <v>0.36363636363636365</v>
      </c>
      <c r="AD14" s="22">
        <f t="shared" si="3"/>
        <v>0.5714285714285714</v>
      </c>
      <c r="AE14" s="22">
        <f t="shared" si="4"/>
        <v>0.21052631578947367</v>
      </c>
      <c r="AF14" s="22">
        <f t="shared" si="5"/>
        <v>0.22222222222222221</v>
      </c>
      <c r="AG14" s="22">
        <f t="shared" si="6"/>
        <v>0.45238095238095238</v>
      </c>
      <c r="AH14" s="32"/>
      <c r="AI14" s="24" t="s">
        <v>167</v>
      </c>
    </row>
    <row r="15" spans="1:35" x14ac:dyDescent="0.25">
      <c r="A15" s="18" t="s">
        <v>318</v>
      </c>
      <c r="B15" s="8">
        <f>COUNTIFS(tbl_data[1:T1C],A15,tbl_data[12. Consultation Group of],$B$3)</f>
        <v>1</v>
      </c>
      <c r="C15" s="9">
        <f>COUNTIFS(tbl_data[1:T1C],$A15,tbl_data[12. Consultation Group of],$C$3)</f>
        <v>0</v>
      </c>
      <c r="D15" s="9">
        <f>COUNTIFS(tbl_data[1:T1C],$A15,tbl_data[12. Consultation Group of],$D$3)</f>
        <v>0</v>
      </c>
      <c r="E15" s="9">
        <f>COUNTIFS(tbl_data[1:T1C],$A15,tbl_data[12. Consultation Group of],$E$3)</f>
        <v>1</v>
      </c>
      <c r="F15" s="9">
        <f>COUNTIFS(tbl_data[1:T1C],$A15,tbl_data[12. Consultation Group of],$F$3)</f>
        <v>0</v>
      </c>
      <c r="G15" s="13">
        <f t="shared" si="7"/>
        <v>2</v>
      </c>
      <c r="H15" s="8">
        <f>COUNTIFS(tbl_data[2:T1C],A15,tbl_data[12. Consultation Group of],$H$3)</f>
        <v>0</v>
      </c>
      <c r="I15" s="9">
        <f>COUNTIFS(tbl_data[2:T1C],$A15,tbl_data[12. Consultation Group of],$I$3)</f>
        <v>0</v>
      </c>
      <c r="J15" s="9">
        <f>COUNTIFS(tbl_data[2:T1C],$A15,tbl_data[12. Consultation Group of],$J$3)</f>
        <v>0</v>
      </c>
      <c r="K15" s="9">
        <f>COUNTIFS(tbl_data[2:T1C],$A15,tbl_data[12. Consultation Group of],$K$3)</f>
        <v>0</v>
      </c>
      <c r="L15" s="9">
        <f>COUNTIFS(tbl_data[2:T1C],$A15,tbl_data[12. Consultation Group of],$L$3)</f>
        <v>0</v>
      </c>
      <c r="M15" s="13">
        <f t="shared" si="8"/>
        <v>0</v>
      </c>
      <c r="N15" s="8">
        <f>COUNTIFS(tbl_data[3:T1C],$A15,tbl_data[12. Consultation Group of],$N$3)</f>
        <v>0</v>
      </c>
      <c r="O15" s="9">
        <f>COUNTIFS(tbl_data[3:T1C],$A15,tbl_data[12. Consultation Group of],$O$3)</f>
        <v>0</v>
      </c>
      <c r="P15" s="9">
        <f>COUNTIFS(tbl_data[3:T1C],$A15,tbl_data[12. Consultation Group of],$P$3)</f>
        <v>0</v>
      </c>
      <c r="Q15" s="9">
        <f>COUNTIFS(tbl_data[3:T1C],$A15,tbl_data[12. Consultation Group of],$Q$3)</f>
        <v>0</v>
      </c>
      <c r="R15" s="9">
        <f>COUNTIFS(tbl_data[3:T1C],$A15,tbl_data[12. Consultation Group of],$R$3)</f>
        <v>0</v>
      </c>
      <c r="S15" s="13">
        <f t="shared" si="9"/>
        <v>0</v>
      </c>
      <c r="T15" s="8">
        <f t="shared" si="10"/>
        <v>3</v>
      </c>
      <c r="U15" s="9">
        <f t="shared" si="11"/>
        <v>0</v>
      </c>
      <c r="V15" s="9">
        <f t="shared" si="12"/>
        <v>0</v>
      </c>
      <c r="W15" s="9">
        <f t="shared" si="13"/>
        <v>3</v>
      </c>
      <c r="X15" s="9">
        <f t="shared" si="14"/>
        <v>0</v>
      </c>
      <c r="Y15" s="13">
        <f t="shared" si="15"/>
        <v>6</v>
      </c>
      <c r="Z15" s="32"/>
      <c r="AB15" s="22">
        <f t="shared" si="1"/>
        <v>0.1875</v>
      </c>
      <c r="AC15" s="22">
        <f t="shared" si="2"/>
        <v>0</v>
      </c>
      <c r="AD15" s="22">
        <f t="shared" si="3"/>
        <v>0</v>
      </c>
      <c r="AE15" s="22">
        <f t="shared" si="4"/>
        <v>0.15789473684210525</v>
      </c>
      <c r="AF15" s="22">
        <f t="shared" si="5"/>
        <v>0</v>
      </c>
      <c r="AG15" s="22">
        <f t="shared" si="6"/>
        <v>0.14285714285714285</v>
      </c>
      <c r="AH15" s="32"/>
      <c r="AI15" s="24" t="s">
        <v>318</v>
      </c>
    </row>
    <row r="16" spans="1:35" x14ac:dyDescent="0.25">
      <c r="A16" s="18" t="s">
        <v>495</v>
      </c>
      <c r="B16" s="8">
        <f>COUNTIFS(tbl_data[1:T1C],A16,tbl_data[12. Consultation Group of],$B$3)</f>
        <v>0</v>
      </c>
      <c r="C16" s="9">
        <f>COUNTIFS(tbl_data[1:T1C],$A16,tbl_data[12. Consultation Group of],$C$3)</f>
        <v>0</v>
      </c>
      <c r="D16" s="9">
        <f>COUNTIFS(tbl_data[1:T1C],$A16,tbl_data[12. Consultation Group of],$D$3)</f>
        <v>0</v>
      </c>
      <c r="E16" s="9">
        <f>COUNTIFS(tbl_data[1:T1C],$A16,tbl_data[12. Consultation Group of],$E$3)</f>
        <v>0</v>
      </c>
      <c r="F16" s="9">
        <f>COUNTIFS(tbl_data[1:T1C],$A16,tbl_data[12. Consultation Group of],$F$3)</f>
        <v>0</v>
      </c>
      <c r="G16" s="13">
        <f t="shared" si="7"/>
        <v>0</v>
      </c>
      <c r="H16" s="8">
        <f>COUNTIFS(tbl_data[2:T1C],A16,tbl_data[12. Consultation Group of],$H$3)</f>
        <v>0</v>
      </c>
      <c r="I16" s="9">
        <f>COUNTIFS(tbl_data[2:T1C],$A16,tbl_data[12. Consultation Group of],$I$3)</f>
        <v>1</v>
      </c>
      <c r="J16" s="9">
        <f>COUNTIFS(tbl_data[2:T1C],$A16,tbl_data[12. Consultation Group of],$J$3)</f>
        <v>0</v>
      </c>
      <c r="K16" s="9">
        <f>COUNTIFS(tbl_data[2:T1C],$A16,tbl_data[12. Consultation Group of],$K$3)</f>
        <v>0</v>
      </c>
      <c r="L16" s="9">
        <f>COUNTIFS(tbl_data[2:T1C],$A16,tbl_data[12. Consultation Group of],$L$3)</f>
        <v>0</v>
      </c>
      <c r="M16" s="13">
        <f t="shared" si="8"/>
        <v>1</v>
      </c>
      <c r="N16" s="8">
        <f>COUNTIFS(tbl_data[3:T1C],$A16,tbl_data[12. Consultation Group of],$N$3)</f>
        <v>0</v>
      </c>
      <c r="O16" s="9">
        <f>COUNTIFS(tbl_data[3:T1C],$A16,tbl_data[12. Consultation Group of],$O$3)</f>
        <v>0</v>
      </c>
      <c r="P16" s="9">
        <f>COUNTIFS(tbl_data[3:T1C],$A16,tbl_data[12. Consultation Group of],$P$3)</f>
        <v>0</v>
      </c>
      <c r="Q16" s="9">
        <f>COUNTIFS(tbl_data[3:T1C],$A16,tbl_data[12. Consultation Group of],$Q$3)</f>
        <v>0</v>
      </c>
      <c r="R16" s="9">
        <f>COUNTIFS(tbl_data[3:T1C],$A16,tbl_data[12. Consultation Group of],$R$3)</f>
        <v>0</v>
      </c>
      <c r="S16" s="13">
        <f t="shared" si="9"/>
        <v>0</v>
      </c>
      <c r="T16" s="8">
        <f t="shared" si="10"/>
        <v>0</v>
      </c>
      <c r="U16" s="9">
        <f t="shared" si="11"/>
        <v>2</v>
      </c>
      <c r="V16" s="9">
        <f t="shared" si="12"/>
        <v>0</v>
      </c>
      <c r="W16" s="9">
        <f t="shared" si="13"/>
        <v>0</v>
      </c>
      <c r="X16" s="9">
        <f t="shared" si="14"/>
        <v>0</v>
      </c>
      <c r="Y16" s="13">
        <f t="shared" si="15"/>
        <v>2</v>
      </c>
      <c r="Z16" s="32"/>
      <c r="AB16" s="22">
        <f t="shared" si="1"/>
        <v>0</v>
      </c>
      <c r="AC16" s="22">
        <f t="shared" si="2"/>
        <v>0.18181818181818182</v>
      </c>
      <c r="AD16" s="22">
        <f t="shared" si="3"/>
        <v>0</v>
      </c>
      <c r="AE16" s="22">
        <f t="shared" si="4"/>
        <v>0</v>
      </c>
      <c r="AF16" s="22">
        <f t="shared" si="5"/>
        <v>0</v>
      </c>
      <c r="AG16" s="22">
        <f t="shared" si="6"/>
        <v>4.7619047619047616E-2</v>
      </c>
      <c r="AH16" s="32"/>
      <c r="AI16" s="24" t="s">
        <v>495</v>
      </c>
    </row>
    <row r="17" spans="1:35" x14ac:dyDescent="0.25">
      <c r="A17" s="18" t="s">
        <v>303</v>
      </c>
      <c r="B17" s="8">
        <f>COUNTIFS(tbl_data[1:T1C],A17,tbl_data[12. Consultation Group of],$B$3)</f>
        <v>0</v>
      </c>
      <c r="C17" s="9">
        <f>COUNTIFS(tbl_data[1:T1C],$A17,tbl_data[12. Consultation Group of],$C$3)</f>
        <v>0</v>
      </c>
      <c r="D17" s="9">
        <f>COUNTIFS(tbl_data[1:T1C],$A17,tbl_data[12. Consultation Group of],$D$3)</f>
        <v>0</v>
      </c>
      <c r="E17" s="9">
        <f>COUNTIFS(tbl_data[1:T1C],$A17,tbl_data[12. Consultation Group of],$E$3)</f>
        <v>0</v>
      </c>
      <c r="F17" s="9">
        <f>COUNTIFS(tbl_data[1:T1C],$A17,tbl_data[12. Consultation Group of],$F$3)</f>
        <v>0</v>
      </c>
      <c r="G17" s="13">
        <f t="shared" si="7"/>
        <v>0</v>
      </c>
      <c r="H17" s="8">
        <f>COUNTIFS(tbl_data[2:T1C],A17,tbl_data[12. Consultation Group of],$H$3)</f>
        <v>0</v>
      </c>
      <c r="I17" s="9">
        <f>COUNTIFS(tbl_data[2:T1C],$A17,tbl_data[12. Consultation Group of],$I$3)</f>
        <v>0</v>
      </c>
      <c r="J17" s="9">
        <f>COUNTIFS(tbl_data[2:T1C],$A17,tbl_data[12. Consultation Group of],$J$3)</f>
        <v>1</v>
      </c>
      <c r="K17" s="9">
        <f>COUNTIFS(tbl_data[2:T1C],$A17,tbl_data[12. Consultation Group of],$K$3)</f>
        <v>0</v>
      </c>
      <c r="L17" s="9">
        <f>COUNTIFS(tbl_data[2:T1C],$A17,tbl_data[12. Consultation Group of],$L$3)</f>
        <v>0</v>
      </c>
      <c r="M17" s="13">
        <f t="shared" si="8"/>
        <v>1</v>
      </c>
      <c r="N17" s="8">
        <f>COUNTIFS(tbl_data[3:T1C],$A17,tbl_data[12. Consultation Group of],$N$3)</f>
        <v>0</v>
      </c>
      <c r="O17" s="9">
        <f>COUNTIFS(tbl_data[3:T1C],$A17,tbl_data[12. Consultation Group of],$O$3)</f>
        <v>0</v>
      </c>
      <c r="P17" s="9">
        <f>COUNTIFS(tbl_data[3:T1C],$A17,tbl_data[12. Consultation Group of],$P$3)</f>
        <v>0</v>
      </c>
      <c r="Q17" s="9">
        <f>COUNTIFS(tbl_data[3:T1C],$A17,tbl_data[12. Consultation Group of],$Q$3)</f>
        <v>0</v>
      </c>
      <c r="R17" s="9">
        <f>COUNTIFS(tbl_data[3:T1C],$A17,tbl_data[12. Consultation Group of],$R$3)</f>
        <v>0</v>
      </c>
      <c r="S17" s="13">
        <f t="shared" si="9"/>
        <v>0</v>
      </c>
      <c r="T17" s="8">
        <f t="shared" si="10"/>
        <v>0</v>
      </c>
      <c r="U17" s="9">
        <f t="shared" si="11"/>
        <v>0</v>
      </c>
      <c r="V17" s="9">
        <f t="shared" si="12"/>
        <v>2</v>
      </c>
      <c r="W17" s="9">
        <f t="shared" si="13"/>
        <v>0</v>
      </c>
      <c r="X17" s="9">
        <f t="shared" si="14"/>
        <v>0</v>
      </c>
      <c r="Y17" s="13">
        <f t="shared" si="15"/>
        <v>2</v>
      </c>
      <c r="Z17" s="32"/>
      <c r="AB17" s="22">
        <f t="shared" si="1"/>
        <v>0</v>
      </c>
      <c r="AC17" s="22">
        <f t="shared" si="2"/>
        <v>0</v>
      </c>
      <c r="AD17" s="22">
        <f t="shared" si="3"/>
        <v>0.2857142857142857</v>
      </c>
      <c r="AE17" s="22">
        <f t="shared" si="4"/>
        <v>0</v>
      </c>
      <c r="AF17" s="22">
        <f t="shared" si="5"/>
        <v>0</v>
      </c>
      <c r="AG17" s="22">
        <f t="shared" si="6"/>
        <v>4.7619047619047616E-2</v>
      </c>
      <c r="AH17" s="32"/>
      <c r="AI17" s="24" t="s">
        <v>303</v>
      </c>
    </row>
    <row r="18" spans="1:35" x14ac:dyDescent="0.25">
      <c r="A18" s="18" t="s">
        <v>253</v>
      </c>
      <c r="B18" s="8">
        <f>COUNTIFS(tbl_data[1:T1C],A18,tbl_data[12. Consultation Group of],$B$3)</f>
        <v>0</v>
      </c>
      <c r="C18" s="9">
        <f>COUNTIFS(tbl_data[1:T1C],$A18,tbl_data[12. Consultation Group of],$C$3)</f>
        <v>0</v>
      </c>
      <c r="D18" s="9">
        <f>COUNTIFS(tbl_data[1:T1C],$A18,tbl_data[12. Consultation Group of],$D$3)</f>
        <v>0</v>
      </c>
      <c r="E18" s="9">
        <f>COUNTIFS(tbl_data[1:T1C],$A18,tbl_data[12. Consultation Group of],$E$3)</f>
        <v>1</v>
      </c>
      <c r="F18" s="9">
        <f>COUNTIFS(tbl_data[1:T1C],$A18,tbl_data[12. Consultation Group of],$F$3)</f>
        <v>0</v>
      </c>
      <c r="G18" s="13">
        <f>SUM(B18:F18)</f>
        <v>1</v>
      </c>
      <c r="H18" s="8">
        <f>COUNTIFS(tbl_data[2:T1C],A18,tbl_data[12. Consultation Group of],$H$3)</f>
        <v>0</v>
      </c>
      <c r="I18" s="9">
        <f>COUNTIFS(tbl_data[2:T1C],$A18,tbl_data[12. Consultation Group of],$I$3)</f>
        <v>1</v>
      </c>
      <c r="J18" s="9">
        <f>COUNTIFS(tbl_data[2:T1C],$A18,tbl_data[12. Consultation Group of],$J$3)</f>
        <v>1</v>
      </c>
      <c r="K18" s="9">
        <f>COUNTIFS(tbl_data[2:T1C],$A18,tbl_data[12. Consultation Group of],$K$3)</f>
        <v>0</v>
      </c>
      <c r="L18" s="9">
        <f>COUNTIFS(tbl_data[2:T1C],$A18,tbl_data[12. Consultation Group of],$L$3)</f>
        <v>0</v>
      </c>
      <c r="M18" s="13">
        <f t="shared" si="8"/>
        <v>2</v>
      </c>
      <c r="N18" s="8">
        <f>COUNTIFS(tbl_data[3:T1C],$A18,tbl_data[12. Consultation Group of],$N$3)</f>
        <v>0</v>
      </c>
      <c r="O18" s="9">
        <f>COUNTIFS(tbl_data[3:T1C],$A18,tbl_data[12. Consultation Group of],$O$3)</f>
        <v>0</v>
      </c>
      <c r="P18" s="9">
        <f>COUNTIFS(tbl_data[3:T1C],$A18,tbl_data[12. Consultation Group of],$P$3)</f>
        <v>0</v>
      </c>
      <c r="Q18" s="9">
        <f>COUNTIFS(tbl_data[3:T1C],$A18,tbl_data[12. Consultation Group of],$Q$3)</f>
        <v>0</v>
      </c>
      <c r="R18" s="9">
        <f>COUNTIFS(tbl_data[3:T1C],$A18,tbl_data[12. Consultation Group of],$R$3)</f>
        <v>0</v>
      </c>
      <c r="S18" s="13">
        <f t="shared" si="9"/>
        <v>0</v>
      </c>
      <c r="T18" s="8">
        <f t="shared" si="10"/>
        <v>0</v>
      </c>
      <c r="U18" s="9">
        <f t="shared" si="11"/>
        <v>2</v>
      </c>
      <c r="V18" s="9">
        <f t="shared" si="12"/>
        <v>2</v>
      </c>
      <c r="W18" s="9">
        <f t="shared" si="13"/>
        <v>3</v>
      </c>
      <c r="X18" s="9">
        <f t="shared" si="14"/>
        <v>0</v>
      </c>
      <c r="Y18" s="13">
        <f t="shared" si="15"/>
        <v>7</v>
      </c>
      <c r="Z18" s="32"/>
      <c r="AB18" s="22">
        <f t="shared" si="1"/>
        <v>0</v>
      </c>
      <c r="AC18" s="22">
        <f t="shared" si="2"/>
        <v>0.18181818181818182</v>
      </c>
      <c r="AD18" s="22">
        <f t="shared" si="3"/>
        <v>0.2857142857142857</v>
      </c>
      <c r="AE18" s="22">
        <f t="shared" si="4"/>
        <v>0.15789473684210525</v>
      </c>
      <c r="AF18" s="22">
        <f t="shared" si="5"/>
        <v>0</v>
      </c>
      <c r="AG18" s="22">
        <f t="shared" si="6"/>
        <v>0.16666666666666666</v>
      </c>
      <c r="AH18" s="32"/>
      <c r="AI18" s="24" t="s">
        <v>253</v>
      </c>
    </row>
    <row r="19" spans="1:35" x14ac:dyDescent="0.25">
      <c r="A19" s="18" t="s">
        <v>259</v>
      </c>
      <c r="B19" s="8">
        <f>COUNTIFS(tbl_data[1:T1C],A19,tbl_data[12. Consultation Group of],$B$3)</f>
        <v>0</v>
      </c>
      <c r="C19" s="9">
        <f>COUNTIFS(tbl_data[1:T1C],$A19,tbl_data[12. Consultation Group of],$C$3)</f>
        <v>0</v>
      </c>
      <c r="D19" s="9">
        <f>COUNTIFS(tbl_data[1:T1C],$A19,tbl_data[12. Consultation Group of],$D$3)</f>
        <v>0</v>
      </c>
      <c r="E19" s="9">
        <f>COUNTIFS(tbl_data[1:T1C],$A19,tbl_data[12. Consultation Group of],$E$3)</f>
        <v>0</v>
      </c>
      <c r="F19" s="9">
        <f>COUNTIFS(tbl_data[1:T1C],$A19,tbl_data[12. Consultation Group of],$F$3)</f>
        <v>0</v>
      </c>
      <c r="G19" s="13">
        <f t="shared" si="7"/>
        <v>0</v>
      </c>
      <c r="H19" s="8">
        <f>COUNTIFS(tbl_data[2:T1C],A19,tbl_data[12. Consultation Group of],$H$3)</f>
        <v>0</v>
      </c>
      <c r="I19" s="9">
        <f>COUNTIFS(tbl_data[2:T1C],$A19,tbl_data[12. Consultation Group of],$I$3)</f>
        <v>0</v>
      </c>
      <c r="J19" s="9">
        <f>COUNTIFS(tbl_data[2:T1C],$A19,tbl_data[12. Consultation Group of],$J$3)</f>
        <v>0</v>
      </c>
      <c r="K19" s="9">
        <f>COUNTIFS(tbl_data[2:T1C],$A19,tbl_data[12. Consultation Group of],$K$3)</f>
        <v>0</v>
      </c>
      <c r="L19" s="9">
        <f>COUNTIFS(tbl_data[2:T1C],$A19,tbl_data[12. Consultation Group of],$L$3)</f>
        <v>0</v>
      </c>
      <c r="M19" s="13">
        <f t="shared" si="8"/>
        <v>0</v>
      </c>
      <c r="N19" s="8">
        <f>COUNTIFS(tbl_data[3:T1C],$A19,tbl_data[12. Consultation Group of],$N$3)</f>
        <v>0</v>
      </c>
      <c r="O19" s="9">
        <f>COUNTIFS(tbl_data[3:T1C],$A19,tbl_data[12. Consultation Group of],$O$3)</f>
        <v>0</v>
      </c>
      <c r="P19" s="9">
        <f>COUNTIFS(tbl_data[3:T1C],$A19,tbl_data[12. Consultation Group of],$P$3)</f>
        <v>0</v>
      </c>
      <c r="Q19" s="9">
        <f>COUNTIFS(tbl_data[3:T1C],$A19,tbl_data[12. Consultation Group of],$Q$3)</f>
        <v>0</v>
      </c>
      <c r="R19" s="9">
        <f>COUNTIFS(tbl_data[3:T1C],$A19,tbl_data[12. Consultation Group of],$R$3)</f>
        <v>0</v>
      </c>
      <c r="S19" s="13">
        <f t="shared" si="9"/>
        <v>0</v>
      </c>
      <c r="T19" s="8">
        <f t="shared" si="10"/>
        <v>0</v>
      </c>
      <c r="U19" s="9">
        <f t="shared" si="11"/>
        <v>0</v>
      </c>
      <c r="V19" s="9">
        <f t="shared" si="12"/>
        <v>0</v>
      </c>
      <c r="W19" s="9">
        <f t="shared" si="13"/>
        <v>0</v>
      </c>
      <c r="X19" s="9">
        <f t="shared" si="14"/>
        <v>0</v>
      </c>
      <c r="Y19" s="13">
        <f t="shared" si="15"/>
        <v>0</v>
      </c>
      <c r="Z19" s="32"/>
      <c r="AB19" s="22">
        <f t="shared" si="1"/>
        <v>0</v>
      </c>
      <c r="AC19" s="22">
        <f t="shared" si="2"/>
        <v>0</v>
      </c>
      <c r="AD19" s="22">
        <f t="shared" si="3"/>
        <v>0</v>
      </c>
      <c r="AE19" s="22">
        <f t="shared" si="4"/>
        <v>0</v>
      </c>
      <c r="AF19" s="22">
        <f t="shared" si="5"/>
        <v>0</v>
      </c>
      <c r="AG19" s="22">
        <f t="shared" si="6"/>
        <v>0</v>
      </c>
      <c r="AH19" s="32"/>
      <c r="AI19" s="24" t="s">
        <v>259</v>
      </c>
    </row>
    <row r="20" spans="1:35" x14ac:dyDescent="0.25">
      <c r="A20" s="18" t="s">
        <v>254</v>
      </c>
      <c r="B20" s="8">
        <f>COUNTIFS(tbl_data[1:T1C],A20,tbl_data[12. Consultation Group of],$B$3)</f>
        <v>0</v>
      </c>
      <c r="C20" s="9">
        <f>COUNTIFS(tbl_data[1:T1C],$A20,tbl_data[12. Consultation Group of],$C$3)</f>
        <v>0</v>
      </c>
      <c r="D20" s="9">
        <f>COUNTIFS(tbl_data[1:T1C],$A20,tbl_data[12. Consultation Group of],$D$3)</f>
        <v>0</v>
      </c>
      <c r="E20" s="9">
        <f>COUNTIFS(tbl_data[1:T1C],$A20,tbl_data[12. Consultation Group of],$E$3)</f>
        <v>0</v>
      </c>
      <c r="F20" s="9">
        <f>COUNTIFS(tbl_data[1:T1C],$A20,tbl_data[12. Consultation Group of],$F$3)</f>
        <v>0</v>
      </c>
      <c r="G20" s="13">
        <f t="shared" si="7"/>
        <v>0</v>
      </c>
      <c r="H20" s="8">
        <f>COUNTIFS(tbl_data[2:T1C],A20,tbl_data[12. Consultation Group of],$H$3)</f>
        <v>0</v>
      </c>
      <c r="I20" s="9">
        <f>COUNTIFS(tbl_data[2:T1C],$A20,tbl_data[12. Consultation Group of],$I$3)</f>
        <v>0</v>
      </c>
      <c r="J20" s="9">
        <f>COUNTIFS(tbl_data[2:T1C],$A20,tbl_data[12. Consultation Group of],$J$3)</f>
        <v>0</v>
      </c>
      <c r="K20" s="9">
        <f>COUNTIFS(tbl_data[2:T1C],$A20,tbl_data[12. Consultation Group of],$K$3)</f>
        <v>0</v>
      </c>
      <c r="L20" s="9">
        <f>COUNTIFS(tbl_data[2:T1C],$A20,tbl_data[12. Consultation Group of],$L$3)</f>
        <v>0</v>
      </c>
      <c r="M20" s="13">
        <f t="shared" si="8"/>
        <v>0</v>
      </c>
      <c r="N20" s="8">
        <f>COUNTIFS(tbl_data[3:T1C],$A20,tbl_data[12. Consultation Group of],$N$3)</f>
        <v>0</v>
      </c>
      <c r="O20" s="9">
        <f>COUNTIFS(tbl_data[3:T1C],$A20,tbl_data[12. Consultation Group of],$O$3)</f>
        <v>1</v>
      </c>
      <c r="P20" s="9">
        <f>COUNTIFS(tbl_data[3:T1C],$A20,tbl_data[12. Consultation Group of],$P$3)</f>
        <v>1</v>
      </c>
      <c r="Q20" s="9">
        <f>COUNTIFS(tbl_data[3:T1C],$A20,tbl_data[12. Consultation Group of],$Q$3)</f>
        <v>0</v>
      </c>
      <c r="R20" s="9">
        <f>COUNTIFS(tbl_data[3:T1C],$A20,tbl_data[12. Consultation Group of],$R$3)</f>
        <v>0</v>
      </c>
      <c r="S20" s="13">
        <f t="shared" si="9"/>
        <v>2</v>
      </c>
      <c r="T20" s="8">
        <f t="shared" si="10"/>
        <v>0</v>
      </c>
      <c r="U20" s="9">
        <f t="shared" si="11"/>
        <v>1</v>
      </c>
      <c r="V20" s="9">
        <f t="shared" si="12"/>
        <v>1</v>
      </c>
      <c r="W20" s="9">
        <f t="shared" si="13"/>
        <v>0</v>
      </c>
      <c r="X20" s="9">
        <f t="shared" si="14"/>
        <v>0</v>
      </c>
      <c r="Y20" s="13">
        <f t="shared" si="15"/>
        <v>2</v>
      </c>
      <c r="Z20" s="32"/>
      <c r="AB20" s="22">
        <f t="shared" si="1"/>
        <v>0</v>
      </c>
      <c r="AC20" s="22">
        <f t="shared" si="2"/>
        <v>9.0909090909090912E-2</v>
      </c>
      <c r="AD20" s="22">
        <f t="shared" si="3"/>
        <v>0.14285714285714285</v>
      </c>
      <c r="AE20" s="22">
        <f t="shared" si="4"/>
        <v>0</v>
      </c>
      <c r="AF20" s="22">
        <f t="shared" si="5"/>
        <v>0</v>
      </c>
      <c r="AG20" s="22">
        <f t="shared" si="6"/>
        <v>4.7619047619047616E-2</v>
      </c>
      <c r="AH20" s="32"/>
      <c r="AI20" s="24" t="s">
        <v>254</v>
      </c>
    </row>
    <row r="21" spans="1:35" x14ac:dyDescent="0.25">
      <c r="A21" s="18" t="s">
        <v>234</v>
      </c>
      <c r="B21" s="8">
        <f>COUNTIFS(tbl_data[1:T1C],A21,tbl_data[12. Consultation Group of],$B$3)</f>
        <v>0</v>
      </c>
      <c r="C21" s="9">
        <f>COUNTIFS(tbl_data[1:T1C],$A21,tbl_data[12. Consultation Group of],$C$3)</f>
        <v>0</v>
      </c>
      <c r="D21" s="9">
        <f>COUNTIFS(tbl_data[1:T1C],$A21,tbl_data[12. Consultation Group of],$D$3)</f>
        <v>0</v>
      </c>
      <c r="E21" s="9">
        <f>COUNTIFS(tbl_data[1:T1C],$A21,tbl_data[12. Consultation Group of],$E$3)</f>
        <v>0</v>
      </c>
      <c r="F21" s="9">
        <f>COUNTIFS(tbl_data[1:T1C],$A21,tbl_data[12. Consultation Group of],$F$3)</f>
        <v>0</v>
      </c>
      <c r="G21" s="13">
        <f t="shared" si="7"/>
        <v>0</v>
      </c>
      <c r="H21" s="8">
        <f>COUNTIFS(tbl_data[2:T1C],A21,tbl_data[12. Consultation Group of],$H$3)</f>
        <v>0</v>
      </c>
      <c r="I21" s="9">
        <f>COUNTIFS(tbl_data[2:T1C],$A21,tbl_data[12. Consultation Group of],$I$3)</f>
        <v>1</v>
      </c>
      <c r="J21" s="9">
        <f>COUNTIFS(tbl_data[2:T1C],$A21,tbl_data[12. Consultation Group of],$J$3)</f>
        <v>0</v>
      </c>
      <c r="K21" s="9">
        <f>COUNTIFS(tbl_data[2:T1C],$A21,tbl_data[12. Consultation Group of],$K$3)</f>
        <v>1</v>
      </c>
      <c r="L21" s="9">
        <f>COUNTIFS(tbl_data[2:T1C],$A21,tbl_data[12. Consultation Group of],$L$3)</f>
        <v>0</v>
      </c>
      <c r="M21" s="13">
        <f t="shared" si="8"/>
        <v>2</v>
      </c>
      <c r="N21" s="8">
        <f>COUNTIFS(tbl_data[3:T1C],$A21,tbl_data[12. Consultation Group of],$N$3)</f>
        <v>0</v>
      </c>
      <c r="O21" s="9">
        <f>COUNTIFS(tbl_data[3:T1C],$A21,tbl_data[12. Consultation Group of],$O$3)</f>
        <v>0</v>
      </c>
      <c r="P21" s="9">
        <f>COUNTIFS(tbl_data[3:T1C],$A21,tbl_data[12. Consultation Group of],$P$3)</f>
        <v>0</v>
      </c>
      <c r="Q21" s="9">
        <f>COUNTIFS(tbl_data[3:T1C],$A21,tbl_data[12. Consultation Group of],$Q$3)</f>
        <v>0</v>
      </c>
      <c r="R21" s="9">
        <f>COUNTIFS(tbl_data[3:T1C],$A21,tbl_data[12. Consultation Group of],$R$3)</f>
        <v>0</v>
      </c>
      <c r="S21" s="13">
        <f t="shared" si="9"/>
        <v>0</v>
      </c>
      <c r="T21" s="8">
        <f t="shared" si="10"/>
        <v>0</v>
      </c>
      <c r="U21" s="9">
        <f t="shared" si="11"/>
        <v>2</v>
      </c>
      <c r="V21" s="9">
        <f t="shared" si="12"/>
        <v>0</v>
      </c>
      <c r="W21" s="9">
        <f t="shared" si="13"/>
        <v>2</v>
      </c>
      <c r="X21" s="9">
        <f t="shared" si="14"/>
        <v>0</v>
      </c>
      <c r="Y21" s="13">
        <f t="shared" si="15"/>
        <v>4</v>
      </c>
      <c r="Z21" s="32"/>
      <c r="AB21" s="22">
        <f t="shared" si="1"/>
        <v>0</v>
      </c>
      <c r="AC21" s="22">
        <f t="shared" si="2"/>
        <v>0.18181818181818182</v>
      </c>
      <c r="AD21" s="22">
        <f t="shared" si="3"/>
        <v>0</v>
      </c>
      <c r="AE21" s="22">
        <f t="shared" si="4"/>
        <v>0.10526315789473684</v>
      </c>
      <c r="AF21" s="22">
        <f t="shared" si="5"/>
        <v>0</v>
      </c>
      <c r="AG21" s="22">
        <f t="shared" si="6"/>
        <v>9.5238095238095233E-2</v>
      </c>
      <c r="AH21" s="32"/>
      <c r="AI21" s="24" t="s">
        <v>234</v>
      </c>
    </row>
    <row r="22" spans="1:35" x14ac:dyDescent="0.25">
      <c r="A22" s="18" t="s">
        <v>307</v>
      </c>
      <c r="B22" s="8">
        <f>COUNTIFS(tbl_data[1:T1C],A22,tbl_data[12. Consultation Group of],$B$3)</f>
        <v>0</v>
      </c>
      <c r="C22" s="9">
        <f>COUNTIFS(tbl_data[1:T1C],$A22,tbl_data[12. Consultation Group of],$C$3)</f>
        <v>0</v>
      </c>
      <c r="D22" s="9">
        <f>COUNTIFS(tbl_data[1:T1C],$A22,tbl_data[12. Consultation Group of],$D$3)</f>
        <v>0</v>
      </c>
      <c r="E22" s="9">
        <f>COUNTIFS(tbl_data[1:T1C],$A22,tbl_data[12. Consultation Group of],$E$3)</f>
        <v>0</v>
      </c>
      <c r="F22" s="9">
        <f>COUNTIFS(tbl_data[1:T1C],$A22,tbl_data[12. Consultation Group of],$F$3)</f>
        <v>0</v>
      </c>
      <c r="G22" s="13">
        <f t="shared" si="7"/>
        <v>0</v>
      </c>
      <c r="H22" s="8">
        <f>COUNTIFS(tbl_data[2:T1C],A22,tbl_data[12. Consultation Group of],$H$3)</f>
        <v>0</v>
      </c>
      <c r="I22" s="9">
        <f>COUNTIFS(tbl_data[2:T1C],$A22,tbl_data[12. Consultation Group of],$I$3)</f>
        <v>0</v>
      </c>
      <c r="J22" s="9">
        <f>COUNTIFS(tbl_data[2:T1C],$A22,tbl_data[12. Consultation Group of],$J$3)</f>
        <v>0</v>
      </c>
      <c r="K22" s="9">
        <f>COUNTIFS(tbl_data[2:T1C],$A22,tbl_data[12. Consultation Group of],$K$3)</f>
        <v>0</v>
      </c>
      <c r="L22" s="9">
        <f>COUNTIFS(tbl_data[2:T1C],$A22,tbl_data[12. Consultation Group of],$L$3)</f>
        <v>0</v>
      </c>
      <c r="M22" s="13">
        <f t="shared" si="8"/>
        <v>0</v>
      </c>
      <c r="N22" s="8">
        <f>COUNTIFS(tbl_data[3:T1C],$A22,tbl_data[12. Consultation Group of],$N$3)</f>
        <v>0</v>
      </c>
      <c r="O22" s="9">
        <f>COUNTIFS(tbl_data[3:T1C],$A22,tbl_data[12. Consultation Group of],$O$3)</f>
        <v>0</v>
      </c>
      <c r="P22" s="9">
        <f>COUNTIFS(tbl_data[3:T1C],$A22,tbl_data[12. Consultation Group of],$P$3)</f>
        <v>0</v>
      </c>
      <c r="Q22" s="9">
        <f>COUNTIFS(tbl_data[3:T1C],$A22,tbl_data[12. Consultation Group of],$Q$3)</f>
        <v>0</v>
      </c>
      <c r="R22" s="9">
        <f>COUNTIFS(tbl_data[3:T1C],$A22,tbl_data[12. Consultation Group of],$R$3)</f>
        <v>0</v>
      </c>
      <c r="S22" s="13">
        <f t="shared" si="9"/>
        <v>0</v>
      </c>
      <c r="T22" s="8">
        <f t="shared" si="10"/>
        <v>0</v>
      </c>
      <c r="U22" s="9">
        <f t="shared" si="11"/>
        <v>0</v>
      </c>
      <c r="V22" s="9">
        <f t="shared" si="12"/>
        <v>0</v>
      </c>
      <c r="W22" s="9">
        <f t="shared" si="13"/>
        <v>0</v>
      </c>
      <c r="X22" s="9">
        <f t="shared" si="14"/>
        <v>0</v>
      </c>
      <c r="Y22" s="13">
        <f t="shared" si="15"/>
        <v>0</v>
      </c>
      <c r="Z22" s="32"/>
      <c r="AB22" s="22">
        <f t="shared" si="1"/>
        <v>0</v>
      </c>
      <c r="AC22" s="22">
        <f t="shared" si="2"/>
        <v>0</v>
      </c>
      <c r="AD22" s="22">
        <f t="shared" si="3"/>
        <v>0</v>
      </c>
      <c r="AE22" s="22">
        <f t="shared" si="4"/>
        <v>0</v>
      </c>
      <c r="AF22" s="22">
        <f t="shared" si="5"/>
        <v>0</v>
      </c>
      <c r="AG22" s="22">
        <f t="shared" si="6"/>
        <v>0</v>
      </c>
      <c r="AH22" s="32"/>
      <c r="AI22" s="24" t="s">
        <v>307</v>
      </c>
    </row>
    <row r="23" spans="1:35" x14ac:dyDescent="0.25">
      <c r="A23" s="18" t="s">
        <v>203</v>
      </c>
      <c r="B23" s="8">
        <f>COUNTIFS(tbl_data[1:T1C],A23,tbl_data[12. Consultation Group of],$B$3)</f>
        <v>0</v>
      </c>
      <c r="C23" s="9">
        <f>COUNTIFS(tbl_data[1:T1C],$A23,tbl_data[12. Consultation Group of],$C$3)</f>
        <v>0</v>
      </c>
      <c r="D23" s="9">
        <f>COUNTIFS(tbl_data[1:T1C],$A23,tbl_data[12. Consultation Group of],$D$3)</f>
        <v>0</v>
      </c>
      <c r="E23" s="9">
        <f>COUNTIFS(tbl_data[1:T1C],$A23,tbl_data[12. Consultation Group of],$E$3)</f>
        <v>0</v>
      </c>
      <c r="F23" s="9">
        <f>COUNTIFS(tbl_data[1:T1C],$A23,tbl_data[12. Consultation Group of],$F$3)</f>
        <v>0</v>
      </c>
      <c r="G23" s="13">
        <f t="shared" si="7"/>
        <v>0</v>
      </c>
      <c r="H23" s="8">
        <f>COUNTIFS(tbl_data[2:T1C],A23,tbl_data[12. Consultation Group of],$H$3)</f>
        <v>0</v>
      </c>
      <c r="I23" s="9">
        <f>COUNTIFS(tbl_data[2:T1C],$A23,tbl_data[12. Consultation Group of],$I$3)</f>
        <v>0</v>
      </c>
      <c r="J23" s="9">
        <f>COUNTIFS(tbl_data[2:T1C],$A23,tbl_data[12. Consultation Group of],$J$3)</f>
        <v>0</v>
      </c>
      <c r="K23" s="9">
        <f>COUNTIFS(tbl_data[2:T1C],$A23,tbl_data[12. Consultation Group of],$K$3)</f>
        <v>0</v>
      </c>
      <c r="L23" s="9">
        <f>COUNTIFS(tbl_data[2:T1C],$A23,tbl_data[12. Consultation Group of],$L$3)</f>
        <v>0</v>
      </c>
      <c r="M23" s="13">
        <f t="shared" si="8"/>
        <v>0</v>
      </c>
      <c r="N23" s="8">
        <f>COUNTIFS(tbl_data[3:T1C],$A23,tbl_data[12. Consultation Group of],$N$3)</f>
        <v>0</v>
      </c>
      <c r="O23" s="9">
        <f>COUNTIFS(tbl_data[3:T1C],$A23,tbl_data[12. Consultation Group of],$O$3)</f>
        <v>0</v>
      </c>
      <c r="P23" s="9">
        <f>COUNTIFS(tbl_data[3:T1C],$A23,tbl_data[12. Consultation Group of],$P$3)</f>
        <v>0</v>
      </c>
      <c r="Q23" s="9">
        <f>COUNTIFS(tbl_data[3:T1C],$A23,tbl_data[12. Consultation Group of],$Q$3)</f>
        <v>0</v>
      </c>
      <c r="R23" s="9">
        <f>COUNTIFS(tbl_data[3:T1C],$A23,tbl_data[12. Consultation Group of],$R$3)</f>
        <v>0</v>
      </c>
      <c r="S23" s="13">
        <f t="shared" si="9"/>
        <v>0</v>
      </c>
      <c r="T23" s="8">
        <f t="shared" si="10"/>
        <v>0</v>
      </c>
      <c r="U23" s="9">
        <f t="shared" si="11"/>
        <v>0</v>
      </c>
      <c r="V23" s="9">
        <f t="shared" si="12"/>
        <v>0</v>
      </c>
      <c r="W23" s="9">
        <f t="shared" si="13"/>
        <v>0</v>
      </c>
      <c r="X23" s="9">
        <f t="shared" si="14"/>
        <v>0</v>
      </c>
      <c r="Y23" s="13">
        <f t="shared" si="15"/>
        <v>0</v>
      </c>
      <c r="Z23" s="32"/>
      <c r="AB23" s="22">
        <f t="shared" si="1"/>
        <v>0</v>
      </c>
      <c r="AC23" s="22">
        <f t="shared" si="2"/>
        <v>0</v>
      </c>
      <c r="AD23" s="22">
        <f t="shared" si="3"/>
        <v>0</v>
      </c>
      <c r="AE23" s="22">
        <f t="shared" si="4"/>
        <v>0</v>
      </c>
      <c r="AF23" s="22">
        <f t="shared" si="5"/>
        <v>0</v>
      </c>
      <c r="AG23" s="22">
        <f t="shared" si="6"/>
        <v>0</v>
      </c>
      <c r="AH23" s="32"/>
      <c r="AI23" s="24" t="s">
        <v>203</v>
      </c>
    </row>
    <row r="24" spans="1:35" x14ac:dyDescent="0.25">
      <c r="A24" s="18" t="s">
        <v>352</v>
      </c>
      <c r="B24" s="8">
        <f>COUNTIFS(tbl_data[1:T1C],A24,tbl_data[12. Consultation Group of],$B$3)</f>
        <v>2</v>
      </c>
      <c r="C24" s="9">
        <f>COUNTIFS(tbl_data[1:T1C],$A24,tbl_data[12. Consultation Group of],$C$3)</f>
        <v>2</v>
      </c>
      <c r="D24" s="9">
        <f>COUNTIFS(tbl_data[1:T1C],$A24,tbl_data[12. Consultation Group of],$D$3)</f>
        <v>0</v>
      </c>
      <c r="E24" s="9">
        <f>COUNTIFS(tbl_data[1:T1C],$A24,tbl_data[12. Consultation Group of],$E$3)</f>
        <v>0</v>
      </c>
      <c r="F24" s="9">
        <f>COUNTIFS(tbl_data[1:T1C],$A24,tbl_data[12. Consultation Group of],$F$3)</f>
        <v>0</v>
      </c>
      <c r="G24" s="13">
        <f t="shared" si="7"/>
        <v>4</v>
      </c>
      <c r="H24" s="8">
        <f>COUNTIFS(tbl_data[2:T1C],A24,tbl_data[12. Consultation Group of],$H$3)</f>
        <v>1</v>
      </c>
      <c r="I24" s="9">
        <f>COUNTIFS(tbl_data[2:T1C],$A24,tbl_data[12. Consultation Group of],$I$3)</f>
        <v>0</v>
      </c>
      <c r="J24" s="9">
        <f>COUNTIFS(tbl_data[2:T1C],$A24,tbl_data[12. Consultation Group of],$J$3)</f>
        <v>0</v>
      </c>
      <c r="K24" s="9">
        <f>COUNTIFS(tbl_data[2:T1C],$A24,tbl_data[12. Consultation Group of],$K$3)</f>
        <v>3</v>
      </c>
      <c r="L24" s="9">
        <f>COUNTIFS(tbl_data[2:T1C],$A24,tbl_data[12. Consultation Group of],$L$3)</f>
        <v>0</v>
      </c>
      <c r="M24" s="13">
        <f t="shared" si="8"/>
        <v>4</v>
      </c>
      <c r="N24" s="8">
        <f>COUNTIFS(tbl_data[3:T1C],$A24,tbl_data[12. Consultation Group of],$N$3)</f>
        <v>2</v>
      </c>
      <c r="O24" s="9">
        <f>COUNTIFS(tbl_data[3:T1C],$A24,tbl_data[12. Consultation Group of],$O$3)</f>
        <v>0</v>
      </c>
      <c r="P24" s="9">
        <f>COUNTIFS(tbl_data[3:T1C],$A24,tbl_data[12. Consultation Group of],$P$3)</f>
        <v>0</v>
      </c>
      <c r="Q24" s="9">
        <f>COUNTIFS(tbl_data[3:T1C],$A24,tbl_data[12. Consultation Group of],$Q$3)</f>
        <v>1</v>
      </c>
      <c r="R24" s="9">
        <f>COUNTIFS(tbl_data[3:T1C],$A24,tbl_data[12. Consultation Group of],$R$3)</f>
        <v>0</v>
      </c>
      <c r="S24" s="13">
        <f t="shared" si="9"/>
        <v>3</v>
      </c>
      <c r="T24" s="8">
        <f t="shared" si="10"/>
        <v>10</v>
      </c>
      <c r="U24" s="9">
        <f t="shared" si="11"/>
        <v>6</v>
      </c>
      <c r="V24" s="9">
        <f t="shared" si="12"/>
        <v>0</v>
      </c>
      <c r="W24" s="9">
        <f t="shared" si="13"/>
        <v>7</v>
      </c>
      <c r="X24" s="9">
        <f t="shared" si="14"/>
        <v>0</v>
      </c>
      <c r="Y24" s="13">
        <f t="shared" si="15"/>
        <v>23</v>
      </c>
      <c r="Z24" s="32"/>
      <c r="AB24" s="22">
        <f t="shared" si="1"/>
        <v>0.625</v>
      </c>
      <c r="AC24" s="22">
        <f t="shared" si="2"/>
        <v>0.54545454545454541</v>
      </c>
      <c r="AD24" s="22">
        <f t="shared" si="3"/>
        <v>0</v>
      </c>
      <c r="AE24" s="22">
        <f t="shared" si="4"/>
        <v>0.36842105263157893</v>
      </c>
      <c r="AF24" s="22">
        <f t="shared" si="5"/>
        <v>0</v>
      </c>
      <c r="AG24" s="22">
        <f t="shared" si="6"/>
        <v>0.54761904761904767</v>
      </c>
      <c r="AH24" s="32"/>
      <c r="AI24" s="24" t="s">
        <v>352</v>
      </c>
    </row>
    <row r="25" spans="1:35" x14ac:dyDescent="0.25">
      <c r="A25" s="18" t="s">
        <v>197</v>
      </c>
      <c r="B25" s="8">
        <f>COUNTIFS(tbl_data[1:T1C],A25,tbl_data[12. Consultation Group of],$B$3)</f>
        <v>0</v>
      </c>
      <c r="C25" s="9">
        <f>COUNTIFS(tbl_data[1:T1C],$A25,tbl_data[12. Consultation Group of],$C$3)</f>
        <v>0</v>
      </c>
      <c r="D25" s="9">
        <f>COUNTIFS(tbl_data[1:T1C],$A25,tbl_data[12. Consultation Group of],$D$3)</f>
        <v>0</v>
      </c>
      <c r="E25" s="9">
        <f>COUNTIFS(tbl_data[1:T1C],$A25,tbl_data[12. Consultation Group of],$E$3)</f>
        <v>0</v>
      </c>
      <c r="F25" s="9">
        <f>COUNTIFS(tbl_data[1:T1C],$A25,tbl_data[12. Consultation Group of],$F$3)</f>
        <v>0</v>
      </c>
      <c r="G25" s="13">
        <f t="shared" si="7"/>
        <v>0</v>
      </c>
      <c r="H25" s="8">
        <f>COUNTIFS(tbl_data[2:T1C],A25,tbl_data[12. Consultation Group of],$H$3)</f>
        <v>1</v>
      </c>
      <c r="I25" s="9">
        <f>COUNTIFS(tbl_data[2:T1C],$A25,tbl_data[12. Consultation Group of],$I$3)</f>
        <v>1</v>
      </c>
      <c r="J25" s="9">
        <f>COUNTIFS(tbl_data[2:T1C],$A25,tbl_data[12. Consultation Group of],$J$3)</f>
        <v>0</v>
      </c>
      <c r="K25" s="9">
        <f>COUNTIFS(tbl_data[2:T1C],$A25,tbl_data[12. Consultation Group of],$K$3)</f>
        <v>0</v>
      </c>
      <c r="L25" s="9">
        <f>COUNTIFS(tbl_data[2:T1C],$A25,tbl_data[12. Consultation Group of],$L$3)</f>
        <v>0</v>
      </c>
      <c r="M25" s="13">
        <f t="shared" si="8"/>
        <v>2</v>
      </c>
      <c r="N25" s="8">
        <f>COUNTIFS(tbl_data[3:T1C],$A25,tbl_data[12. Consultation Group of],$N$3)</f>
        <v>2</v>
      </c>
      <c r="O25" s="9">
        <f>COUNTIFS(tbl_data[3:T1C],$A25,tbl_data[12. Consultation Group of],$O$3)</f>
        <v>1</v>
      </c>
      <c r="P25" s="9">
        <f>COUNTIFS(tbl_data[3:T1C],$A25,tbl_data[12. Consultation Group of],$P$3)</f>
        <v>1</v>
      </c>
      <c r="Q25" s="9">
        <f>COUNTIFS(tbl_data[3:T1C],$A25,tbl_data[12. Consultation Group of],$Q$3)</f>
        <v>0</v>
      </c>
      <c r="R25" s="9">
        <f>COUNTIFS(tbl_data[3:T1C],$A25,tbl_data[12. Consultation Group of],$R$3)</f>
        <v>0</v>
      </c>
      <c r="S25" s="13">
        <f t="shared" si="9"/>
        <v>4</v>
      </c>
      <c r="T25" s="8">
        <f t="shared" si="10"/>
        <v>4</v>
      </c>
      <c r="U25" s="9">
        <f t="shared" si="11"/>
        <v>3</v>
      </c>
      <c r="V25" s="9">
        <f t="shared" si="12"/>
        <v>1</v>
      </c>
      <c r="W25" s="9">
        <f t="shared" si="13"/>
        <v>0</v>
      </c>
      <c r="X25" s="9">
        <f t="shared" si="14"/>
        <v>0</v>
      </c>
      <c r="Y25" s="13">
        <f t="shared" si="15"/>
        <v>8</v>
      </c>
      <c r="Z25" s="32"/>
      <c r="AB25" s="22">
        <f t="shared" si="1"/>
        <v>0.25</v>
      </c>
      <c r="AC25" s="22">
        <f t="shared" si="2"/>
        <v>0.27272727272727271</v>
      </c>
      <c r="AD25" s="22">
        <f t="shared" si="3"/>
        <v>0.14285714285714285</v>
      </c>
      <c r="AE25" s="22">
        <f t="shared" si="4"/>
        <v>0</v>
      </c>
      <c r="AF25" s="22">
        <f t="shared" si="5"/>
        <v>0</v>
      </c>
      <c r="AG25" s="22">
        <f t="shared" si="6"/>
        <v>0.19047619047619047</v>
      </c>
      <c r="AH25" s="32"/>
      <c r="AI25" s="24" t="s">
        <v>197</v>
      </c>
    </row>
    <row r="26" spans="1:35" x14ac:dyDescent="0.25">
      <c r="A26" s="18" t="s">
        <v>498</v>
      </c>
      <c r="B26" s="8">
        <f>COUNTIFS(tbl_data[1:T1C],A26,tbl_data[12. Consultation Group of],$B$3)</f>
        <v>0</v>
      </c>
      <c r="C26" s="9">
        <f>COUNTIFS(tbl_data[1:T1C],$A26,tbl_data[12. Consultation Group of],$C$3)</f>
        <v>0</v>
      </c>
      <c r="D26" s="9">
        <f>COUNTIFS(tbl_data[1:T1C],$A26,tbl_data[12. Consultation Group of],$D$3)</f>
        <v>0</v>
      </c>
      <c r="E26" s="9">
        <f>COUNTIFS(tbl_data[1:T1C],$A26,tbl_data[12. Consultation Group of],$E$3)</f>
        <v>0</v>
      </c>
      <c r="F26" s="9">
        <f>COUNTIFS(tbl_data[1:T1C],$A26,tbl_data[12. Consultation Group of],$F$3)</f>
        <v>0</v>
      </c>
      <c r="G26" s="13">
        <f t="shared" si="7"/>
        <v>0</v>
      </c>
      <c r="H26" s="8">
        <f>COUNTIFS(tbl_data[2:T1C],A26,tbl_data[12. Consultation Group of],$H$3)</f>
        <v>0</v>
      </c>
      <c r="I26" s="9">
        <f>COUNTIFS(tbl_data[2:T1C],$A26,tbl_data[12. Consultation Group of],$I$3)</f>
        <v>0</v>
      </c>
      <c r="J26" s="9">
        <f>COUNTIFS(tbl_data[2:T1C],$A26,tbl_data[12. Consultation Group of],$J$3)</f>
        <v>0</v>
      </c>
      <c r="K26" s="9">
        <f>COUNTIFS(tbl_data[2:T1C],$A26,tbl_data[12. Consultation Group of],$K$3)</f>
        <v>0</v>
      </c>
      <c r="L26" s="9">
        <f>COUNTIFS(tbl_data[2:T1C],$A26,tbl_data[12. Consultation Group of],$L$3)</f>
        <v>0</v>
      </c>
      <c r="M26" s="13">
        <f t="shared" si="8"/>
        <v>0</v>
      </c>
      <c r="N26" s="8">
        <f>COUNTIFS(tbl_data[3:T1C],$A26,tbl_data[12. Consultation Group of],$N$3)</f>
        <v>0</v>
      </c>
      <c r="O26" s="9">
        <f>COUNTIFS(tbl_data[3:T1C],$A26,tbl_data[12. Consultation Group of],$O$3)</f>
        <v>0</v>
      </c>
      <c r="P26" s="9">
        <f>COUNTIFS(tbl_data[3:T1C],$A26,tbl_data[12. Consultation Group of],$P$3)</f>
        <v>0</v>
      </c>
      <c r="Q26" s="9">
        <f>COUNTIFS(tbl_data[3:T1C],$A26,tbl_data[12. Consultation Group of],$Q$3)</f>
        <v>0</v>
      </c>
      <c r="R26" s="9">
        <f>COUNTIFS(tbl_data[3:T1C],$A26,tbl_data[12. Consultation Group of],$R$3)</f>
        <v>0</v>
      </c>
      <c r="S26" s="13">
        <f t="shared" si="9"/>
        <v>0</v>
      </c>
      <c r="T26" s="8">
        <f t="shared" si="10"/>
        <v>0</v>
      </c>
      <c r="U26" s="9">
        <f t="shared" si="11"/>
        <v>0</v>
      </c>
      <c r="V26" s="9">
        <f t="shared" si="12"/>
        <v>0</v>
      </c>
      <c r="W26" s="9">
        <f t="shared" si="13"/>
        <v>0</v>
      </c>
      <c r="X26" s="9">
        <f t="shared" si="14"/>
        <v>0</v>
      </c>
      <c r="Y26" s="13">
        <f t="shared" si="15"/>
        <v>0</v>
      </c>
      <c r="Z26" s="32"/>
      <c r="AB26" s="22">
        <f t="shared" si="1"/>
        <v>0</v>
      </c>
      <c r="AC26" s="22">
        <f t="shared" si="2"/>
        <v>0</v>
      </c>
      <c r="AD26" s="22">
        <f t="shared" si="3"/>
        <v>0</v>
      </c>
      <c r="AE26" s="22">
        <f t="shared" si="4"/>
        <v>0</v>
      </c>
      <c r="AF26" s="22">
        <f t="shared" si="5"/>
        <v>0</v>
      </c>
      <c r="AG26" s="22">
        <f t="shared" si="6"/>
        <v>0</v>
      </c>
      <c r="AH26" s="32"/>
      <c r="AI26" s="24" t="s">
        <v>498</v>
      </c>
    </row>
    <row r="27" spans="1:35" x14ac:dyDescent="0.25">
      <c r="A27" s="18" t="s">
        <v>260</v>
      </c>
      <c r="B27" s="8">
        <f>COUNTIFS(tbl_data[1:T1C],A27,tbl_data[12. Consultation Group of],$B$3)</f>
        <v>0</v>
      </c>
      <c r="C27" s="9">
        <f>COUNTIFS(tbl_data[1:T1C],$A27,tbl_data[12. Consultation Group of],$C$3)</f>
        <v>0</v>
      </c>
      <c r="D27" s="9">
        <f>COUNTIFS(tbl_data[1:T1C],$A27,tbl_data[12. Consultation Group of],$D$3)</f>
        <v>0</v>
      </c>
      <c r="E27" s="9">
        <f>COUNTIFS(tbl_data[1:T1C],$A27,tbl_data[12. Consultation Group of],$E$3)</f>
        <v>0</v>
      </c>
      <c r="F27" s="9">
        <f>COUNTIFS(tbl_data[1:T1C],$A27,tbl_data[12. Consultation Group of],$F$3)</f>
        <v>0</v>
      </c>
      <c r="G27" s="13">
        <f t="shared" si="7"/>
        <v>0</v>
      </c>
      <c r="H27" s="8">
        <f>COUNTIFS(tbl_data[2:T1C],A27,tbl_data[12. Consultation Group of],$H$3)</f>
        <v>1</v>
      </c>
      <c r="I27" s="9">
        <f>COUNTIFS(tbl_data[2:T1C],$A27,tbl_data[12. Consultation Group of],$I$3)</f>
        <v>0</v>
      </c>
      <c r="J27" s="9">
        <f>COUNTIFS(tbl_data[2:T1C],$A27,tbl_data[12. Consultation Group of],$J$3)</f>
        <v>0</v>
      </c>
      <c r="K27" s="9">
        <f>COUNTIFS(tbl_data[2:T1C],$A27,tbl_data[12. Consultation Group of],$K$3)</f>
        <v>1</v>
      </c>
      <c r="L27" s="9">
        <f>COUNTIFS(tbl_data[2:T1C],$A27,tbl_data[12. Consultation Group of],$L$3)</f>
        <v>0</v>
      </c>
      <c r="M27" s="13">
        <f t="shared" si="8"/>
        <v>2</v>
      </c>
      <c r="N27" s="8">
        <f>COUNTIFS(tbl_data[3:T1C],$A27,tbl_data[12. Consultation Group of],$N$3)</f>
        <v>0</v>
      </c>
      <c r="O27" s="9">
        <f>COUNTIFS(tbl_data[3:T1C],$A27,tbl_data[12. Consultation Group of],$O$3)</f>
        <v>0</v>
      </c>
      <c r="P27" s="9">
        <f>COUNTIFS(tbl_data[3:T1C],$A27,tbl_data[12. Consultation Group of],$P$3)</f>
        <v>0</v>
      </c>
      <c r="Q27" s="9">
        <f>COUNTIFS(tbl_data[3:T1C],$A27,tbl_data[12. Consultation Group of],$Q$3)</f>
        <v>0</v>
      </c>
      <c r="R27" s="9">
        <f>COUNTIFS(tbl_data[3:T1C],$A27,tbl_data[12. Consultation Group of],$R$3)</f>
        <v>0</v>
      </c>
      <c r="S27" s="13">
        <f t="shared" si="9"/>
        <v>0</v>
      </c>
      <c r="T27" s="8">
        <f t="shared" si="10"/>
        <v>2</v>
      </c>
      <c r="U27" s="9">
        <f t="shared" si="11"/>
        <v>0</v>
      </c>
      <c r="V27" s="9">
        <f t="shared" si="12"/>
        <v>0</v>
      </c>
      <c r="W27" s="9">
        <f t="shared" si="13"/>
        <v>2</v>
      </c>
      <c r="X27" s="9">
        <f t="shared" si="14"/>
        <v>0</v>
      </c>
      <c r="Y27" s="13">
        <f t="shared" si="15"/>
        <v>4</v>
      </c>
      <c r="Z27" s="32"/>
      <c r="AB27" s="22">
        <f t="shared" si="1"/>
        <v>0.125</v>
      </c>
      <c r="AC27" s="22">
        <f t="shared" si="2"/>
        <v>0</v>
      </c>
      <c r="AD27" s="22">
        <f t="shared" si="3"/>
        <v>0</v>
      </c>
      <c r="AE27" s="22">
        <f t="shared" si="4"/>
        <v>0.10526315789473684</v>
      </c>
      <c r="AF27" s="22">
        <f t="shared" si="5"/>
        <v>0</v>
      </c>
      <c r="AG27" s="22">
        <f t="shared" si="6"/>
        <v>9.5238095238095233E-2</v>
      </c>
      <c r="AH27" s="32"/>
      <c r="AI27" s="24" t="s">
        <v>260</v>
      </c>
    </row>
    <row r="28" spans="1:35" x14ac:dyDescent="0.25">
      <c r="A28" s="18" t="s">
        <v>238</v>
      </c>
      <c r="B28" s="8">
        <f>COUNTIFS(tbl_data[1:T1C],A28,tbl_data[12. Consultation Group of],$B$3)</f>
        <v>0</v>
      </c>
      <c r="C28" s="9">
        <f>COUNTIFS(tbl_data[1:T1C],$A28,tbl_data[12. Consultation Group of],$C$3)</f>
        <v>0</v>
      </c>
      <c r="D28" s="9">
        <f>COUNTIFS(tbl_data[1:T1C],$A28,tbl_data[12. Consultation Group of],$D$3)</f>
        <v>1</v>
      </c>
      <c r="E28" s="9">
        <f>COUNTIFS(tbl_data[1:T1C],$A28,tbl_data[12. Consultation Group of],$E$3)</f>
        <v>0</v>
      </c>
      <c r="F28" s="9">
        <f>COUNTIFS(tbl_data[1:T1C],$A28,tbl_data[12. Consultation Group of],$F$3)</f>
        <v>0</v>
      </c>
      <c r="G28" s="13">
        <f t="shared" si="7"/>
        <v>1</v>
      </c>
      <c r="H28" s="8">
        <f>COUNTIFS(tbl_data[2:T1C],A28,tbl_data[12. Consultation Group of],$H$3)</f>
        <v>0</v>
      </c>
      <c r="I28" s="9">
        <f>COUNTIFS(tbl_data[2:T1C],$A28,tbl_data[12. Consultation Group of],$I$3)</f>
        <v>1</v>
      </c>
      <c r="J28" s="9">
        <f>COUNTIFS(tbl_data[2:T1C],$A28,tbl_data[12. Consultation Group of],$J$3)</f>
        <v>0</v>
      </c>
      <c r="K28" s="9">
        <f>COUNTIFS(tbl_data[2:T1C],$A28,tbl_data[12. Consultation Group of],$K$3)</f>
        <v>0</v>
      </c>
      <c r="L28" s="9">
        <f>COUNTIFS(tbl_data[2:T1C],$A28,tbl_data[12. Consultation Group of],$L$3)</f>
        <v>0</v>
      </c>
      <c r="M28" s="13">
        <f t="shared" si="8"/>
        <v>1</v>
      </c>
      <c r="N28" s="8">
        <f>COUNTIFS(tbl_data[3:T1C],$A28,tbl_data[12. Consultation Group of],$N$3)</f>
        <v>0</v>
      </c>
      <c r="O28" s="9">
        <f>COUNTIFS(tbl_data[3:T1C],$A28,tbl_data[12. Consultation Group of],$O$3)</f>
        <v>0</v>
      </c>
      <c r="P28" s="9">
        <f>COUNTIFS(tbl_data[3:T1C],$A28,tbl_data[12. Consultation Group of],$P$3)</f>
        <v>0</v>
      </c>
      <c r="Q28" s="9">
        <f>COUNTIFS(tbl_data[3:T1C],$A28,tbl_data[12. Consultation Group of],$Q$3)</f>
        <v>0</v>
      </c>
      <c r="R28" s="9">
        <f>COUNTIFS(tbl_data[3:T1C],$A28,tbl_data[12. Consultation Group of],$R$3)</f>
        <v>0</v>
      </c>
      <c r="S28" s="13">
        <f t="shared" si="9"/>
        <v>0</v>
      </c>
      <c r="T28" s="8">
        <f t="shared" si="10"/>
        <v>0</v>
      </c>
      <c r="U28" s="9">
        <f t="shared" si="11"/>
        <v>2</v>
      </c>
      <c r="V28" s="9">
        <f t="shared" si="12"/>
        <v>3</v>
      </c>
      <c r="W28" s="9">
        <f t="shared" si="13"/>
        <v>0</v>
      </c>
      <c r="X28" s="9">
        <f t="shared" si="14"/>
        <v>0</v>
      </c>
      <c r="Y28" s="13">
        <f t="shared" si="15"/>
        <v>5</v>
      </c>
      <c r="Z28" s="32"/>
      <c r="AB28" s="22">
        <f t="shared" si="1"/>
        <v>0</v>
      </c>
      <c r="AC28" s="22">
        <f t="shared" si="2"/>
        <v>0.18181818181818182</v>
      </c>
      <c r="AD28" s="22">
        <f t="shared" si="3"/>
        <v>0.42857142857142855</v>
      </c>
      <c r="AE28" s="22">
        <f t="shared" si="4"/>
        <v>0</v>
      </c>
      <c r="AF28" s="22">
        <f t="shared" si="5"/>
        <v>0</v>
      </c>
      <c r="AG28" s="22">
        <f t="shared" si="6"/>
        <v>0.11904761904761904</v>
      </c>
      <c r="AH28" s="32"/>
      <c r="AI28" s="24" t="s">
        <v>238</v>
      </c>
    </row>
    <row r="29" spans="1:35" x14ac:dyDescent="0.25">
      <c r="A29" s="18" t="s">
        <v>204</v>
      </c>
      <c r="B29" s="8">
        <f>COUNTIFS(tbl_data[1:T1C],A29,tbl_data[12. Consultation Group of],$B$3)</f>
        <v>0</v>
      </c>
      <c r="C29" s="9">
        <f>COUNTIFS(tbl_data[1:T1C],$A29,tbl_data[12. Consultation Group of],$C$3)</f>
        <v>0</v>
      </c>
      <c r="D29" s="9">
        <f>COUNTIFS(tbl_data[1:T1C],$A29,tbl_data[12. Consultation Group of],$D$3)</f>
        <v>0</v>
      </c>
      <c r="E29" s="9">
        <f>COUNTIFS(tbl_data[1:T1C],$A29,tbl_data[12. Consultation Group of],$E$3)</f>
        <v>0</v>
      </c>
      <c r="F29" s="9">
        <f>COUNTIFS(tbl_data[1:T1C],$A29,tbl_data[12. Consultation Group of],$F$3)</f>
        <v>0</v>
      </c>
      <c r="G29" s="13">
        <f t="shared" si="7"/>
        <v>0</v>
      </c>
      <c r="H29" s="8">
        <f>COUNTIFS(tbl_data[2:T1C],A29,tbl_data[12. Consultation Group of],$H$3)</f>
        <v>1</v>
      </c>
      <c r="I29" s="9">
        <f>COUNTIFS(tbl_data[2:T1C],$A29,tbl_data[12. Consultation Group of],$I$3)</f>
        <v>0</v>
      </c>
      <c r="J29" s="9">
        <f>COUNTIFS(tbl_data[2:T1C],$A29,tbl_data[12. Consultation Group of],$J$3)</f>
        <v>0</v>
      </c>
      <c r="K29" s="9">
        <f>COUNTIFS(tbl_data[2:T1C],$A29,tbl_data[12. Consultation Group of],$K$3)</f>
        <v>0</v>
      </c>
      <c r="L29" s="9">
        <f>COUNTIFS(tbl_data[2:T1C],$A29,tbl_data[12. Consultation Group of],$L$3)</f>
        <v>0</v>
      </c>
      <c r="M29" s="13">
        <f t="shared" si="8"/>
        <v>1</v>
      </c>
      <c r="N29" s="8">
        <f>COUNTIFS(tbl_data[3:T1C],$A29,tbl_data[12. Consultation Group of],$N$3)</f>
        <v>0</v>
      </c>
      <c r="O29" s="9">
        <f>COUNTIFS(tbl_data[3:T1C],$A29,tbl_data[12. Consultation Group of],$O$3)</f>
        <v>1</v>
      </c>
      <c r="P29" s="9">
        <f>COUNTIFS(tbl_data[3:T1C],$A29,tbl_data[12. Consultation Group of],$P$3)</f>
        <v>0</v>
      </c>
      <c r="Q29" s="9">
        <f>COUNTIFS(tbl_data[3:T1C],$A29,tbl_data[12. Consultation Group of],$Q$3)</f>
        <v>0</v>
      </c>
      <c r="R29" s="9">
        <f>COUNTIFS(tbl_data[3:T1C],$A29,tbl_data[12. Consultation Group of],$R$3)</f>
        <v>1</v>
      </c>
      <c r="S29" s="13">
        <f t="shared" si="9"/>
        <v>2</v>
      </c>
      <c r="T29" s="8">
        <f t="shared" si="10"/>
        <v>2</v>
      </c>
      <c r="U29" s="9">
        <f t="shared" si="11"/>
        <v>1</v>
      </c>
      <c r="V29" s="9">
        <f t="shared" si="12"/>
        <v>0</v>
      </c>
      <c r="W29" s="9">
        <f t="shared" si="13"/>
        <v>0</v>
      </c>
      <c r="X29" s="9">
        <f t="shared" si="14"/>
        <v>1</v>
      </c>
      <c r="Y29" s="13">
        <f t="shared" si="15"/>
        <v>4</v>
      </c>
      <c r="Z29" s="32"/>
      <c r="AB29" s="22">
        <f t="shared" si="1"/>
        <v>0.125</v>
      </c>
      <c r="AC29" s="22">
        <f t="shared" si="2"/>
        <v>9.0909090909090912E-2</v>
      </c>
      <c r="AD29" s="22">
        <f t="shared" si="3"/>
        <v>0</v>
      </c>
      <c r="AE29" s="22">
        <f t="shared" si="4"/>
        <v>0</v>
      </c>
      <c r="AF29" s="22">
        <f t="shared" si="5"/>
        <v>0.1111111111111111</v>
      </c>
      <c r="AG29" s="22">
        <f t="shared" si="6"/>
        <v>9.5238095238095233E-2</v>
      </c>
      <c r="AH29" s="32"/>
      <c r="AI29" s="24" t="s">
        <v>204</v>
      </c>
    </row>
    <row r="30" spans="1:35" x14ac:dyDescent="0.25">
      <c r="A30" s="18" t="s">
        <v>275</v>
      </c>
      <c r="B30" s="8">
        <f>COUNTIFS(tbl_data[1:T1C],A30,tbl_data[12. Consultation Group of],$B$3)</f>
        <v>0</v>
      </c>
      <c r="C30" s="9">
        <f>COUNTIFS(tbl_data[1:T1C],$A30,tbl_data[12. Consultation Group of],$C$3)</f>
        <v>0</v>
      </c>
      <c r="D30" s="9">
        <f>COUNTIFS(tbl_data[1:T1C],$A30,tbl_data[12. Consultation Group of],$D$3)</f>
        <v>0</v>
      </c>
      <c r="E30" s="9">
        <f>COUNTIFS(tbl_data[1:T1C],$A30,tbl_data[12. Consultation Group of],$E$3)</f>
        <v>1</v>
      </c>
      <c r="F30" s="9">
        <f>COUNTIFS(tbl_data[1:T1C],$A30,tbl_data[12. Consultation Group of],$F$3)</f>
        <v>0</v>
      </c>
      <c r="G30" s="13">
        <f t="shared" si="7"/>
        <v>1</v>
      </c>
      <c r="H30" s="8">
        <f>COUNTIFS(tbl_data[2:T1C],A30,tbl_data[12. Consultation Group of],$H$3)</f>
        <v>0</v>
      </c>
      <c r="I30" s="9">
        <f>COUNTIFS(tbl_data[2:T1C],$A30,tbl_data[12. Consultation Group of],$I$3)</f>
        <v>0</v>
      </c>
      <c r="J30" s="9">
        <f>COUNTIFS(tbl_data[2:T1C],$A30,tbl_data[12. Consultation Group of],$J$3)</f>
        <v>0</v>
      </c>
      <c r="K30" s="9">
        <f>COUNTIFS(tbl_data[2:T1C],$A30,tbl_data[12. Consultation Group of],$K$3)</f>
        <v>0</v>
      </c>
      <c r="L30" s="9">
        <f>COUNTIFS(tbl_data[2:T1C],$A30,tbl_data[12. Consultation Group of],$L$3)</f>
        <v>0</v>
      </c>
      <c r="M30" s="13">
        <f t="shared" si="8"/>
        <v>0</v>
      </c>
      <c r="N30" s="8">
        <f>COUNTIFS(tbl_data[3:T1C],$A30,tbl_data[12. Consultation Group of],$N$3)</f>
        <v>0</v>
      </c>
      <c r="O30" s="9">
        <f>COUNTIFS(tbl_data[3:T1C],$A30,tbl_data[12. Consultation Group of],$O$3)</f>
        <v>0</v>
      </c>
      <c r="P30" s="9">
        <f>COUNTIFS(tbl_data[3:T1C],$A30,tbl_data[12. Consultation Group of],$P$3)</f>
        <v>0</v>
      </c>
      <c r="Q30" s="9">
        <f>COUNTIFS(tbl_data[3:T1C],$A30,tbl_data[12. Consultation Group of],$Q$3)</f>
        <v>0</v>
      </c>
      <c r="R30" s="9">
        <f>COUNTIFS(tbl_data[3:T1C],$A30,tbl_data[12. Consultation Group of],$R$3)</f>
        <v>0</v>
      </c>
      <c r="S30" s="13">
        <f t="shared" si="9"/>
        <v>0</v>
      </c>
      <c r="T30" s="8">
        <f t="shared" si="10"/>
        <v>0</v>
      </c>
      <c r="U30" s="9">
        <f t="shared" si="11"/>
        <v>0</v>
      </c>
      <c r="V30" s="9">
        <f t="shared" si="12"/>
        <v>0</v>
      </c>
      <c r="W30" s="9">
        <f t="shared" si="13"/>
        <v>3</v>
      </c>
      <c r="X30" s="9">
        <f t="shared" si="14"/>
        <v>0</v>
      </c>
      <c r="Y30" s="13">
        <f t="shared" si="15"/>
        <v>3</v>
      </c>
      <c r="Z30" s="32"/>
      <c r="AB30" s="22">
        <f t="shared" si="1"/>
        <v>0</v>
      </c>
      <c r="AC30" s="22">
        <f t="shared" si="2"/>
        <v>0</v>
      </c>
      <c r="AD30" s="22">
        <f t="shared" si="3"/>
        <v>0</v>
      </c>
      <c r="AE30" s="22">
        <f t="shared" si="4"/>
        <v>0.15789473684210525</v>
      </c>
      <c r="AF30" s="22">
        <f t="shared" si="5"/>
        <v>0</v>
      </c>
      <c r="AG30" s="22">
        <f t="shared" si="6"/>
        <v>7.1428571428571425E-2</v>
      </c>
      <c r="AH30" s="32"/>
      <c r="AI30" s="24" t="s">
        <v>275</v>
      </c>
    </row>
    <row r="31" spans="1:35" x14ac:dyDescent="0.25">
      <c r="A31" s="18" t="s">
        <v>157</v>
      </c>
      <c r="B31" s="8">
        <f>COUNTIFS(tbl_data[1:T1C],A31,tbl_data[12. Consultation Group of],$B$3)</f>
        <v>2</v>
      </c>
      <c r="C31" s="9">
        <f>COUNTIFS(tbl_data[1:T1C],$A31,tbl_data[12. Consultation Group of],$C$3)</f>
        <v>0</v>
      </c>
      <c r="D31" s="9">
        <f>COUNTIFS(tbl_data[1:T1C],$A31,tbl_data[12. Consultation Group of],$D$3)</f>
        <v>0</v>
      </c>
      <c r="E31" s="9">
        <f>COUNTIFS(tbl_data[1:T1C],$A31,tbl_data[12. Consultation Group of],$E$3)</f>
        <v>0</v>
      </c>
      <c r="F31" s="9">
        <f>COUNTIFS(tbl_data[1:T1C],$A31,tbl_data[12. Consultation Group of],$F$3)</f>
        <v>0</v>
      </c>
      <c r="G31" s="13">
        <f t="shared" si="7"/>
        <v>2</v>
      </c>
      <c r="H31" s="8">
        <f>COUNTIFS(tbl_data[2:T1C],A31,tbl_data[12. Consultation Group of],$H$3)</f>
        <v>0</v>
      </c>
      <c r="I31" s="9">
        <f>COUNTIFS(tbl_data[2:T1C],$A31,tbl_data[12. Consultation Group of],$I$3)</f>
        <v>0</v>
      </c>
      <c r="J31" s="9">
        <f>COUNTIFS(tbl_data[2:T1C],$A31,tbl_data[12. Consultation Group of],$J$3)</f>
        <v>0</v>
      </c>
      <c r="K31" s="9">
        <f>COUNTIFS(tbl_data[2:T1C],$A31,tbl_data[12. Consultation Group of],$K$3)</f>
        <v>0</v>
      </c>
      <c r="L31" s="9">
        <f>COUNTIFS(tbl_data[2:T1C],$A31,tbl_data[12. Consultation Group of],$L$3)</f>
        <v>0</v>
      </c>
      <c r="M31" s="13">
        <f t="shared" si="8"/>
        <v>0</v>
      </c>
      <c r="N31" s="8">
        <f>COUNTIFS(tbl_data[3:T1C],$A31,tbl_data[12. Consultation Group of],$N$3)</f>
        <v>0</v>
      </c>
      <c r="O31" s="9">
        <f>COUNTIFS(tbl_data[3:T1C],$A31,tbl_data[12. Consultation Group of],$O$3)</f>
        <v>0</v>
      </c>
      <c r="P31" s="9">
        <f>COUNTIFS(tbl_data[3:T1C],$A31,tbl_data[12. Consultation Group of],$P$3)</f>
        <v>0</v>
      </c>
      <c r="Q31" s="9">
        <f>COUNTIFS(tbl_data[3:T1C],$A31,tbl_data[12. Consultation Group of],$Q$3)</f>
        <v>0</v>
      </c>
      <c r="R31" s="9">
        <f>COUNTIFS(tbl_data[3:T1C],$A31,tbl_data[12. Consultation Group of],$R$3)</f>
        <v>0</v>
      </c>
      <c r="S31" s="13">
        <f t="shared" si="9"/>
        <v>0</v>
      </c>
      <c r="T31" s="8">
        <f t="shared" si="10"/>
        <v>6</v>
      </c>
      <c r="U31" s="9">
        <f t="shared" si="11"/>
        <v>0</v>
      </c>
      <c r="V31" s="9">
        <f t="shared" si="12"/>
        <v>0</v>
      </c>
      <c r="W31" s="9">
        <f t="shared" si="13"/>
        <v>0</v>
      </c>
      <c r="X31" s="9">
        <f t="shared" si="14"/>
        <v>0</v>
      </c>
      <c r="Y31" s="13">
        <f t="shared" si="15"/>
        <v>6</v>
      </c>
      <c r="Z31" s="32"/>
      <c r="AB31" s="22">
        <f t="shared" si="1"/>
        <v>0.375</v>
      </c>
      <c r="AC31" s="22">
        <f t="shared" si="2"/>
        <v>0</v>
      </c>
      <c r="AD31" s="22">
        <f t="shared" si="3"/>
        <v>0</v>
      </c>
      <c r="AE31" s="22">
        <f t="shared" si="4"/>
        <v>0</v>
      </c>
      <c r="AF31" s="22">
        <f t="shared" si="5"/>
        <v>0</v>
      </c>
      <c r="AG31" s="22">
        <f t="shared" si="6"/>
        <v>0.14285714285714285</v>
      </c>
      <c r="AH31" s="32"/>
      <c r="AI31" s="24" t="s">
        <v>157</v>
      </c>
    </row>
    <row r="32" spans="1:35" x14ac:dyDescent="0.25">
      <c r="A32" s="18" t="s">
        <v>198</v>
      </c>
      <c r="B32" s="8">
        <f>COUNTIFS(tbl_data[1:T1C],A32,tbl_data[12. Consultation Group of],$B$3)</f>
        <v>0</v>
      </c>
      <c r="C32" s="9">
        <f>COUNTIFS(tbl_data[1:T1C],$A32,tbl_data[12. Consultation Group of],$C$3)</f>
        <v>0</v>
      </c>
      <c r="D32" s="9">
        <f>COUNTIFS(tbl_data[1:T1C],$A32,tbl_data[12. Consultation Group of],$D$3)</f>
        <v>0</v>
      </c>
      <c r="E32" s="9">
        <f>COUNTIFS(tbl_data[1:T1C],$A32,tbl_data[12. Consultation Group of],$E$3)</f>
        <v>0</v>
      </c>
      <c r="F32" s="9">
        <f>COUNTIFS(tbl_data[1:T1C],$A32,tbl_data[12. Consultation Group of],$F$3)</f>
        <v>0</v>
      </c>
      <c r="G32" s="13">
        <f t="shared" si="7"/>
        <v>0</v>
      </c>
      <c r="H32" s="8">
        <f>COUNTIFS(tbl_data[2:T1C],A32,tbl_data[12. Consultation Group of],$H$3)</f>
        <v>1</v>
      </c>
      <c r="I32" s="9">
        <f>COUNTIFS(tbl_data[2:T1C],$A32,tbl_data[12. Consultation Group of],$I$3)</f>
        <v>1</v>
      </c>
      <c r="J32" s="9">
        <f>COUNTIFS(tbl_data[2:T1C],$A32,tbl_data[12. Consultation Group of],$J$3)</f>
        <v>1</v>
      </c>
      <c r="K32" s="9">
        <f>COUNTIFS(tbl_data[2:T1C],$A32,tbl_data[12. Consultation Group of],$K$3)</f>
        <v>2</v>
      </c>
      <c r="L32" s="9">
        <f>COUNTIFS(tbl_data[2:T1C],$A32,tbl_data[12. Consultation Group of],$L$3)</f>
        <v>0</v>
      </c>
      <c r="M32" s="13">
        <f t="shared" si="8"/>
        <v>5</v>
      </c>
      <c r="N32" s="8">
        <f>COUNTIFS(tbl_data[3:T1C],$A32,tbl_data[12. Consultation Group of],$N$3)</f>
        <v>0</v>
      </c>
      <c r="O32" s="9">
        <f>COUNTIFS(tbl_data[3:T1C],$A32,tbl_data[12. Consultation Group of],$O$3)</f>
        <v>1</v>
      </c>
      <c r="P32" s="9">
        <f>COUNTIFS(tbl_data[3:T1C],$A32,tbl_data[12. Consultation Group of],$P$3)</f>
        <v>1</v>
      </c>
      <c r="Q32" s="9">
        <f>COUNTIFS(tbl_data[3:T1C],$A32,tbl_data[12. Consultation Group of],$Q$3)</f>
        <v>0</v>
      </c>
      <c r="R32" s="9">
        <f>COUNTIFS(tbl_data[3:T1C],$A32,tbl_data[12. Consultation Group of],$R$3)</f>
        <v>0</v>
      </c>
      <c r="S32" s="13">
        <f t="shared" si="9"/>
        <v>2</v>
      </c>
      <c r="T32" s="8">
        <f t="shared" si="10"/>
        <v>2</v>
      </c>
      <c r="U32" s="9">
        <f t="shared" si="11"/>
        <v>3</v>
      </c>
      <c r="V32" s="9">
        <f t="shared" si="12"/>
        <v>3</v>
      </c>
      <c r="W32" s="9">
        <f t="shared" si="13"/>
        <v>4</v>
      </c>
      <c r="X32" s="9">
        <f t="shared" si="14"/>
        <v>0</v>
      </c>
      <c r="Y32" s="13">
        <f t="shared" si="15"/>
        <v>12</v>
      </c>
      <c r="Z32" s="32"/>
      <c r="AB32" s="22">
        <f t="shared" si="1"/>
        <v>0.125</v>
      </c>
      <c r="AC32" s="22">
        <f t="shared" si="2"/>
        <v>0.27272727272727271</v>
      </c>
      <c r="AD32" s="22">
        <f t="shared" si="3"/>
        <v>0.42857142857142855</v>
      </c>
      <c r="AE32" s="22">
        <f t="shared" si="4"/>
        <v>0.21052631578947367</v>
      </c>
      <c r="AF32" s="22">
        <f t="shared" si="5"/>
        <v>0</v>
      </c>
      <c r="AG32" s="22">
        <f t="shared" si="6"/>
        <v>0.2857142857142857</v>
      </c>
      <c r="AH32" s="32"/>
      <c r="AI32" s="24" t="s">
        <v>198</v>
      </c>
    </row>
    <row r="33" spans="1:35" x14ac:dyDescent="0.25">
      <c r="A33" s="18" t="s">
        <v>159</v>
      </c>
      <c r="B33" s="8">
        <f>COUNTIFS(tbl_data[1:T1C],A33,tbl_data[12. Consultation Group of],$B$3)</f>
        <v>0</v>
      </c>
      <c r="C33" s="9">
        <f>COUNTIFS(tbl_data[1:T1C],$A33,tbl_data[12. Consultation Group of],$C$3)</f>
        <v>0</v>
      </c>
      <c r="D33" s="9">
        <f>COUNTIFS(tbl_data[1:T1C],$A33,tbl_data[12. Consultation Group of],$D$3)</f>
        <v>0</v>
      </c>
      <c r="E33" s="9">
        <f>COUNTIFS(tbl_data[1:T1C],$A33,tbl_data[12. Consultation Group of],$E$3)</f>
        <v>0</v>
      </c>
      <c r="F33" s="9">
        <f>COUNTIFS(tbl_data[1:T1C],$A33,tbl_data[12. Consultation Group of],$F$3)</f>
        <v>0</v>
      </c>
      <c r="G33" s="13">
        <f t="shared" si="7"/>
        <v>0</v>
      </c>
      <c r="H33" s="8">
        <f>COUNTIFS(tbl_data[2:T1C],A33,tbl_data[12. Consultation Group of],$H$3)</f>
        <v>0</v>
      </c>
      <c r="I33" s="9">
        <f>COUNTIFS(tbl_data[2:T1C],$A33,tbl_data[12. Consultation Group of],$I$3)</f>
        <v>0</v>
      </c>
      <c r="J33" s="9">
        <f>COUNTIFS(tbl_data[2:T1C],$A33,tbl_data[12. Consultation Group of],$J$3)</f>
        <v>0</v>
      </c>
      <c r="K33" s="9">
        <f>COUNTIFS(tbl_data[2:T1C],$A33,tbl_data[12. Consultation Group of],$K$3)</f>
        <v>0</v>
      </c>
      <c r="L33" s="9">
        <f>COUNTIFS(tbl_data[2:T1C],$A33,tbl_data[12. Consultation Group of],$L$3)</f>
        <v>0</v>
      </c>
      <c r="M33" s="13">
        <f t="shared" si="8"/>
        <v>0</v>
      </c>
      <c r="N33" s="8">
        <f>COUNTIFS(tbl_data[3:T1C],$A33,tbl_data[12. Consultation Group of],$N$3)</f>
        <v>1</v>
      </c>
      <c r="O33" s="9">
        <f>COUNTIFS(tbl_data[3:T1C],$A33,tbl_data[12. Consultation Group of],$O$3)</f>
        <v>0</v>
      </c>
      <c r="P33" s="9">
        <f>COUNTIFS(tbl_data[3:T1C],$A33,tbl_data[12. Consultation Group of],$P$3)</f>
        <v>0</v>
      </c>
      <c r="Q33" s="9">
        <f>COUNTIFS(tbl_data[3:T1C],$A33,tbl_data[12. Consultation Group of],$Q$3)</f>
        <v>1</v>
      </c>
      <c r="R33" s="9">
        <f>COUNTIFS(tbl_data[3:T1C],$A33,tbl_data[12. Consultation Group of],$R$3)</f>
        <v>0</v>
      </c>
      <c r="S33" s="13">
        <f t="shared" si="9"/>
        <v>2</v>
      </c>
      <c r="T33" s="8">
        <f t="shared" si="10"/>
        <v>1</v>
      </c>
      <c r="U33" s="9">
        <f t="shared" si="11"/>
        <v>0</v>
      </c>
      <c r="V33" s="9">
        <f t="shared" si="12"/>
        <v>0</v>
      </c>
      <c r="W33" s="9">
        <f t="shared" si="13"/>
        <v>1</v>
      </c>
      <c r="X33" s="9">
        <f t="shared" si="14"/>
        <v>0</v>
      </c>
      <c r="Y33" s="13">
        <f t="shared" si="15"/>
        <v>2</v>
      </c>
      <c r="Z33" s="32"/>
      <c r="AB33" s="22">
        <f t="shared" si="1"/>
        <v>6.25E-2</v>
      </c>
      <c r="AC33" s="22">
        <f t="shared" si="2"/>
        <v>0</v>
      </c>
      <c r="AD33" s="22">
        <f t="shared" si="3"/>
        <v>0</v>
      </c>
      <c r="AE33" s="22">
        <f t="shared" si="4"/>
        <v>5.2631578947368418E-2</v>
      </c>
      <c r="AF33" s="22">
        <f t="shared" si="5"/>
        <v>0</v>
      </c>
      <c r="AG33" s="22">
        <f t="shared" si="6"/>
        <v>4.7619047619047616E-2</v>
      </c>
      <c r="AH33" s="32"/>
      <c r="AI33" s="24" t="s">
        <v>159</v>
      </c>
    </row>
    <row r="34" spans="1:35" x14ac:dyDescent="0.25">
      <c r="A34" s="18" t="s">
        <v>298</v>
      </c>
      <c r="B34" s="8">
        <f>COUNTIFS(tbl_data[1:T1C],A34,tbl_data[12. Consultation Group of],$B$3)</f>
        <v>0</v>
      </c>
      <c r="C34" s="9">
        <f>COUNTIFS(tbl_data[1:T1C],$A34,tbl_data[12. Consultation Group of],$C$3)</f>
        <v>0</v>
      </c>
      <c r="D34" s="9">
        <f>COUNTIFS(tbl_data[1:T1C],$A34,tbl_data[12. Consultation Group of],$D$3)</f>
        <v>0</v>
      </c>
      <c r="E34" s="9">
        <f>COUNTIFS(tbl_data[1:T1C],$A34,tbl_data[12. Consultation Group of],$E$3)</f>
        <v>0</v>
      </c>
      <c r="F34" s="9">
        <f>COUNTIFS(tbl_data[1:T1C],$A34,tbl_data[12. Consultation Group of],$F$3)</f>
        <v>0</v>
      </c>
      <c r="G34" s="13">
        <f t="shared" si="7"/>
        <v>0</v>
      </c>
      <c r="H34" s="8">
        <f>COUNTIFS(tbl_data[2:T1C],A34,tbl_data[12. Consultation Group of],$H$3)</f>
        <v>0</v>
      </c>
      <c r="I34" s="9">
        <f>COUNTIFS(tbl_data[2:T1C],$A34,tbl_data[12. Consultation Group of],$I$3)</f>
        <v>0</v>
      </c>
      <c r="J34" s="9">
        <f>COUNTIFS(tbl_data[2:T1C],$A34,tbl_data[12. Consultation Group of],$J$3)</f>
        <v>0</v>
      </c>
      <c r="K34" s="9">
        <f>COUNTIFS(tbl_data[2:T1C],$A34,tbl_data[12. Consultation Group of],$K$3)</f>
        <v>0</v>
      </c>
      <c r="L34" s="9">
        <f>COUNTIFS(tbl_data[2:T1C],$A34,tbl_data[12. Consultation Group of],$L$3)</f>
        <v>0</v>
      </c>
      <c r="M34" s="13">
        <f t="shared" si="8"/>
        <v>0</v>
      </c>
      <c r="N34" s="8">
        <f>COUNTIFS(tbl_data[3:T1C],$A34,tbl_data[12. Consultation Group of],$N$3)</f>
        <v>0</v>
      </c>
      <c r="O34" s="9">
        <f>COUNTIFS(tbl_data[3:T1C],$A34,tbl_data[12. Consultation Group of],$O$3)</f>
        <v>0</v>
      </c>
      <c r="P34" s="9">
        <f>COUNTIFS(tbl_data[3:T1C],$A34,tbl_data[12. Consultation Group of],$P$3)</f>
        <v>0</v>
      </c>
      <c r="Q34" s="9">
        <f>COUNTIFS(tbl_data[3:T1C],$A34,tbl_data[12. Consultation Group of],$Q$3)</f>
        <v>0</v>
      </c>
      <c r="R34" s="9">
        <f>COUNTIFS(tbl_data[3:T1C],$A34,tbl_data[12. Consultation Group of],$R$3)</f>
        <v>0</v>
      </c>
      <c r="S34" s="13">
        <f t="shared" si="9"/>
        <v>0</v>
      </c>
      <c r="T34" s="8">
        <f t="shared" si="10"/>
        <v>0</v>
      </c>
      <c r="U34" s="9">
        <f t="shared" si="11"/>
        <v>0</v>
      </c>
      <c r="V34" s="9">
        <f t="shared" si="12"/>
        <v>0</v>
      </c>
      <c r="W34" s="9">
        <f t="shared" si="13"/>
        <v>0</v>
      </c>
      <c r="X34" s="9">
        <f t="shared" si="14"/>
        <v>0</v>
      </c>
      <c r="Y34" s="13">
        <f t="shared" si="15"/>
        <v>0</v>
      </c>
      <c r="Z34" s="32"/>
      <c r="AB34" s="22">
        <f t="shared" si="1"/>
        <v>0</v>
      </c>
      <c r="AC34" s="22">
        <f t="shared" si="2"/>
        <v>0</v>
      </c>
      <c r="AD34" s="22">
        <f t="shared" si="3"/>
        <v>0</v>
      </c>
      <c r="AE34" s="22">
        <f t="shared" si="4"/>
        <v>0</v>
      </c>
      <c r="AF34" s="22">
        <f t="shared" si="5"/>
        <v>0</v>
      </c>
      <c r="AG34" s="22">
        <f t="shared" si="6"/>
        <v>0</v>
      </c>
      <c r="AH34" s="32"/>
      <c r="AI34" s="24" t="s">
        <v>298</v>
      </c>
    </row>
    <row r="35" spans="1:35" x14ac:dyDescent="0.25">
      <c r="A35" s="18" t="s">
        <v>860</v>
      </c>
      <c r="B35" s="8">
        <f>COUNTIFS(tbl_data[1:T1C],A35,tbl_data[12. Consultation Group of],$B$3)</f>
        <v>0</v>
      </c>
      <c r="C35" s="9">
        <f>COUNTIFS(tbl_data[1:T1C],$A35,tbl_data[12. Consultation Group of],$C$3)</f>
        <v>0</v>
      </c>
      <c r="D35" s="9">
        <f>COUNTIFS(tbl_data[1:T1C],$A35,tbl_data[12. Consultation Group of],$D$3)</f>
        <v>0</v>
      </c>
      <c r="E35" s="9">
        <f>COUNTIFS(tbl_data[1:T1C],$A35,tbl_data[12. Consultation Group of],$E$3)</f>
        <v>0</v>
      </c>
      <c r="F35" s="9">
        <f>COUNTIFS(tbl_data[1:T1C],$A35,tbl_data[12. Consultation Group of],$F$3)</f>
        <v>0</v>
      </c>
      <c r="G35" s="13">
        <f t="shared" si="7"/>
        <v>0</v>
      </c>
      <c r="H35" s="8">
        <f>COUNTIFS(tbl_data[2:T1C],A35,tbl_data[12. Consultation Group of],$H$3)</f>
        <v>0</v>
      </c>
      <c r="I35" s="9">
        <f>COUNTIFS(tbl_data[2:T1C],$A35,tbl_data[12. Consultation Group of],$I$3)</f>
        <v>0</v>
      </c>
      <c r="J35" s="9">
        <f>COUNTIFS(tbl_data[2:T1C],$A35,tbl_data[12. Consultation Group of],$J$3)</f>
        <v>0</v>
      </c>
      <c r="K35" s="9">
        <f>COUNTIFS(tbl_data[2:T1C],$A35,tbl_data[12. Consultation Group of],$K$3)</f>
        <v>0</v>
      </c>
      <c r="L35" s="9">
        <f>COUNTIFS(tbl_data[2:T1C],$A35,tbl_data[12. Consultation Group of],$L$3)</f>
        <v>0</v>
      </c>
      <c r="M35" s="13">
        <f t="shared" si="8"/>
        <v>0</v>
      </c>
      <c r="N35" s="8">
        <f>COUNTIFS(tbl_data[3:T1C],$A35,tbl_data[12. Consultation Group of],$N$3)</f>
        <v>0</v>
      </c>
      <c r="O35" s="9">
        <f>COUNTIFS(tbl_data[3:T1C],$A35,tbl_data[12. Consultation Group of],$O$3)</f>
        <v>0</v>
      </c>
      <c r="P35" s="9">
        <f>COUNTIFS(tbl_data[3:T1C],$A35,tbl_data[12. Consultation Group of],$P$3)</f>
        <v>0</v>
      </c>
      <c r="Q35" s="9">
        <f>COUNTIFS(tbl_data[3:T1C],$A35,tbl_data[12. Consultation Group of],$Q$3)</f>
        <v>0</v>
      </c>
      <c r="R35" s="9">
        <f>COUNTIFS(tbl_data[3:T1C],$A35,tbl_data[12. Consultation Group of],$R$3)</f>
        <v>0</v>
      </c>
      <c r="S35" s="13">
        <f t="shared" si="9"/>
        <v>0</v>
      </c>
      <c r="T35" s="8">
        <f t="shared" si="10"/>
        <v>0</v>
      </c>
      <c r="U35" s="9">
        <f t="shared" si="11"/>
        <v>0</v>
      </c>
      <c r="V35" s="9">
        <f t="shared" si="12"/>
        <v>0</v>
      </c>
      <c r="W35" s="9">
        <f t="shared" si="13"/>
        <v>0</v>
      </c>
      <c r="X35" s="9">
        <f t="shared" si="14"/>
        <v>0</v>
      </c>
      <c r="Y35" s="13">
        <f t="shared" si="15"/>
        <v>0</v>
      </c>
      <c r="Z35" s="32"/>
      <c r="AB35" s="22">
        <f t="shared" si="1"/>
        <v>0</v>
      </c>
      <c r="AC35" s="22">
        <f t="shared" si="2"/>
        <v>0</v>
      </c>
      <c r="AD35" s="22">
        <f t="shared" si="3"/>
        <v>0</v>
      </c>
      <c r="AE35" s="22">
        <f t="shared" si="4"/>
        <v>0</v>
      </c>
      <c r="AF35" s="22">
        <f t="shared" si="5"/>
        <v>0</v>
      </c>
      <c r="AG35" s="22">
        <f t="shared" si="6"/>
        <v>0</v>
      </c>
      <c r="AH35" s="32"/>
      <c r="AI35" s="24" t="s">
        <v>860</v>
      </c>
    </row>
    <row r="36" spans="1:35" x14ac:dyDescent="0.25">
      <c r="A36" s="18" t="s">
        <v>537</v>
      </c>
      <c r="B36" s="8">
        <f>COUNTIFS(tbl_data[1:T1C],A36,tbl_data[12. Consultation Group of],$B$3)</f>
        <v>0</v>
      </c>
      <c r="C36" s="9">
        <f>COUNTIFS(tbl_data[1:T1C],$A36,tbl_data[12. Consultation Group of],$C$3)</f>
        <v>0</v>
      </c>
      <c r="D36" s="9">
        <f>COUNTIFS(tbl_data[1:T1C],$A36,tbl_data[12. Consultation Group of],$D$3)</f>
        <v>0</v>
      </c>
      <c r="E36" s="9">
        <f>COUNTIFS(tbl_data[1:T1C],$A36,tbl_data[12. Consultation Group of],$E$3)</f>
        <v>0</v>
      </c>
      <c r="F36" s="9">
        <f>COUNTIFS(tbl_data[1:T1C],$A36,tbl_data[12. Consultation Group of],$F$3)</f>
        <v>0</v>
      </c>
      <c r="G36" s="13">
        <f t="shared" si="7"/>
        <v>0</v>
      </c>
      <c r="H36" s="8">
        <f>COUNTIFS(tbl_data[2:T1C],A36,tbl_data[12. Consultation Group of],$H$3)</f>
        <v>0</v>
      </c>
      <c r="I36" s="9">
        <f>COUNTIFS(tbl_data[2:T1C],$A36,tbl_data[12. Consultation Group of],$I$3)</f>
        <v>0</v>
      </c>
      <c r="J36" s="9">
        <f>COUNTIFS(tbl_data[2:T1C],$A36,tbl_data[12. Consultation Group of],$J$3)</f>
        <v>0</v>
      </c>
      <c r="K36" s="9">
        <f>COUNTIFS(tbl_data[2:T1C],$A36,tbl_data[12. Consultation Group of],$K$3)</f>
        <v>0</v>
      </c>
      <c r="L36" s="9">
        <f>COUNTIFS(tbl_data[2:T1C],$A36,tbl_data[12. Consultation Group of],$L$3)</f>
        <v>0</v>
      </c>
      <c r="M36" s="13">
        <f t="shared" si="8"/>
        <v>0</v>
      </c>
      <c r="N36" s="8">
        <f>COUNTIFS(tbl_data[3:T1C],$A36,tbl_data[12. Consultation Group of],$N$3)</f>
        <v>0</v>
      </c>
      <c r="O36" s="9">
        <f>COUNTIFS(tbl_data[3:T1C],$A36,tbl_data[12. Consultation Group of],$O$3)</f>
        <v>0</v>
      </c>
      <c r="P36" s="9">
        <f>COUNTIFS(tbl_data[3:T1C],$A36,tbl_data[12. Consultation Group of],$P$3)</f>
        <v>0</v>
      </c>
      <c r="Q36" s="9">
        <f>COUNTIFS(tbl_data[3:T1C],$A36,tbl_data[12. Consultation Group of],$Q$3)</f>
        <v>1</v>
      </c>
      <c r="R36" s="9">
        <f>COUNTIFS(tbl_data[3:T1C],$A36,tbl_data[12. Consultation Group of],$R$3)</f>
        <v>0</v>
      </c>
      <c r="S36" s="13">
        <f t="shared" si="9"/>
        <v>1</v>
      </c>
      <c r="T36" s="8">
        <f t="shared" si="10"/>
        <v>0</v>
      </c>
      <c r="U36" s="9">
        <f t="shared" si="11"/>
        <v>0</v>
      </c>
      <c r="V36" s="9">
        <f t="shared" si="12"/>
        <v>0</v>
      </c>
      <c r="W36" s="9">
        <f t="shared" si="13"/>
        <v>1</v>
      </c>
      <c r="X36" s="9">
        <f t="shared" si="14"/>
        <v>0</v>
      </c>
      <c r="Y36" s="13">
        <f t="shared" si="15"/>
        <v>1</v>
      </c>
      <c r="Z36" s="32"/>
      <c r="AB36" s="22">
        <f t="shared" si="1"/>
        <v>0</v>
      </c>
      <c r="AC36" s="22">
        <f t="shared" si="2"/>
        <v>0</v>
      </c>
      <c r="AD36" s="22">
        <f t="shared" si="3"/>
        <v>0</v>
      </c>
      <c r="AE36" s="22">
        <f t="shared" si="4"/>
        <v>5.2631578947368418E-2</v>
      </c>
      <c r="AF36" s="22">
        <f t="shared" si="5"/>
        <v>0</v>
      </c>
      <c r="AG36" s="22">
        <f t="shared" si="6"/>
        <v>2.3809523809523808E-2</v>
      </c>
      <c r="AH36" s="32"/>
      <c r="AI36" s="24" t="s">
        <v>537</v>
      </c>
    </row>
    <row r="37" spans="1:35" x14ac:dyDescent="0.25">
      <c r="A37" s="18" t="s">
        <v>333</v>
      </c>
      <c r="B37" s="8">
        <f>COUNTIFS(tbl_data[1:T1C],A37,tbl_data[12. Consultation Group of],$B$3)</f>
        <v>0</v>
      </c>
      <c r="C37" s="9">
        <f>COUNTIFS(tbl_data[1:T1C],$A37,tbl_data[12. Consultation Group of],$C$3)</f>
        <v>0</v>
      </c>
      <c r="D37" s="9">
        <f>COUNTIFS(tbl_data[1:T1C],$A37,tbl_data[12. Consultation Group of],$D$3)</f>
        <v>0</v>
      </c>
      <c r="E37" s="9">
        <f>COUNTIFS(tbl_data[1:T1C],$A37,tbl_data[12. Consultation Group of],$E$3)</f>
        <v>0</v>
      </c>
      <c r="F37" s="9">
        <f>COUNTIFS(tbl_data[1:T1C],$A37,tbl_data[12. Consultation Group of],$F$3)</f>
        <v>0</v>
      </c>
      <c r="G37" s="13">
        <f t="shared" si="7"/>
        <v>0</v>
      </c>
      <c r="H37" s="8">
        <f>COUNTIFS(tbl_data[2:T1C],A37,tbl_data[12. Consultation Group of],$H$3)</f>
        <v>0</v>
      </c>
      <c r="I37" s="9">
        <f>COUNTIFS(tbl_data[2:T1C],$A37,tbl_data[12. Consultation Group of],$I$3)</f>
        <v>0</v>
      </c>
      <c r="J37" s="9">
        <f>COUNTIFS(tbl_data[2:T1C],$A37,tbl_data[12. Consultation Group of],$J$3)</f>
        <v>0</v>
      </c>
      <c r="K37" s="9">
        <f>COUNTIFS(tbl_data[2:T1C],$A37,tbl_data[12. Consultation Group of],$K$3)</f>
        <v>0</v>
      </c>
      <c r="L37" s="9">
        <f>COUNTIFS(tbl_data[2:T1C],$A37,tbl_data[12. Consultation Group of],$L$3)</f>
        <v>0</v>
      </c>
      <c r="M37" s="13">
        <f t="shared" si="8"/>
        <v>0</v>
      </c>
      <c r="N37" s="8">
        <f>COUNTIFS(tbl_data[3:T1C],$A37,tbl_data[12. Consultation Group of],$N$3)</f>
        <v>0</v>
      </c>
      <c r="O37" s="9">
        <f>COUNTIFS(tbl_data[3:T1C],$A37,tbl_data[12. Consultation Group of],$O$3)</f>
        <v>0</v>
      </c>
      <c r="P37" s="9">
        <f>COUNTIFS(tbl_data[3:T1C],$A37,tbl_data[12. Consultation Group of],$P$3)</f>
        <v>0</v>
      </c>
      <c r="Q37" s="9">
        <f>COUNTIFS(tbl_data[3:T1C],$A37,tbl_data[12. Consultation Group of],$Q$3)</f>
        <v>0</v>
      </c>
      <c r="R37" s="9">
        <f>COUNTIFS(tbl_data[3:T1C],$A37,tbl_data[12. Consultation Group of],$R$3)</f>
        <v>0</v>
      </c>
      <c r="S37" s="13">
        <f t="shared" si="9"/>
        <v>0</v>
      </c>
      <c r="T37" s="8">
        <f t="shared" si="10"/>
        <v>0</v>
      </c>
      <c r="U37" s="9">
        <f t="shared" si="11"/>
        <v>0</v>
      </c>
      <c r="V37" s="9">
        <f t="shared" si="12"/>
        <v>0</v>
      </c>
      <c r="W37" s="9">
        <f t="shared" si="13"/>
        <v>0</v>
      </c>
      <c r="X37" s="9">
        <f t="shared" si="14"/>
        <v>0</v>
      </c>
      <c r="Y37" s="13">
        <f t="shared" si="15"/>
        <v>0</v>
      </c>
      <c r="Z37" s="32"/>
      <c r="AB37" s="22">
        <f t="shared" si="1"/>
        <v>0</v>
      </c>
      <c r="AC37" s="22">
        <f t="shared" si="2"/>
        <v>0</v>
      </c>
      <c r="AD37" s="22">
        <f t="shared" si="3"/>
        <v>0</v>
      </c>
      <c r="AE37" s="22">
        <f t="shared" si="4"/>
        <v>0</v>
      </c>
      <c r="AF37" s="22">
        <f t="shared" si="5"/>
        <v>0</v>
      </c>
      <c r="AG37" s="22">
        <f t="shared" si="6"/>
        <v>0</v>
      </c>
      <c r="AH37" s="32"/>
      <c r="AI37" s="24" t="s">
        <v>333</v>
      </c>
    </row>
    <row r="38" spans="1:35" x14ac:dyDescent="0.25">
      <c r="A38" s="18" t="s">
        <v>211</v>
      </c>
      <c r="B38" s="8">
        <f>COUNTIFS(tbl_data[1:T1C],A38,tbl_data[12. Consultation Group of],$B$3)</f>
        <v>0</v>
      </c>
      <c r="C38" s="9">
        <f>COUNTIFS(tbl_data[1:T1C],$A38,tbl_data[12. Consultation Group of],$C$3)</f>
        <v>0</v>
      </c>
      <c r="D38" s="9">
        <f>COUNTIFS(tbl_data[1:T1C],$A38,tbl_data[12. Consultation Group of],$D$3)</f>
        <v>0</v>
      </c>
      <c r="E38" s="9">
        <f>COUNTIFS(tbl_data[1:T1C],$A38,tbl_data[12. Consultation Group of],$E$3)</f>
        <v>0</v>
      </c>
      <c r="F38" s="9">
        <f>COUNTIFS(tbl_data[1:T1C],$A38,tbl_data[12. Consultation Group of],$F$3)</f>
        <v>1</v>
      </c>
      <c r="G38" s="13">
        <f t="shared" si="7"/>
        <v>1</v>
      </c>
      <c r="H38" s="8">
        <f>COUNTIFS(tbl_data[2:T1C],A38,tbl_data[12. Consultation Group of],$H$3)</f>
        <v>0</v>
      </c>
      <c r="I38" s="9">
        <f>COUNTIFS(tbl_data[2:T1C],$A38,tbl_data[12. Consultation Group of],$I$3)</f>
        <v>0</v>
      </c>
      <c r="J38" s="9">
        <f>COUNTIFS(tbl_data[2:T1C],$A38,tbl_data[12. Consultation Group of],$J$3)</f>
        <v>0</v>
      </c>
      <c r="K38" s="9">
        <f>COUNTIFS(tbl_data[2:T1C],$A38,tbl_data[12. Consultation Group of],$K$3)</f>
        <v>1</v>
      </c>
      <c r="L38" s="9">
        <f>COUNTIFS(tbl_data[2:T1C],$A38,tbl_data[12. Consultation Group of],$L$3)</f>
        <v>0</v>
      </c>
      <c r="M38" s="13">
        <f t="shared" si="8"/>
        <v>1</v>
      </c>
      <c r="N38" s="8">
        <f>COUNTIFS(tbl_data[3:T1C],$A38,tbl_data[12. Consultation Group of],$N$3)</f>
        <v>1</v>
      </c>
      <c r="O38" s="9">
        <f>COUNTIFS(tbl_data[3:T1C],$A38,tbl_data[12. Consultation Group of],$O$3)</f>
        <v>0</v>
      </c>
      <c r="P38" s="9">
        <f>COUNTIFS(tbl_data[3:T1C],$A38,tbl_data[12. Consultation Group of],$P$3)</f>
        <v>0</v>
      </c>
      <c r="Q38" s="9">
        <f>COUNTIFS(tbl_data[3:T1C],$A38,tbl_data[12. Consultation Group of],$Q$3)</f>
        <v>1</v>
      </c>
      <c r="R38" s="9">
        <f>COUNTIFS(tbl_data[3:T1C],$A38,tbl_data[12. Consultation Group of],$R$3)</f>
        <v>0</v>
      </c>
      <c r="S38" s="13">
        <f t="shared" si="9"/>
        <v>2</v>
      </c>
      <c r="T38" s="8">
        <f t="shared" si="10"/>
        <v>1</v>
      </c>
      <c r="U38" s="9">
        <f t="shared" si="11"/>
        <v>0</v>
      </c>
      <c r="V38" s="9">
        <f t="shared" si="12"/>
        <v>0</v>
      </c>
      <c r="W38" s="9">
        <f t="shared" si="13"/>
        <v>3</v>
      </c>
      <c r="X38" s="9">
        <f t="shared" si="14"/>
        <v>3</v>
      </c>
      <c r="Y38" s="13">
        <f t="shared" si="15"/>
        <v>7</v>
      </c>
      <c r="Z38" s="32"/>
      <c r="AB38" s="22">
        <f t="shared" si="1"/>
        <v>6.25E-2</v>
      </c>
      <c r="AC38" s="22">
        <f t="shared" si="2"/>
        <v>0</v>
      </c>
      <c r="AD38" s="22">
        <f t="shared" si="3"/>
        <v>0</v>
      </c>
      <c r="AE38" s="22">
        <f t="shared" si="4"/>
        <v>0.15789473684210525</v>
      </c>
      <c r="AF38" s="22">
        <f t="shared" si="5"/>
        <v>0.33333333333333331</v>
      </c>
      <c r="AG38" s="22">
        <f t="shared" si="6"/>
        <v>0.16666666666666666</v>
      </c>
      <c r="AH38" s="32"/>
      <c r="AI38" s="24" t="s">
        <v>211</v>
      </c>
    </row>
    <row r="39" spans="1:35" x14ac:dyDescent="0.25">
      <c r="A39" s="18" t="s">
        <v>480</v>
      </c>
      <c r="B39" s="8">
        <f>COUNTIFS(tbl_data[1:T1C],A39,tbl_data[12. Consultation Group of],$B$3)</f>
        <v>0</v>
      </c>
      <c r="C39" s="9">
        <f>COUNTIFS(tbl_data[1:T1C],$A39,tbl_data[12. Consultation Group of],$C$3)</f>
        <v>0</v>
      </c>
      <c r="D39" s="9">
        <f>COUNTIFS(tbl_data[1:T1C],$A39,tbl_data[12. Consultation Group of],$D$3)</f>
        <v>0</v>
      </c>
      <c r="E39" s="9">
        <f>COUNTIFS(tbl_data[1:T1C],$A39,tbl_data[12. Consultation Group of],$E$3)</f>
        <v>0</v>
      </c>
      <c r="F39" s="9">
        <f>COUNTIFS(tbl_data[1:T1C],$A39,tbl_data[12. Consultation Group of],$F$3)</f>
        <v>0</v>
      </c>
      <c r="G39" s="13">
        <f t="shared" si="7"/>
        <v>0</v>
      </c>
      <c r="H39" s="8">
        <f>COUNTIFS(tbl_data[2:T1C],A39,tbl_data[12. Consultation Group of],$H$3)</f>
        <v>0</v>
      </c>
      <c r="I39" s="9">
        <f>COUNTIFS(tbl_data[2:T1C],$A39,tbl_data[12. Consultation Group of],$I$3)</f>
        <v>0</v>
      </c>
      <c r="J39" s="9">
        <f>COUNTIFS(tbl_data[2:T1C],$A39,tbl_data[12. Consultation Group of],$J$3)</f>
        <v>0</v>
      </c>
      <c r="K39" s="9">
        <f>COUNTIFS(tbl_data[2:T1C],$A39,tbl_data[12. Consultation Group of],$K$3)</f>
        <v>0</v>
      </c>
      <c r="L39" s="9">
        <f>COUNTIFS(tbl_data[2:T1C],$A39,tbl_data[12. Consultation Group of],$L$3)</f>
        <v>0</v>
      </c>
      <c r="M39" s="13">
        <f t="shared" si="8"/>
        <v>0</v>
      </c>
      <c r="N39" s="8">
        <f>COUNTIFS(tbl_data[3:T1C],$A39,tbl_data[12. Consultation Group of],$N$3)</f>
        <v>0</v>
      </c>
      <c r="O39" s="9">
        <f>COUNTIFS(tbl_data[3:T1C],$A39,tbl_data[12. Consultation Group of],$O$3)</f>
        <v>0</v>
      </c>
      <c r="P39" s="9">
        <f>COUNTIFS(tbl_data[3:T1C],$A39,tbl_data[12. Consultation Group of],$P$3)</f>
        <v>0</v>
      </c>
      <c r="Q39" s="9">
        <f>COUNTIFS(tbl_data[3:T1C],$A39,tbl_data[12. Consultation Group of],$Q$3)</f>
        <v>0</v>
      </c>
      <c r="R39" s="9">
        <f>COUNTIFS(tbl_data[3:T1C],$A39,tbl_data[12. Consultation Group of],$R$3)</f>
        <v>0</v>
      </c>
      <c r="S39" s="13">
        <f t="shared" si="9"/>
        <v>0</v>
      </c>
      <c r="T39" s="8">
        <f t="shared" si="10"/>
        <v>0</v>
      </c>
      <c r="U39" s="9">
        <f t="shared" si="11"/>
        <v>0</v>
      </c>
      <c r="V39" s="9">
        <f t="shared" si="12"/>
        <v>0</v>
      </c>
      <c r="W39" s="9">
        <f t="shared" si="13"/>
        <v>0</v>
      </c>
      <c r="X39" s="9">
        <f t="shared" si="14"/>
        <v>0</v>
      </c>
      <c r="Y39" s="13">
        <f t="shared" si="15"/>
        <v>0</v>
      </c>
      <c r="Z39" s="32"/>
      <c r="AB39" s="22">
        <f t="shared" si="1"/>
        <v>0</v>
      </c>
      <c r="AC39" s="22">
        <f t="shared" si="2"/>
        <v>0</v>
      </c>
      <c r="AD39" s="22">
        <f t="shared" si="3"/>
        <v>0</v>
      </c>
      <c r="AE39" s="22">
        <f t="shared" si="4"/>
        <v>0</v>
      </c>
      <c r="AF39" s="22">
        <f t="shared" si="5"/>
        <v>0</v>
      </c>
      <c r="AG39" s="22">
        <f t="shared" si="6"/>
        <v>0</v>
      </c>
      <c r="AH39" s="32"/>
      <c r="AI39" s="24" t="s">
        <v>480</v>
      </c>
    </row>
    <row r="40" spans="1:35" x14ac:dyDescent="0.25">
      <c r="A40" s="18" t="s">
        <v>316</v>
      </c>
      <c r="B40" s="8">
        <f>COUNTIFS(tbl_data[1:T1C],A40,tbl_data[12. Consultation Group of],$B$3)</f>
        <v>0</v>
      </c>
      <c r="C40" s="9">
        <f>COUNTIFS(tbl_data[1:T1C],$A40,tbl_data[12. Consultation Group of],$C$3)</f>
        <v>0</v>
      </c>
      <c r="D40" s="9">
        <f>COUNTIFS(tbl_data[1:T1C],$A40,tbl_data[12. Consultation Group of],$D$3)</f>
        <v>0</v>
      </c>
      <c r="E40" s="9">
        <f>COUNTIFS(tbl_data[1:T1C],$A40,tbl_data[12. Consultation Group of],$E$3)</f>
        <v>0</v>
      </c>
      <c r="F40" s="9">
        <f>COUNTIFS(tbl_data[1:T1C],$A40,tbl_data[12. Consultation Group of],$F$3)</f>
        <v>0</v>
      </c>
      <c r="G40" s="13">
        <f t="shared" si="7"/>
        <v>0</v>
      </c>
      <c r="H40" s="8">
        <f>COUNTIFS(tbl_data[2:T1C],A40,tbl_data[12. Consultation Group of],$H$3)</f>
        <v>0</v>
      </c>
      <c r="I40" s="9">
        <f>COUNTIFS(tbl_data[2:T1C],$A40,tbl_data[12. Consultation Group of],$I$3)</f>
        <v>0</v>
      </c>
      <c r="J40" s="9">
        <f>COUNTIFS(tbl_data[2:T1C],$A40,tbl_data[12. Consultation Group of],$J$3)</f>
        <v>0</v>
      </c>
      <c r="K40" s="9">
        <f>COUNTIFS(tbl_data[2:T1C],$A40,tbl_data[12. Consultation Group of],$K$3)</f>
        <v>1</v>
      </c>
      <c r="L40" s="9">
        <f>COUNTIFS(tbl_data[2:T1C],$A40,tbl_data[12. Consultation Group of],$L$3)</f>
        <v>0</v>
      </c>
      <c r="M40" s="13">
        <f t="shared" si="8"/>
        <v>1</v>
      </c>
      <c r="N40" s="8">
        <f>COUNTIFS(tbl_data[3:T1C],$A40,tbl_data[12. Consultation Group of],$N$3)</f>
        <v>0</v>
      </c>
      <c r="O40" s="9">
        <f>COUNTIFS(tbl_data[3:T1C],$A40,tbl_data[12. Consultation Group of],$O$3)</f>
        <v>0</v>
      </c>
      <c r="P40" s="9">
        <f>COUNTIFS(tbl_data[3:T1C],$A40,tbl_data[12. Consultation Group of],$P$3)</f>
        <v>0</v>
      </c>
      <c r="Q40" s="9">
        <f>COUNTIFS(tbl_data[3:T1C],$A40,tbl_data[12. Consultation Group of],$Q$3)</f>
        <v>0</v>
      </c>
      <c r="R40" s="9">
        <f>COUNTIFS(tbl_data[3:T1C],$A40,tbl_data[12. Consultation Group of],$R$3)</f>
        <v>0</v>
      </c>
      <c r="S40" s="13">
        <f t="shared" si="9"/>
        <v>0</v>
      </c>
      <c r="T40" s="8">
        <f t="shared" si="10"/>
        <v>0</v>
      </c>
      <c r="U40" s="9">
        <f t="shared" si="11"/>
        <v>0</v>
      </c>
      <c r="V40" s="9">
        <f t="shared" si="12"/>
        <v>0</v>
      </c>
      <c r="W40" s="9">
        <f t="shared" si="13"/>
        <v>2</v>
      </c>
      <c r="X40" s="9">
        <f t="shared" si="14"/>
        <v>0</v>
      </c>
      <c r="Y40" s="13">
        <f t="shared" si="15"/>
        <v>2</v>
      </c>
      <c r="Z40" s="32"/>
      <c r="AB40" s="22">
        <f t="shared" si="1"/>
        <v>0</v>
      </c>
      <c r="AC40" s="22">
        <f t="shared" si="2"/>
        <v>0</v>
      </c>
      <c r="AD40" s="22">
        <f t="shared" si="3"/>
        <v>0</v>
      </c>
      <c r="AE40" s="22">
        <f t="shared" si="4"/>
        <v>0.10526315789473684</v>
      </c>
      <c r="AF40" s="22">
        <f t="shared" si="5"/>
        <v>0</v>
      </c>
      <c r="AG40" s="22">
        <f t="shared" si="6"/>
        <v>4.7619047619047616E-2</v>
      </c>
      <c r="AH40" s="32"/>
      <c r="AI40" s="24" t="s">
        <v>316</v>
      </c>
    </row>
    <row r="41" spans="1:35" x14ac:dyDescent="0.25">
      <c r="A41" s="18" t="s">
        <v>215</v>
      </c>
      <c r="B41" s="8">
        <f>COUNTIFS(tbl_data[1:T1C],A41,tbl_data[12. Consultation Group of],$B$3)</f>
        <v>0</v>
      </c>
      <c r="C41" s="9">
        <f>COUNTIFS(tbl_data[1:T1C],$A41,tbl_data[12. Consultation Group of],$C$3)</f>
        <v>0</v>
      </c>
      <c r="D41" s="9">
        <f>COUNTIFS(tbl_data[1:T1C],$A41,tbl_data[12. Consultation Group of],$D$3)</f>
        <v>0</v>
      </c>
      <c r="E41" s="9">
        <f>COUNTIFS(tbl_data[1:T1C],$A41,tbl_data[12. Consultation Group of],$E$3)</f>
        <v>0</v>
      </c>
      <c r="F41" s="9">
        <f>COUNTIFS(tbl_data[1:T1C],$A41,tbl_data[12. Consultation Group of],$F$3)</f>
        <v>0</v>
      </c>
      <c r="G41" s="43"/>
      <c r="H41" s="8">
        <f>COUNTIFS(tbl_data[2:T1C],A41,tbl_data[12. Consultation Group of],$H$3)</f>
        <v>1</v>
      </c>
      <c r="I41" s="9">
        <f>COUNTIFS(tbl_data[2:T1C],$A41,tbl_data[12. Consultation Group of],$I$3)</f>
        <v>1</v>
      </c>
      <c r="J41" s="9">
        <f>COUNTIFS(tbl_data[2:T1C],$A41,tbl_data[12. Consultation Group of],$J$3)</f>
        <v>0</v>
      </c>
      <c r="K41" s="9">
        <f>COUNTIFS(tbl_data[2:T1C],$A41,tbl_data[12. Consultation Group of],$K$3)</f>
        <v>0</v>
      </c>
      <c r="L41" s="9">
        <f>COUNTIFS(tbl_data[2:T1C],$A41,tbl_data[12. Consultation Group of],$L$3)</f>
        <v>0</v>
      </c>
      <c r="M41" s="13">
        <f t="shared" si="8"/>
        <v>2</v>
      </c>
      <c r="N41" s="8">
        <f>COUNTIFS(tbl_data[3:T1C],$A41,tbl_data[12. Consultation Group of],$N$3)</f>
        <v>0</v>
      </c>
      <c r="O41" s="9">
        <f>COUNTIFS(tbl_data[3:T1C],$A41,tbl_data[12. Consultation Group of],$O$3)</f>
        <v>0</v>
      </c>
      <c r="P41" s="9">
        <f>COUNTIFS(tbl_data[3:T1C],$A41,tbl_data[12. Consultation Group of],$P$3)</f>
        <v>0</v>
      </c>
      <c r="Q41" s="9">
        <f>COUNTIFS(tbl_data[3:T1C],$A41,tbl_data[12. Consultation Group of],$Q$3)</f>
        <v>0</v>
      </c>
      <c r="R41" s="9">
        <f>COUNTIFS(tbl_data[3:T1C],$A41,tbl_data[12. Consultation Group of],$R$3)</f>
        <v>0</v>
      </c>
      <c r="S41" s="43"/>
      <c r="T41" s="8">
        <f t="shared" si="10"/>
        <v>2</v>
      </c>
      <c r="U41" s="9">
        <f t="shared" si="11"/>
        <v>2</v>
      </c>
      <c r="V41" s="9">
        <f t="shared" si="12"/>
        <v>0</v>
      </c>
      <c r="W41" s="9">
        <f t="shared" si="13"/>
        <v>0</v>
      </c>
      <c r="X41" s="9">
        <f t="shared" si="14"/>
        <v>0</v>
      </c>
      <c r="Y41" s="13">
        <f t="shared" si="15"/>
        <v>4</v>
      </c>
      <c r="Z41" s="32"/>
      <c r="AB41" s="22">
        <f t="shared" si="1"/>
        <v>0.125</v>
      </c>
      <c r="AC41" s="22">
        <f t="shared" si="2"/>
        <v>0.18181818181818182</v>
      </c>
      <c r="AD41" s="22">
        <f t="shared" si="3"/>
        <v>0</v>
      </c>
      <c r="AE41" s="22">
        <f t="shared" si="4"/>
        <v>0</v>
      </c>
      <c r="AF41" s="22">
        <f t="shared" si="5"/>
        <v>0</v>
      </c>
      <c r="AG41" s="22">
        <f t="shared" si="6"/>
        <v>9.5238095238095233E-2</v>
      </c>
      <c r="AH41" s="32"/>
      <c r="AI41" s="24" t="s">
        <v>215</v>
      </c>
    </row>
    <row r="42" spans="1:35" x14ac:dyDescent="0.25">
      <c r="A42" s="18" t="s">
        <v>335</v>
      </c>
      <c r="B42" s="8">
        <f>COUNTIFS(tbl_data[1:T1C],A42,tbl_data[12. Consultation Group of],$B$3)</f>
        <v>0</v>
      </c>
      <c r="C42" s="9">
        <f>COUNTIFS(tbl_data[1:T1C],$A42,tbl_data[12. Consultation Group of],$C$3)</f>
        <v>0</v>
      </c>
      <c r="D42" s="9">
        <f>COUNTIFS(tbl_data[1:T1C],$A42,tbl_data[12. Consultation Group of],$D$3)</f>
        <v>0</v>
      </c>
      <c r="E42" s="9">
        <f>COUNTIFS(tbl_data[1:T1C],$A42,tbl_data[12. Consultation Group of],$E$3)</f>
        <v>0</v>
      </c>
      <c r="F42" s="9">
        <f>COUNTIFS(tbl_data[1:T1C],$A42,tbl_data[12. Consultation Group of],$F$3)</f>
        <v>0</v>
      </c>
      <c r="G42" s="43"/>
      <c r="H42" s="8">
        <f>COUNTIFS(tbl_data[2:T1C],A42,tbl_data[12. Consultation Group of],$H$3)</f>
        <v>0</v>
      </c>
      <c r="I42" s="9">
        <f>COUNTIFS(tbl_data[2:T1C],$A42,tbl_data[12. Consultation Group of],$I$3)</f>
        <v>0</v>
      </c>
      <c r="J42" s="9">
        <f>COUNTIFS(tbl_data[2:T1C],$A42,tbl_data[12. Consultation Group of],$J$3)</f>
        <v>0</v>
      </c>
      <c r="K42" s="9">
        <f>COUNTIFS(tbl_data[2:T1C],$A42,tbl_data[12. Consultation Group of],$K$3)</f>
        <v>0</v>
      </c>
      <c r="L42" s="9">
        <f>COUNTIFS(tbl_data[2:T1C],$A42,tbl_data[12. Consultation Group of],$L$3)</f>
        <v>0</v>
      </c>
      <c r="M42" s="13">
        <f t="shared" si="8"/>
        <v>0</v>
      </c>
      <c r="N42" s="8">
        <f>COUNTIFS(tbl_data[3:T1C],$A42,tbl_data[12. Consultation Group of],$N$3)</f>
        <v>0</v>
      </c>
      <c r="O42" s="9">
        <f>COUNTIFS(tbl_data[3:T1C],$A42,tbl_data[12. Consultation Group of],$O$3)</f>
        <v>0</v>
      </c>
      <c r="P42" s="9">
        <f>COUNTIFS(tbl_data[3:T1C],$A42,tbl_data[12. Consultation Group of],$P$3)</f>
        <v>0</v>
      </c>
      <c r="Q42" s="9">
        <f>COUNTIFS(tbl_data[3:T1C],$A42,tbl_data[12. Consultation Group of],$Q$3)</f>
        <v>0</v>
      </c>
      <c r="R42" s="9">
        <f>COUNTIFS(tbl_data[3:T1C],$A42,tbl_data[12. Consultation Group of],$R$3)</f>
        <v>0</v>
      </c>
      <c r="S42" s="43"/>
      <c r="T42" s="8">
        <f t="shared" si="10"/>
        <v>0</v>
      </c>
      <c r="U42" s="9">
        <f t="shared" si="11"/>
        <v>0</v>
      </c>
      <c r="V42" s="9">
        <f t="shared" si="12"/>
        <v>0</v>
      </c>
      <c r="W42" s="9">
        <f t="shared" si="13"/>
        <v>0</v>
      </c>
      <c r="X42" s="9">
        <f t="shared" si="14"/>
        <v>0</v>
      </c>
      <c r="Y42" s="13">
        <f t="shared" si="15"/>
        <v>0</v>
      </c>
      <c r="Z42" s="32"/>
      <c r="AB42" s="22">
        <f t="shared" si="1"/>
        <v>0</v>
      </c>
      <c r="AC42" s="22">
        <f t="shared" si="2"/>
        <v>0</v>
      </c>
      <c r="AD42" s="22">
        <f t="shared" si="3"/>
        <v>0</v>
      </c>
      <c r="AE42" s="22">
        <f t="shared" si="4"/>
        <v>0</v>
      </c>
      <c r="AF42" s="22">
        <f t="shared" si="5"/>
        <v>0</v>
      </c>
      <c r="AG42" s="22">
        <f t="shared" si="6"/>
        <v>0</v>
      </c>
      <c r="AH42" s="32"/>
      <c r="AI42" s="24" t="s">
        <v>335</v>
      </c>
    </row>
    <row r="43" spans="1:35" x14ac:dyDescent="0.25">
      <c r="A43" s="18" t="s">
        <v>451</v>
      </c>
      <c r="B43" s="8">
        <f>COUNTIFS(tbl_data[1:T1C],A43,tbl_data[12. Consultation Group of],$B$3)</f>
        <v>0</v>
      </c>
      <c r="C43" s="9">
        <f>COUNTIFS(tbl_data[1:T1C],$A43,tbl_data[12. Consultation Group of],$C$3)</f>
        <v>0</v>
      </c>
      <c r="D43" s="9">
        <f>COUNTIFS(tbl_data[1:T1C],$A43,tbl_data[12. Consultation Group of],$D$3)</f>
        <v>0</v>
      </c>
      <c r="E43" s="9">
        <f>COUNTIFS(tbl_data[1:T1C],$A43,tbl_data[12. Consultation Group of],$E$3)</f>
        <v>0</v>
      </c>
      <c r="F43" s="9">
        <f>COUNTIFS(tbl_data[1:T1C],$A43,tbl_data[12. Consultation Group of],$F$3)</f>
        <v>0</v>
      </c>
      <c r="G43" s="43"/>
      <c r="H43" s="8">
        <f>COUNTIFS(tbl_data[2:T1C],A43,tbl_data[12. Consultation Group of],$H$3)</f>
        <v>0</v>
      </c>
      <c r="I43" s="9">
        <f>COUNTIFS(tbl_data[2:T1C],$A43,tbl_data[12. Consultation Group of],$I$3)</f>
        <v>0</v>
      </c>
      <c r="J43" s="9">
        <f>COUNTIFS(tbl_data[2:T1C],$A43,tbl_data[12. Consultation Group of],$J$3)</f>
        <v>0</v>
      </c>
      <c r="K43" s="9">
        <f>COUNTIFS(tbl_data[2:T1C],$A43,tbl_data[12. Consultation Group of],$K$3)</f>
        <v>0</v>
      </c>
      <c r="L43" s="9">
        <f>COUNTIFS(tbl_data[2:T1C],$A43,tbl_data[12. Consultation Group of],$L$3)</f>
        <v>0</v>
      </c>
      <c r="M43" s="13">
        <f t="shared" si="8"/>
        <v>0</v>
      </c>
      <c r="N43" s="8">
        <f>COUNTIFS(tbl_data[3:T1C],$A43,tbl_data[12. Consultation Group of],$N$3)</f>
        <v>0</v>
      </c>
      <c r="O43" s="9">
        <f>COUNTIFS(tbl_data[3:T1C],$A43,tbl_data[12. Consultation Group of],$O$3)</f>
        <v>0</v>
      </c>
      <c r="P43" s="9">
        <f>COUNTIFS(tbl_data[3:T1C],$A43,tbl_data[12. Consultation Group of],$P$3)</f>
        <v>0</v>
      </c>
      <c r="Q43" s="9">
        <f>COUNTIFS(tbl_data[3:T1C],$A43,tbl_data[12. Consultation Group of],$Q$3)</f>
        <v>0</v>
      </c>
      <c r="R43" s="9">
        <f>COUNTIFS(tbl_data[3:T1C],$A43,tbl_data[12. Consultation Group of],$R$3)</f>
        <v>0</v>
      </c>
      <c r="S43" s="43"/>
      <c r="T43" s="8">
        <f t="shared" si="10"/>
        <v>0</v>
      </c>
      <c r="U43" s="9">
        <f t="shared" si="11"/>
        <v>0</v>
      </c>
      <c r="V43" s="9">
        <f t="shared" si="12"/>
        <v>0</v>
      </c>
      <c r="W43" s="9">
        <f t="shared" si="13"/>
        <v>0</v>
      </c>
      <c r="X43" s="9">
        <f t="shared" si="14"/>
        <v>0</v>
      </c>
      <c r="Y43" s="13">
        <f t="shared" si="15"/>
        <v>0</v>
      </c>
      <c r="Z43" s="32"/>
      <c r="AB43" s="22">
        <f t="shared" si="1"/>
        <v>0</v>
      </c>
      <c r="AC43" s="22">
        <f t="shared" si="2"/>
        <v>0</v>
      </c>
      <c r="AD43" s="22">
        <f t="shared" si="3"/>
        <v>0</v>
      </c>
      <c r="AE43" s="22">
        <f t="shared" si="4"/>
        <v>0</v>
      </c>
      <c r="AF43" s="22">
        <f t="shared" si="5"/>
        <v>0</v>
      </c>
      <c r="AG43" s="22">
        <f t="shared" si="6"/>
        <v>0</v>
      </c>
      <c r="AH43" s="32"/>
      <c r="AI43" s="24" t="s">
        <v>451</v>
      </c>
    </row>
    <row r="44" spans="1:35" x14ac:dyDescent="0.25">
      <c r="A44" s="18" t="s">
        <v>497</v>
      </c>
      <c r="B44" s="8">
        <f>COUNTIFS(tbl_data[1:T1C],A44,tbl_data[12. Consultation Group of],$B$3)</f>
        <v>0</v>
      </c>
      <c r="C44" s="9">
        <f>COUNTIFS(tbl_data[1:T1C],$A44,tbl_data[12. Consultation Group of],$C$3)</f>
        <v>0</v>
      </c>
      <c r="D44" s="9">
        <f>COUNTIFS(tbl_data[1:T1C],$A44,tbl_data[12. Consultation Group of],$D$3)</f>
        <v>1</v>
      </c>
      <c r="E44" s="9">
        <f>COUNTIFS(tbl_data[1:T1C],$A44,tbl_data[12. Consultation Group of],$E$3)</f>
        <v>0</v>
      </c>
      <c r="F44" s="9">
        <f>COUNTIFS(tbl_data[1:T1C],$A44,tbl_data[12. Consultation Group of],$F$3)</f>
        <v>0</v>
      </c>
      <c r="G44" s="43"/>
      <c r="H44" s="8">
        <f>COUNTIFS(tbl_data[2:T1C],A44,tbl_data[12. Consultation Group of],$H$3)</f>
        <v>0</v>
      </c>
      <c r="I44" s="9">
        <f>COUNTIFS(tbl_data[2:T1C],$A44,tbl_data[12. Consultation Group of],$I$3)</f>
        <v>0</v>
      </c>
      <c r="J44" s="9">
        <f>COUNTIFS(tbl_data[2:T1C],$A44,tbl_data[12. Consultation Group of],$J$3)</f>
        <v>0</v>
      </c>
      <c r="K44" s="9">
        <f>COUNTIFS(tbl_data[2:T1C],$A44,tbl_data[12. Consultation Group of],$K$3)</f>
        <v>0</v>
      </c>
      <c r="L44" s="9">
        <f>COUNTIFS(tbl_data[2:T1C],$A44,tbl_data[12. Consultation Group of],$L$3)</f>
        <v>0</v>
      </c>
      <c r="M44" s="13">
        <f t="shared" si="8"/>
        <v>0</v>
      </c>
      <c r="N44" s="8">
        <f>COUNTIFS(tbl_data[3:T1C],$A44,tbl_data[12. Consultation Group of],$N$3)</f>
        <v>0</v>
      </c>
      <c r="O44" s="9">
        <f>COUNTIFS(tbl_data[3:T1C],$A44,tbl_data[12. Consultation Group of],$O$3)</f>
        <v>0</v>
      </c>
      <c r="P44" s="9">
        <f>COUNTIFS(tbl_data[3:T1C],$A44,tbl_data[12. Consultation Group of],$P$3)</f>
        <v>0</v>
      </c>
      <c r="Q44" s="9">
        <f>COUNTIFS(tbl_data[3:T1C],$A44,tbl_data[12. Consultation Group of],$Q$3)</f>
        <v>0</v>
      </c>
      <c r="R44" s="9">
        <f>COUNTIFS(tbl_data[3:T1C],$A44,tbl_data[12. Consultation Group of],$R$3)</f>
        <v>0</v>
      </c>
      <c r="S44" s="43"/>
      <c r="T44" s="8">
        <f t="shared" si="10"/>
        <v>0</v>
      </c>
      <c r="U44" s="9">
        <f t="shared" si="11"/>
        <v>0</v>
      </c>
      <c r="V44" s="9">
        <f t="shared" si="12"/>
        <v>3</v>
      </c>
      <c r="W44" s="9">
        <f t="shared" si="13"/>
        <v>0</v>
      </c>
      <c r="X44" s="9">
        <f t="shared" si="14"/>
        <v>0</v>
      </c>
      <c r="Y44" s="13">
        <f t="shared" si="15"/>
        <v>3</v>
      </c>
      <c r="Z44" s="32"/>
      <c r="AB44" s="22">
        <f t="shared" si="1"/>
        <v>0</v>
      </c>
      <c r="AC44" s="22">
        <f t="shared" si="2"/>
        <v>0</v>
      </c>
      <c r="AD44" s="22">
        <f t="shared" si="3"/>
        <v>0.42857142857142855</v>
      </c>
      <c r="AE44" s="22">
        <f t="shared" si="4"/>
        <v>0</v>
      </c>
      <c r="AF44" s="22">
        <f t="shared" si="5"/>
        <v>0</v>
      </c>
      <c r="AG44" s="22">
        <f t="shared" si="6"/>
        <v>7.1428571428571425E-2</v>
      </c>
      <c r="AH44" s="32"/>
      <c r="AI44" s="24" t="s">
        <v>497</v>
      </c>
    </row>
    <row r="45" spans="1:35" x14ac:dyDescent="0.25">
      <c r="A45" s="18" t="s">
        <v>319</v>
      </c>
      <c r="B45" s="8">
        <f>COUNTIFS(tbl_data[1:T1C],A45,tbl_data[12. Consultation Group of],$B$3)</f>
        <v>0</v>
      </c>
      <c r="C45" s="9">
        <f>COUNTIFS(tbl_data[1:T1C],$A45,tbl_data[12. Consultation Group of],$C$3)</f>
        <v>0</v>
      </c>
      <c r="D45" s="9">
        <f>COUNTIFS(tbl_data[1:T1C],$A45,tbl_data[12. Consultation Group of],$D$3)</f>
        <v>0</v>
      </c>
      <c r="E45" s="9">
        <f>COUNTIFS(tbl_data[1:T1C],$A45,tbl_data[12. Consultation Group of],$E$3)</f>
        <v>0</v>
      </c>
      <c r="F45" s="9">
        <f>COUNTIFS(tbl_data[1:T1C],$A45,tbl_data[12. Consultation Group of],$F$3)</f>
        <v>0</v>
      </c>
      <c r="G45" s="43"/>
      <c r="H45" s="8">
        <f>COUNTIFS(tbl_data[2:T1C],A45,tbl_data[12. Consultation Group of],$H$3)</f>
        <v>0</v>
      </c>
      <c r="I45" s="9">
        <f>COUNTIFS(tbl_data[2:T1C],$A45,tbl_data[12. Consultation Group of],$I$3)</f>
        <v>0</v>
      </c>
      <c r="J45" s="9">
        <f>COUNTIFS(tbl_data[2:T1C],$A45,tbl_data[12. Consultation Group of],$J$3)</f>
        <v>0</v>
      </c>
      <c r="K45" s="9">
        <f>COUNTIFS(tbl_data[2:T1C],$A45,tbl_data[12. Consultation Group of],$K$3)</f>
        <v>0</v>
      </c>
      <c r="L45" s="9">
        <f>COUNTIFS(tbl_data[2:T1C],$A45,tbl_data[12. Consultation Group of],$L$3)</f>
        <v>0</v>
      </c>
      <c r="M45" s="13">
        <f t="shared" si="8"/>
        <v>0</v>
      </c>
      <c r="N45" s="8">
        <f>COUNTIFS(tbl_data[3:T1C],$A45,tbl_data[12. Consultation Group of],$N$3)</f>
        <v>0</v>
      </c>
      <c r="O45" s="9">
        <f>COUNTIFS(tbl_data[3:T1C],$A45,tbl_data[12. Consultation Group of],$O$3)</f>
        <v>0</v>
      </c>
      <c r="P45" s="9">
        <f>COUNTIFS(tbl_data[3:T1C],$A45,tbl_data[12. Consultation Group of],$P$3)</f>
        <v>0</v>
      </c>
      <c r="Q45" s="9">
        <f>COUNTIFS(tbl_data[3:T1C],$A45,tbl_data[12. Consultation Group of],$Q$3)</f>
        <v>0</v>
      </c>
      <c r="R45" s="9">
        <f>COUNTIFS(tbl_data[3:T1C],$A45,tbl_data[12. Consultation Group of],$R$3)</f>
        <v>0</v>
      </c>
      <c r="S45" s="43"/>
      <c r="T45" s="8">
        <f t="shared" si="10"/>
        <v>0</v>
      </c>
      <c r="U45" s="9">
        <f t="shared" si="11"/>
        <v>0</v>
      </c>
      <c r="V45" s="9">
        <f t="shared" si="12"/>
        <v>0</v>
      </c>
      <c r="W45" s="9">
        <f t="shared" si="13"/>
        <v>0</v>
      </c>
      <c r="X45" s="9">
        <f t="shared" si="14"/>
        <v>0</v>
      </c>
      <c r="Y45" s="13">
        <f t="shared" si="15"/>
        <v>0</v>
      </c>
      <c r="Z45" s="32"/>
      <c r="AB45" s="22">
        <f t="shared" si="1"/>
        <v>0</v>
      </c>
      <c r="AC45" s="22">
        <f t="shared" si="2"/>
        <v>0</v>
      </c>
      <c r="AD45" s="22">
        <f t="shared" si="3"/>
        <v>0</v>
      </c>
      <c r="AE45" s="22">
        <f t="shared" si="4"/>
        <v>0</v>
      </c>
      <c r="AF45" s="22">
        <f t="shared" si="5"/>
        <v>0</v>
      </c>
      <c r="AG45" s="22">
        <f t="shared" si="6"/>
        <v>0</v>
      </c>
      <c r="AH45" s="32"/>
      <c r="AI45" s="24" t="s">
        <v>319</v>
      </c>
    </row>
    <row r="46" spans="1:35" x14ac:dyDescent="0.25">
      <c r="A46" s="18" t="s">
        <v>861</v>
      </c>
      <c r="B46" s="8">
        <f>COUNTIFS(tbl_data[1:T1C],A46,tbl_data[12. Consultation Group of],$B$3)</f>
        <v>0</v>
      </c>
      <c r="C46" s="9">
        <f>COUNTIFS(tbl_data[1:T1C],$A46,tbl_data[12. Consultation Group of],$C$3)</f>
        <v>0</v>
      </c>
      <c r="D46" s="9">
        <f>COUNTIFS(tbl_data[1:T1C],$A46,tbl_data[12. Consultation Group of],$D$3)</f>
        <v>0</v>
      </c>
      <c r="E46" s="9">
        <f>COUNTIFS(tbl_data[1:T1C],$A46,tbl_data[12. Consultation Group of],$E$3)</f>
        <v>0</v>
      </c>
      <c r="F46" s="9">
        <f>COUNTIFS(tbl_data[1:T1C],$A46,tbl_data[12. Consultation Group of],$F$3)</f>
        <v>0</v>
      </c>
      <c r="G46" s="43"/>
      <c r="H46" s="8">
        <f>COUNTIFS(tbl_data[2:T1C],A46,tbl_data[12. Consultation Group of],$H$3)</f>
        <v>0</v>
      </c>
      <c r="I46" s="9">
        <f>COUNTIFS(tbl_data[2:T1C],$A46,tbl_data[12. Consultation Group of],$I$3)</f>
        <v>0</v>
      </c>
      <c r="J46" s="9">
        <f>COUNTIFS(tbl_data[2:T1C],$A46,tbl_data[12. Consultation Group of],$J$3)</f>
        <v>0</v>
      </c>
      <c r="K46" s="9">
        <f>COUNTIFS(tbl_data[2:T1C],$A46,tbl_data[12. Consultation Group of],$K$3)</f>
        <v>0</v>
      </c>
      <c r="L46" s="9">
        <f>COUNTIFS(tbl_data[2:T1C],$A46,tbl_data[12. Consultation Group of],$L$3)</f>
        <v>0</v>
      </c>
      <c r="M46" s="13">
        <f t="shared" si="8"/>
        <v>0</v>
      </c>
      <c r="N46" s="8">
        <f>COUNTIFS(tbl_data[3:T1C],$A46,tbl_data[12. Consultation Group of],$N$3)</f>
        <v>0</v>
      </c>
      <c r="O46" s="9">
        <f>COUNTIFS(tbl_data[3:T1C],$A46,tbl_data[12. Consultation Group of],$O$3)</f>
        <v>0</v>
      </c>
      <c r="P46" s="9">
        <f>COUNTIFS(tbl_data[3:T1C],$A46,tbl_data[12. Consultation Group of],$P$3)</f>
        <v>0</v>
      </c>
      <c r="Q46" s="9">
        <f>COUNTIFS(tbl_data[3:T1C],$A46,tbl_data[12. Consultation Group of],$Q$3)</f>
        <v>0</v>
      </c>
      <c r="R46" s="9">
        <f>COUNTIFS(tbl_data[3:T1C],$A46,tbl_data[12. Consultation Group of],$R$3)</f>
        <v>0</v>
      </c>
      <c r="S46" s="43"/>
      <c r="T46" s="8">
        <f t="shared" si="10"/>
        <v>0</v>
      </c>
      <c r="U46" s="9">
        <f t="shared" si="11"/>
        <v>0</v>
      </c>
      <c r="V46" s="9">
        <f t="shared" si="12"/>
        <v>0</v>
      </c>
      <c r="W46" s="9">
        <f t="shared" si="13"/>
        <v>0</v>
      </c>
      <c r="X46" s="9">
        <f t="shared" si="14"/>
        <v>0</v>
      </c>
      <c r="Y46" s="13">
        <f t="shared" si="15"/>
        <v>0</v>
      </c>
      <c r="Z46" s="32"/>
      <c r="AB46" s="22">
        <f t="shared" si="1"/>
        <v>0</v>
      </c>
      <c r="AC46" s="22">
        <f t="shared" si="2"/>
        <v>0</v>
      </c>
      <c r="AD46" s="22">
        <f t="shared" si="3"/>
        <v>0</v>
      </c>
      <c r="AE46" s="22">
        <f t="shared" si="4"/>
        <v>0</v>
      </c>
      <c r="AF46" s="22">
        <f t="shared" si="5"/>
        <v>0</v>
      </c>
      <c r="AG46" s="22">
        <f t="shared" si="6"/>
        <v>0</v>
      </c>
      <c r="AH46" s="32"/>
      <c r="AI46" s="24" t="s">
        <v>861</v>
      </c>
    </row>
    <row r="47" spans="1:35" x14ac:dyDescent="0.25">
      <c r="A47" s="18" t="s">
        <v>165</v>
      </c>
      <c r="B47" s="8">
        <f>COUNTIFS(tbl_data[1:T1C],A47,tbl_data[12. Consultation Group of],$B$3)</f>
        <v>0</v>
      </c>
      <c r="C47" s="9">
        <f>COUNTIFS(tbl_data[1:T1C],$A47,tbl_data[12. Consultation Group of],$C$3)</f>
        <v>0</v>
      </c>
      <c r="D47" s="9">
        <f>COUNTIFS(tbl_data[1:T1C],$A47,tbl_data[12. Consultation Group of],$D$3)</f>
        <v>0</v>
      </c>
      <c r="E47" s="9">
        <f>COUNTIFS(tbl_data[1:T1C],$A47,tbl_data[12. Consultation Group of],$E$3)</f>
        <v>0</v>
      </c>
      <c r="F47" s="9">
        <f>COUNTIFS(tbl_data[1:T1C],$A47,tbl_data[12. Consultation Group of],$F$3)</f>
        <v>0</v>
      </c>
      <c r="G47" s="43"/>
      <c r="H47" s="8">
        <f>COUNTIFS(tbl_data[2:T1C],A47,tbl_data[12. Consultation Group of],$H$3)</f>
        <v>0</v>
      </c>
      <c r="I47" s="9">
        <f>COUNTIFS(tbl_data[2:T1C],$A47,tbl_data[12. Consultation Group of],$I$3)</f>
        <v>0</v>
      </c>
      <c r="J47" s="9">
        <f>COUNTIFS(tbl_data[2:T1C],$A47,tbl_data[12. Consultation Group of],$J$3)</f>
        <v>0</v>
      </c>
      <c r="K47" s="9">
        <f>COUNTIFS(tbl_data[2:T1C],$A47,tbl_data[12. Consultation Group of],$K$3)</f>
        <v>1</v>
      </c>
      <c r="L47" s="9">
        <f>COUNTIFS(tbl_data[2:T1C],$A47,tbl_data[12. Consultation Group of],$L$3)</f>
        <v>0</v>
      </c>
      <c r="M47" s="13">
        <f t="shared" si="8"/>
        <v>1</v>
      </c>
      <c r="N47" s="8">
        <f>COUNTIFS(tbl_data[3:T1C],$A47,tbl_data[12. Consultation Group of],$N$3)</f>
        <v>0</v>
      </c>
      <c r="O47" s="9">
        <f>COUNTIFS(tbl_data[3:T1C],$A47,tbl_data[12. Consultation Group of],$O$3)</f>
        <v>0</v>
      </c>
      <c r="P47" s="9">
        <f>COUNTIFS(tbl_data[3:T1C],$A47,tbl_data[12. Consultation Group of],$P$3)</f>
        <v>1</v>
      </c>
      <c r="Q47" s="9">
        <f>COUNTIFS(tbl_data[3:T1C],$A47,tbl_data[12. Consultation Group of],$Q$3)</f>
        <v>1</v>
      </c>
      <c r="R47" s="9">
        <f>COUNTIFS(tbl_data[3:T1C],$A47,tbl_data[12. Consultation Group of],$R$3)</f>
        <v>0</v>
      </c>
      <c r="S47" s="43"/>
      <c r="T47" s="8">
        <f t="shared" si="10"/>
        <v>0</v>
      </c>
      <c r="U47" s="9">
        <f t="shared" si="11"/>
        <v>0</v>
      </c>
      <c r="V47" s="9">
        <f t="shared" si="12"/>
        <v>1</v>
      </c>
      <c r="W47" s="9">
        <f t="shared" si="13"/>
        <v>3</v>
      </c>
      <c r="X47" s="9">
        <f t="shared" si="14"/>
        <v>0</v>
      </c>
      <c r="Y47" s="13">
        <f t="shared" si="15"/>
        <v>4</v>
      </c>
      <c r="Z47" s="32"/>
      <c r="AB47" s="22">
        <f t="shared" si="1"/>
        <v>0</v>
      </c>
      <c r="AC47" s="22">
        <f t="shared" si="2"/>
        <v>0</v>
      </c>
      <c r="AD47" s="22">
        <f t="shared" si="3"/>
        <v>0.14285714285714285</v>
      </c>
      <c r="AE47" s="22">
        <f t="shared" si="4"/>
        <v>0.15789473684210525</v>
      </c>
      <c r="AF47" s="22">
        <f t="shared" si="5"/>
        <v>0</v>
      </c>
      <c r="AG47" s="22">
        <f t="shared" si="6"/>
        <v>9.5238095238095233E-2</v>
      </c>
      <c r="AH47" s="32"/>
      <c r="AI47" s="24" t="s">
        <v>165</v>
      </c>
    </row>
    <row r="48" spans="1:35" x14ac:dyDescent="0.25">
      <c r="A48" s="18" t="s">
        <v>304</v>
      </c>
      <c r="B48" s="8">
        <f>COUNTIFS(tbl_data[1:T1C],A48,tbl_data[12. Consultation Group of],$B$3)</f>
        <v>0</v>
      </c>
      <c r="C48" s="9">
        <f>COUNTIFS(tbl_data[1:T1C],$A48,tbl_data[12. Consultation Group of],$C$3)</f>
        <v>0</v>
      </c>
      <c r="D48" s="9">
        <f>COUNTIFS(tbl_data[1:T1C],$A48,tbl_data[12. Consultation Group of],$D$3)</f>
        <v>1</v>
      </c>
      <c r="E48" s="9">
        <f>COUNTIFS(tbl_data[1:T1C],$A48,tbl_data[12. Consultation Group of],$E$3)</f>
        <v>0</v>
      </c>
      <c r="F48" s="9">
        <f>COUNTIFS(tbl_data[1:T1C],$A48,tbl_data[12. Consultation Group of],$F$3)</f>
        <v>1</v>
      </c>
      <c r="G48" s="43"/>
      <c r="H48" s="8">
        <f>COUNTIFS(tbl_data[2:T1C],A48,tbl_data[12. Consultation Group of],$H$3)</f>
        <v>0</v>
      </c>
      <c r="I48" s="9">
        <f>COUNTIFS(tbl_data[2:T1C],$A48,tbl_data[12. Consultation Group of],$I$3)</f>
        <v>0</v>
      </c>
      <c r="J48" s="9">
        <f>COUNTIFS(tbl_data[2:T1C],$A48,tbl_data[12. Consultation Group of],$J$3)</f>
        <v>0</v>
      </c>
      <c r="K48" s="9">
        <f>COUNTIFS(tbl_data[2:T1C],$A48,tbl_data[12. Consultation Group of],$K$3)</f>
        <v>0</v>
      </c>
      <c r="L48" s="9">
        <f>COUNTIFS(tbl_data[2:T1C],$A48,tbl_data[12. Consultation Group of],$L$3)</f>
        <v>0</v>
      </c>
      <c r="M48" s="13">
        <f t="shared" si="8"/>
        <v>0</v>
      </c>
      <c r="N48" s="8">
        <f>COUNTIFS(tbl_data[3:T1C],$A48,tbl_data[12. Consultation Group of],$N$3)</f>
        <v>0</v>
      </c>
      <c r="O48" s="9">
        <f>COUNTIFS(tbl_data[3:T1C],$A48,tbl_data[12. Consultation Group of],$O$3)</f>
        <v>0</v>
      </c>
      <c r="P48" s="9">
        <f>COUNTIFS(tbl_data[3:T1C],$A48,tbl_data[12. Consultation Group of],$P$3)</f>
        <v>0</v>
      </c>
      <c r="Q48" s="9">
        <f>COUNTIFS(tbl_data[3:T1C],$A48,tbl_data[12. Consultation Group of],$Q$3)</f>
        <v>0</v>
      </c>
      <c r="R48" s="9">
        <f>COUNTIFS(tbl_data[3:T1C],$A48,tbl_data[12. Consultation Group of],$R$3)</f>
        <v>0</v>
      </c>
      <c r="S48" s="43"/>
      <c r="T48" s="8">
        <f t="shared" si="10"/>
        <v>0</v>
      </c>
      <c r="U48" s="9">
        <f t="shared" si="11"/>
        <v>0</v>
      </c>
      <c r="V48" s="9">
        <f t="shared" si="12"/>
        <v>3</v>
      </c>
      <c r="W48" s="9">
        <f t="shared" si="13"/>
        <v>0</v>
      </c>
      <c r="X48" s="9">
        <f t="shared" si="14"/>
        <v>3</v>
      </c>
      <c r="Y48" s="13">
        <f t="shared" si="15"/>
        <v>6</v>
      </c>
      <c r="Z48" s="32"/>
      <c r="AB48" s="22">
        <f t="shared" si="1"/>
        <v>0</v>
      </c>
      <c r="AC48" s="22">
        <f t="shared" si="2"/>
        <v>0</v>
      </c>
      <c r="AD48" s="22">
        <f t="shared" si="3"/>
        <v>0.42857142857142855</v>
      </c>
      <c r="AE48" s="22">
        <f t="shared" si="4"/>
        <v>0</v>
      </c>
      <c r="AF48" s="22">
        <f t="shared" si="5"/>
        <v>0.33333333333333331</v>
      </c>
      <c r="AG48" s="22">
        <f t="shared" si="6"/>
        <v>0.14285714285714285</v>
      </c>
      <c r="AH48" s="32"/>
      <c r="AI48" s="24" t="s">
        <v>304</v>
      </c>
    </row>
    <row r="49" spans="1:35" x14ac:dyDescent="0.25">
      <c r="A49" s="18" t="s">
        <v>172</v>
      </c>
      <c r="B49" s="8">
        <f>COUNTIFS(tbl_data[1:T1C],A49,tbl_data[12. Consultation Group of],$B$3)</f>
        <v>0</v>
      </c>
      <c r="C49" s="9">
        <f>COUNTIFS(tbl_data[1:T1C],$A49,tbl_data[12. Consultation Group of],$C$3)</f>
        <v>0</v>
      </c>
      <c r="D49" s="9">
        <f>COUNTIFS(tbl_data[1:T1C],$A49,tbl_data[12. Consultation Group of],$D$3)</f>
        <v>0</v>
      </c>
      <c r="E49" s="9">
        <f>COUNTIFS(tbl_data[1:T1C],$A49,tbl_data[12. Consultation Group of],$E$3)</f>
        <v>0</v>
      </c>
      <c r="F49" s="9">
        <f>COUNTIFS(tbl_data[1:T1C],$A49,tbl_data[12. Consultation Group of],$F$3)</f>
        <v>0</v>
      </c>
      <c r="G49" s="43"/>
      <c r="H49" s="8">
        <f>COUNTIFS(tbl_data[2:T1C],A49,tbl_data[12. Consultation Group of],$H$3)</f>
        <v>0</v>
      </c>
      <c r="I49" s="9">
        <f>COUNTIFS(tbl_data[2:T1C],$A49,tbl_data[12. Consultation Group of],$I$3)</f>
        <v>0</v>
      </c>
      <c r="J49" s="9">
        <f>COUNTIFS(tbl_data[2:T1C],$A49,tbl_data[12. Consultation Group of],$J$3)</f>
        <v>1</v>
      </c>
      <c r="K49" s="9">
        <f>COUNTIFS(tbl_data[2:T1C],$A49,tbl_data[12. Consultation Group of],$K$3)</f>
        <v>0</v>
      </c>
      <c r="L49" s="9">
        <f>COUNTIFS(tbl_data[2:T1C],$A49,tbl_data[12. Consultation Group of],$L$3)</f>
        <v>0</v>
      </c>
      <c r="M49" s="13">
        <f t="shared" si="8"/>
        <v>1</v>
      </c>
      <c r="N49" s="8">
        <f>COUNTIFS(tbl_data[3:T1C],$A49,tbl_data[12. Consultation Group of],$N$3)</f>
        <v>0</v>
      </c>
      <c r="O49" s="9">
        <f>COUNTIFS(tbl_data[3:T1C],$A49,tbl_data[12. Consultation Group of],$O$3)</f>
        <v>0</v>
      </c>
      <c r="P49" s="9">
        <f>COUNTIFS(tbl_data[3:T1C],$A49,tbl_data[12. Consultation Group of],$P$3)</f>
        <v>0</v>
      </c>
      <c r="Q49" s="9">
        <f>COUNTIFS(tbl_data[3:T1C],$A49,tbl_data[12. Consultation Group of],$Q$3)</f>
        <v>0</v>
      </c>
      <c r="R49" s="9">
        <f>COUNTIFS(tbl_data[3:T1C],$A49,tbl_data[12. Consultation Group of],$R$3)</f>
        <v>0</v>
      </c>
      <c r="S49" s="43"/>
      <c r="T49" s="8">
        <f t="shared" si="10"/>
        <v>0</v>
      </c>
      <c r="U49" s="9">
        <f t="shared" si="11"/>
        <v>0</v>
      </c>
      <c r="V49" s="9">
        <f t="shared" si="12"/>
        <v>2</v>
      </c>
      <c r="W49" s="9">
        <f t="shared" si="13"/>
        <v>0</v>
      </c>
      <c r="X49" s="9">
        <f t="shared" si="14"/>
        <v>0</v>
      </c>
      <c r="Y49" s="13">
        <f t="shared" si="15"/>
        <v>2</v>
      </c>
      <c r="Z49" s="32"/>
      <c r="AB49" s="22">
        <f t="shared" si="1"/>
        <v>0</v>
      </c>
      <c r="AC49" s="22">
        <f t="shared" si="2"/>
        <v>0</v>
      </c>
      <c r="AD49" s="22">
        <f t="shared" si="3"/>
        <v>0.2857142857142857</v>
      </c>
      <c r="AE49" s="22">
        <f t="shared" si="4"/>
        <v>0</v>
      </c>
      <c r="AF49" s="22">
        <f t="shared" si="5"/>
        <v>0</v>
      </c>
      <c r="AG49" s="22">
        <f t="shared" si="6"/>
        <v>4.7619047619047616E-2</v>
      </c>
      <c r="AH49" s="32"/>
      <c r="AI49" s="24" t="s">
        <v>172</v>
      </c>
    </row>
    <row r="50" spans="1:35" x14ac:dyDescent="0.25">
      <c r="A50" s="18" t="s">
        <v>353</v>
      </c>
      <c r="B50" s="8">
        <f>COUNTIFS(tbl_data[1:T1C],A50,tbl_data[12. Consultation Group of],$B$3)</f>
        <v>0</v>
      </c>
      <c r="C50" s="9">
        <f>COUNTIFS(tbl_data[1:T1C],$A50,tbl_data[12. Consultation Group of],$C$3)</f>
        <v>1</v>
      </c>
      <c r="D50" s="9">
        <f>COUNTIFS(tbl_data[1:T1C],$A50,tbl_data[12. Consultation Group of],$D$3)</f>
        <v>0</v>
      </c>
      <c r="E50" s="9">
        <f>COUNTIFS(tbl_data[1:T1C],$A50,tbl_data[12. Consultation Group of],$E$3)</f>
        <v>0</v>
      </c>
      <c r="F50" s="9">
        <f>COUNTIFS(tbl_data[1:T1C],$A50,tbl_data[12. Consultation Group of],$F$3)</f>
        <v>0</v>
      </c>
      <c r="G50" s="43"/>
      <c r="H50" s="8">
        <f>COUNTIFS(tbl_data[2:T1C],A50,tbl_data[12. Consultation Group of],$H$3)</f>
        <v>0</v>
      </c>
      <c r="I50" s="9">
        <f>COUNTIFS(tbl_data[2:T1C],$A50,tbl_data[12. Consultation Group of],$I$3)</f>
        <v>0</v>
      </c>
      <c r="J50" s="9">
        <f>COUNTIFS(tbl_data[2:T1C],$A50,tbl_data[12. Consultation Group of],$J$3)</f>
        <v>0</v>
      </c>
      <c r="K50" s="9">
        <f>COUNTIFS(tbl_data[2:T1C],$A50,tbl_data[12. Consultation Group of],$K$3)</f>
        <v>0</v>
      </c>
      <c r="L50" s="9">
        <f>COUNTIFS(tbl_data[2:T1C],$A50,tbl_data[12. Consultation Group of],$L$3)</f>
        <v>0</v>
      </c>
      <c r="M50" s="13">
        <f t="shared" si="8"/>
        <v>0</v>
      </c>
      <c r="N50" s="8">
        <f>COUNTIFS(tbl_data[3:T1C],$A50,tbl_data[12. Consultation Group of],$N$3)</f>
        <v>0</v>
      </c>
      <c r="O50" s="9">
        <f>COUNTIFS(tbl_data[3:T1C],$A50,tbl_data[12. Consultation Group of],$O$3)</f>
        <v>0</v>
      </c>
      <c r="P50" s="9">
        <f>COUNTIFS(tbl_data[3:T1C],$A50,tbl_data[12. Consultation Group of],$P$3)</f>
        <v>0</v>
      </c>
      <c r="Q50" s="9">
        <f>COUNTIFS(tbl_data[3:T1C],$A50,tbl_data[12. Consultation Group of],$Q$3)</f>
        <v>0</v>
      </c>
      <c r="R50" s="9">
        <f>COUNTIFS(tbl_data[3:T1C],$A50,tbl_data[12. Consultation Group of],$R$3)</f>
        <v>0</v>
      </c>
      <c r="S50" s="43"/>
      <c r="T50" s="8">
        <f t="shared" si="10"/>
        <v>0</v>
      </c>
      <c r="U50" s="9">
        <f t="shared" si="11"/>
        <v>3</v>
      </c>
      <c r="V50" s="9">
        <f t="shared" si="12"/>
        <v>0</v>
      </c>
      <c r="W50" s="9">
        <f t="shared" si="13"/>
        <v>0</v>
      </c>
      <c r="X50" s="9">
        <f t="shared" si="14"/>
        <v>0</v>
      </c>
      <c r="Y50" s="13">
        <f t="shared" si="15"/>
        <v>3</v>
      </c>
      <c r="Z50" s="32"/>
      <c r="AB50" s="22">
        <f t="shared" si="1"/>
        <v>0</v>
      </c>
      <c r="AC50" s="22">
        <f t="shared" si="2"/>
        <v>0.27272727272727271</v>
      </c>
      <c r="AD50" s="22">
        <f t="shared" si="3"/>
        <v>0</v>
      </c>
      <c r="AE50" s="22">
        <f t="shared" si="4"/>
        <v>0</v>
      </c>
      <c r="AF50" s="22">
        <f t="shared" si="5"/>
        <v>0</v>
      </c>
      <c r="AG50" s="22">
        <f t="shared" si="6"/>
        <v>7.1428571428571425E-2</v>
      </c>
      <c r="AH50" s="32"/>
      <c r="AI50" s="24" t="s">
        <v>353</v>
      </c>
    </row>
    <row r="51" spans="1:35" x14ac:dyDescent="0.25">
      <c r="A51" s="21" t="s">
        <v>703</v>
      </c>
      <c r="B51" s="40">
        <f t="shared" ref="B51:Y51" si="16">SUM(B5:B50)</f>
        <v>14</v>
      </c>
      <c r="C51" s="21">
        <f t="shared" si="16"/>
        <v>8</v>
      </c>
      <c r="D51" s="21">
        <f t="shared" si="16"/>
        <v>8</v>
      </c>
      <c r="E51" s="21">
        <f t="shared" si="16"/>
        <v>15</v>
      </c>
      <c r="F51" s="21">
        <f t="shared" si="16"/>
        <v>5</v>
      </c>
      <c r="G51" s="21">
        <f t="shared" si="16"/>
        <v>46</v>
      </c>
      <c r="H51" s="40">
        <f t="shared" si="16"/>
        <v>15</v>
      </c>
      <c r="I51" s="21">
        <f t="shared" si="16"/>
        <v>8</v>
      </c>
      <c r="J51" s="21">
        <f t="shared" si="16"/>
        <v>8</v>
      </c>
      <c r="K51" s="21">
        <f t="shared" si="16"/>
        <v>15</v>
      </c>
      <c r="L51" s="21">
        <f t="shared" si="16"/>
        <v>5</v>
      </c>
      <c r="M51" s="21">
        <f t="shared" si="16"/>
        <v>51</v>
      </c>
      <c r="N51" s="40">
        <f t="shared" si="16"/>
        <v>13</v>
      </c>
      <c r="O51" s="21">
        <f t="shared" si="16"/>
        <v>7</v>
      </c>
      <c r="P51" s="21">
        <f t="shared" si="16"/>
        <v>6</v>
      </c>
      <c r="Q51" s="21">
        <f t="shared" si="16"/>
        <v>11</v>
      </c>
      <c r="R51" s="21">
        <f t="shared" si="16"/>
        <v>5</v>
      </c>
      <c r="S51" s="21">
        <f t="shared" si="16"/>
        <v>40</v>
      </c>
      <c r="T51" s="21">
        <f t="shared" si="16"/>
        <v>85</v>
      </c>
      <c r="U51" s="21">
        <f t="shared" si="16"/>
        <v>47</v>
      </c>
      <c r="V51" s="21">
        <f t="shared" si="16"/>
        <v>46</v>
      </c>
      <c r="W51" s="21">
        <f t="shared" si="16"/>
        <v>86</v>
      </c>
      <c r="X51" s="21">
        <f t="shared" si="16"/>
        <v>30</v>
      </c>
      <c r="Y51" s="21">
        <f t="shared" si="16"/>
        <v>294</v>
      </c>
      <c r="Z51" s="21"/>
      <c r="AB51">
        <v>115</v>
      </c>
      <c r="AC51">
        <v>78</v>
      </c>
      <c r="AD51">
        <v>79</v>
      </c>
      <c r="AE51">
        <v>109</v>
      </c>
      <c r="AF51">
        <v>52</v>
      </c>
      <c r="AG51">
        <v>433</v>
      </c>
    </row>
    <row r="52" spans="1:35" x14ac:dyDescent="0.25">
      <c r="B52" s="39" t="s">
        <v>789</v>
      </c>
      <c r="C52" s="39"/>
      <c r="D52" s="39"/>
      <c r="G52" s="23"/>
    </row>
    <row r="53" spans="1:35" x14ac:dyDescent="0.25">
      <c r="B53" s="39"/>
      <c r="C53" s="39"/>
      <c r="D53" s="39"/>
      <c r="S53" t="s">
        <v>790</v>
      </c>
      <c r="T53">
        <f t="shared" ref="T53:Y53" si="17">MAX(T5:T50)</f>
        <v>16</v>
      </c>
      <c r="U53">
        <f t="shared" si="17"/>
        <v>11</v>
      </c>
      <c r="V53">
        <f t="shared" si="17"/>
        <v>7</v>
      </c>
      <c r="W53">
        <f t="shared" si="17"/>
        <v>19</v>
      </c>
      <c r="X53">
        <f t="shared" si="17"/>
        <v>9</v>
      </c>
      <c r="Y53">
        <f t="shared" si="17"/>
        <v>42</v>
      </c>
    </row>
    <row r="57" spans="1:35" x14ac:dyDescent="0.25">
      <c r="AA57" s="224" t="s">
        <v>792</v>
      </c>
      <c r="AB57" s="224"/>
      <c r="AC57" s="224"/>
      <c r="AD57" s="224"/>
      <c r="AE57" s="224"/>
      <c r="AF57" s="224"/>
      <c r="AG57" s="224"/>
    </row>
    <row r="58" spans="1:35" ht="30" x14ac:dyDescent="0.25">
      <c r="AA58" s="25"/>
      <c r="AB58" s="26" t="s">
        <v>154</v>
      </c>
      <c r="AC58" s="27" t="s">
        <v>193</v>
      </c>
      <c r="AD58" s="27" t="s">
        <v>251</v>
      </c>
      <c r="AE58" s="27" t="s">
        <v>273</v>
      </c>
      <c r="AF58" s="27" t="s">
        <v>330</v>
      </c>
      <c r="AG58" s="28" t="s">
        <v>700</v>
      </c>
      <c r="AH58" s="41" t="s">
        <v>787</v>
      </c>
    </row>
    <row r="59" spans="1:35" x14ac:dyDescent="0.25">
      <c r="AA59" s="25" t="s">
        <v>793</v>
      </c>
      <c r="AB59" s="44">
        <f>LARGE(AB5:AB50,1)</f>
        <v>1</v>
      </c>
      <c r="AC59" s="44">
        <f t="shared" ref="AC59:AG59" si="18">LARGE(AC5:AC50,1)</f>
        <v>1</v>
      </c>
      <c r="AD59" s="44">
        <f t="shared" si="18"/>
        <v>1</v>
      </c>
      <c r="AE59" s="44">
        <f t="shared" si="18"/>
        <v>1</v>
      </c>
      <c r="AF59" s="44">
        <f t="shared" si="18"/>
        <v>1</v>
      </c>
      <c r="AG59" s="44">
        <f t="shared" si="18"/>
        <v>1</v>
      </c>
      <c r="AH59" s="42"/>
    </row>
    <row r="60" spans="1:35" x14ac:dyDescent="0.25">
      <c r="AA60" s="25" t="s">
        <v>794</v>
      </c>
      <c r="AB60" s="44">
        <f>LARGE(AB5:AB50,2)</f>
        <v>0.875</v>
      </c>
      <c r="AC60" s="44">
        <f t="shared" ref="AC60:AG60" si="19">LARGE(AC5:AC50,2)</f>
        <v>0.54545454545454541</v>
      </c>
      <c r="AD60" s="44">
        <f t="shared" si="19"/>
        <v>0.8571428571428571</v>
      </c>
      <c r="AE60" s="44">
        <f t="shared" si="19"/>
        <v>0.73684210526315785</v>
      </c>
      <c r="AF60" s="44">
        <f t="shared" si="19"/>
        <v>0.55555555555555558</v>
      </c>
      <c r="AG60" s="44">
        <f t="shared" si="19"/>
        <v>0.88095238095238093</v>
      </c>
      <c r="AH60" s="42"/>
    </row>
    <row r="61" spans="1:35" x14ac:dyDescent="0.25">
      <c r="AA61" s="25" t="s">
        <v>795</v>
      </c>
      <c r="AB61" s="44">
        <f>LARGE(AB5:AB50,3)</f>
        <v>0.625</v>
      </c>
      <c r="AC61" s="44">
        <f t="shared" ref="AC61:AG61" si="20">LARGE(AC5:AC50,3)</f>
        <v>0.36363636363636365</v>
      </c>
      <c r="AD61" s="44">
        <f t="shared" si="20"/>
        <v>0.5714285714285714</v>
      </c>
      <c r="AE61" s="44">
        <f t="shared" si="20"/>
        <v>0.42105263157894735</v>
      </c>
      <c r="AF61" s="44">
        <f t="shared" si="20"/>
        <v>0.44444444444444442</v>
      </c>
      <c r="AG61" s="44">
        <f t="shared" si="20"/>
        <v>0.69047619047619047</v>
      </c>
      <c r="AH61" s="42"/>
    </row>
    <row r="62" spans="1:35" x14ac:dyDescent="0.25">
      <c r="AA62" s="25" t="s">
        <v>796</v>
      </c>
      <c r="AB62" s="44">
        <f>LARGE(AB5:AB50,4)</f>
        <v>0.4375</v>
      </c>
      <c r="AC62" s="44">
        <f t="shared" ref="AC62:AG62" si="21">LARGE(AC5:AC50,4)</f>
        <v>0.27272727272727271</v>
      </c>
      <c r="AD62" s="44">
        <f t="shared" si="21"/>
        <v>0.5714285714285714</v>
      </c>
      <c r="AE62" s="44">
        <f t="shared" si="21"/>
        <v>0.36842105263157893</v>
      </c>
      <c r="AF62" s="44">
        <f t="shared" si="21"/>
        <v>0.33333333333333331</v>
      </c>
      <c r="AG62" s="44">
        <f t="shared" si="21"/>
        <v>0.54761904761904767</v>
      </c>
      <c r="AH62" s="42"/>
    </row>
    <row r="65" spans="27:34" x14ac:dyDescent="0.25">
      <c r="AA65" s="224" t="s">
        <v>792</v>
      </c>
      <c r="AB65" s="224"/>
      <c r="AC65" s="224"/>
      <c r="AD65" s="224"/>
      <c r="AE65" s="224"/>
      <c r="AF65" s="224"/>
      <c r="AG65" s="224"/>
      <c r="AH65" s="224"/>
    </row>
    <row r="66" spans="27:34" ht="30" x14ac:dyDescent="0.25">
      <c r="AA66" s="25"/>
      <c r="AB66" s="26" t="s">
        <v>154</v>
      </c>
      <c r="AC66" s="27" t="s">
        <v>193</v>
      </c>
      <c r="AD66" s="27" t="s">
        <v>251</v>
      </c>
      <c r="AE66" s="27" t="s">
        <v>273</v>
      </c>
      <c r="AF66" s="27" t="s">
        <v>330</v>
      </c>
      <c r="AG66" s="27" t="s">
        <v>700</v>
      </c>
      <c r="AH66" s="41" t="s">
        <v>787</v>
      </c>
    </row>
    <row r="67" spans="27:34" ht="32.25" customHeight="1" x14ac:dyDescent="0.25">
      <c r="AA67" s="25" t="s">
        <v>793</v>
      </c>
      <c r="AB67" s="45" t="str">
        <f t="shared" ref="AB67:AG67" si="22">INDEX($AI$5:$AI$50,MATCH(LARGE(AB$5:AB$50,1),AB$5:AB$50,0))</f>
        <v>Disease/Health Effects</v>
      </c>
      <c r="AC67" s="45" t="str">
        <f t="shared" si="22"/>
        <v>Economic and Livelihood Loss</v>
      </c>
      <c r="AD67" s="45" t="str">
        <f t="shared" si="22"/>
        <v>Economic and Livelihood Loss</v>
      </c>
      <c r="AE67" s="45" t="str">
        <f t="shared" si="22"/>
        <v>Crop Damage</v>
      </c>
      <c r="AF67" s="45" t="str">
        <f t="shared" si="22"/>
        <v>Disease/Health Effects</v>
      </c>
      <c r="AG67" s="45" t="str">
        <f t="shared" si="22"/>
        <v>Crop Damage</v>
      </c>
      <c r="AH67" s="42"/>
    </row>
    <row r="68" spans="27:34" ht="29.25" customHeight="1" x14ac:dyDescent="0.25">
      <c r="AA68" s="25" t="s">
        <v>794</v>
      </c>
      <c r="AB68" s="45" t="str">
        <f t="shared" ref="AB68:AG68" si="23">INDEX($AI$5:$AI$50,MATCH(LARGE(AB$5:AB$50,2),AB$5:AB$50,0))</f>
        <v>Crop Damage</v>
      </c>
      <c r="AC68" s="45" t="str">
        <f t="shared" si="23"/>
        <v>Infrastructure Damage</v>
      </c>
      <c r="AD68" s="45" t="str">
        <f t="shared" si="23"/>
        <v>Crop Damage</v>
      </c>
      <c r="AE68" s="45" t="str">
        <f t="shared" si="23"/>
        <v>Economic and Livelihood Loss</v>
      </c>
      <c r="AF68" s="45" t="str">
        <f t="shared" si="23"/>
        <v>Disability</v>
      </c>
      <c r="AG68" s="45" t="str">
        <f t="shared" si="23"/>
        <v>Economic and Livelihood Loss</v>
      </c>
      <c r="AH68" s="42"/>
    </row>
    <row r="69" spans="27:34" ht="32.25" customHeight="1" x14ac:dyDescent="0.25">
      <c r="AA69" s="25" t="s">
        <v>795</v>
      </c>
      <c r="AB69" s="45" t="str">
        <f t="shared" ref="AB69:AG69" si="24">INDEX($AI$5:$AI$50,MATCH(LARGE(AB$5:AB$50,3),AB$5:AB$50,0))</f>
        <v>Infrastructure Damage</v>
      </c>
      <c r="AC69" s="45" t="str">
        <f t="shared" si="24"/>
        <v>Environmental effects</v>
      </c>
      <c r="AD69" s="45" t="str">
        <f t="shared" si="24"/>
        <v>Commercial Loss</v>
      </c>
      <c r="AE69" s="45" t="str">
        <f t="shared" si="24"/>
        <v>Building Destruction</v>
      </c>
      <c r="AF69" s="45" t="str">
        <f t="shared" si="24"/>
        <v>Economic and Livelihood Loss</v>
      </c>
      <c r="AG69" s="45" t="str">
        <f t="shared" si="24"/>
        <v>Disease/Health Effects</v>
      </c>
      <c r="AH69" s="42"/>
    </row>
    <row r="70" spans="27:34" ht="30.75" customHeight="1" x14ac:dyDescent="0.25">
      <c r="AA70" s="25" t="s">
        <v>796</v>
      </c>
      <c r="AB70" s="45" t="str">
        <f t="shared" ref="AB70:AG70" si="25">INDEX($AI$5:$AI$50,MATCH(LARGE(AB$5:AB$50,4),AB$5:AB$50,0))</f>
        <v>Commercial Loss</v>
      </c>
      <c r="AC70" s="45" t="str">
        <f t="shared" si="25"/>
        <v>Building Destruction</v>
      </c>
      <c r="AD70" s="45" t="str">
        <f t="shared" si="25"/>
        <v>Commercial Loss</v>
      </c>
      <c r="AE70" s="45" t="str">
        <f t="shared" si="25"/>
        <v>Infrastructure Damage</v>
      </c>
      <c r="AF70" s="45" t="str">
        <f t="shared" si="25"/>
        <v>Psychological Effects</v>
      </c>
      <c r="AG70" s="45" t="str">
        <f t="shared" si="25"/>
        <v>Infrastructure Damage</v>
      </c>
      <c r="AH70" s="42"/>
    </row>
  </sheetData>
  <mergeCells count="10">
    <mergeCell ref="AA65:AH65"/>
    <mergeCell ref="AA57:AG57"/>
    <mergeCell ref="B1:S1"/>
    <mergeCell ref="T1:Y1"/>
    <mergeCell ref="AB1:AG1"/>
    <mergeCell ref="B2:G2"/>
    <mergeCell ref="H2:M2"/>
    <mergeCell ref="N2:S2"/>
    <mergeCell ref="T2:X2"/>
    <mergeCell ref="AB2:AF2"/>
  </mergeCells>
  <conditionalFormatting sqref="T5:X50">
    <cfRule type="colorScale" priority="20">
      <colorScale>
        <cfvo type="min"/>
        <cfvo type="max"/>
        <color rgb="FFFCFCFF"/>
        <color rgb="FFF8696B"/>
      </colorScale>
    </cfRule>
  </conditionalFormatting>
  <conditionalFormatting sqref="B5:F50">
    <cfRule type="colorScale" priority="21">
      <colorScale>
        <cfvo type="min"/>
        <cfvo type="max"/>
        <color rgb="FFFCFCFF"/>
        <color rgb="FFF8696B"/>
      </colorScale>
    </cfRule>
  </conditionalFormatting>
  <conditionalFormatting sqref="H5:L50">
    <cfRule type="colorScale" priority="22">
      <colorScale>
        <cfvo type="min"/>
        <cfvo type="max"/>
        <color rgb="FFFCFCFF"/>
        <color rgb="FFF8696B"/>
      </colorScale>
    </cfRule>
  </conditionalFormatting>
  <conditionalFormatting sqref="N5:R50">
    <cfRule type="colorScale" priority="23">
      <colorScale>
        <cfvo type="min"/>
        <cfvo type="max"/>
        <color rgb="FFFCFCFF"/>
        <color rgb="FFF8696B"/>
      </colorScale>
    </cfRule>
  </conditionalFormatting>
  <conditionalFormatting sqref="AI5:AI50 AB5:AG50">
    <cfRule type="colorScale" priority="24">
      <colorScale>
        <cfvo type="min"/>
        <cfvo type="max"/>
        <color rgb="FFFCFCFF"/>
        <color rgb="FFF8696B"/>
      </colorScale>
    </cfRule>
  </conditionalFormatting>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49"/>
  <sheetViews>
    <sheetView topLeftCell="A22" workbookViewId="0">
      <selection activeCell="F41" sqref="F41"/>
    </sheetView>
  </sheetViews>
  <sheetFormatPr defaultRowHeight="15" x14ac:dyDescent="0.25"/>
  <cols>
    <col min="1" max="1" width="28.85546875" customWidth="1"/>
  </cols>
  <sheetData>
    <row r="1" spans="1:1" x14ac:dyDescent="0.25">
      <c r="A1" t="s">
        <v>862</v>
      </c>
    </row>
    <row r="2" spans="1:1" x14ac:dyDescent="0.25">
      <c r="A2" t="s">
        <v>166</v>
      </c>
    </row>
    <row r="3" spans="1:1" x14ac:dyDescent="0.25">
      <c r="A3" t="s">
        <v>168</v>
      </c>
    </row>
    <row r="4" spans="1:1" x14ac:dyDescent="0.25">
      <c r="A4" t="s">
        <v>173</v>
      </c>
    </row>
    <row r="5" spans="1:1" x14ac:dyDescent="0.25">
      <c r="A5" t="s">
        <v>287</v>
      </c>
    </row>
    <row r="6" spans="1:1" x14ac:dyDescent="0.25">
      <c r="A6" t="s">
        <v>278</v>
      </c>
    </row>
    <row r="7" spans="1:1" x14ac:dyDescent="0.25">
      <c r="A7" t="s">
        <v>229</v>
      </c>
    </row>
    <row r="8" spans="1:1" x14ac:dyDescent="0.25">
      <c r="A8" t="s">
        <v>158</v>
      </c>
    </row>
    <row r="9" spans="1:1" x14ac:dyDescent="0.25">
      <c r="A9" t="s">
        <v>202</v>
      </c>
    </row>
    <row r="10" spans="1:1" x14ac:dyDescent="0.25">
      <c r="A10" t="s">
        <v>174</v>
      </c>
    </row>
    <row r="11" spans="1:1" x14ac:dyDescent="0.25">
      <c r="A11" t="s">
        <v>167</v>
      </c>
    </row>
    <row r="12" spans="1:1" x14ac:dyDescent="0.25">
      <c r="A12" t="s">
        <v>318</v>
      </c>
    </row>
    <row r="13" spans="1:1" x14ac:dyDescent="0.25">
      <c r="A13" t="s">
        <v>495</v>
      </c>
    </row>
    <row r="14" spans="1:1" x14ac:dyDescent="0.25">
      <c r="A14" t="s">
        <v>303</v>
      </c>
    </row>
    <row r="15" spans="1:1" x14ac:dyDescent="0.25">
      <c r="A15" t="s">
        <v>253</v>
      </c>
    </row>
    <row r="16" spans="1:1" x14ac:dyDescent="0.25">
      <c r="A16" t="s">
        <v>259</v>
      </c>
    </row>
    <row r="17" spans="1:1" x14ac:dyDescent="0.25">
      <c r="A17" t="s">
        <v>254</v>
      </c>
    </row>
    <row r="18" spans="1:1" x14ac:dyDescent="0.25">
      <c r="A18" t="s">
        <v>234</v>
      </c>
    </row>
    <row r="19" spans="1:1" x14ac:dyDescent="0.25">
      <c r="A19" t="s">
        <v>307</v>
      </c>
    </row>
    <row r="20" spans="1:1" x14ac:dyDescent="0.25">
      <c r="A20" t="s">
        <v>203</v>
      </c>
    </row>
    <row r="21" spans="1:1" x14ac:dyDescent="0.25">
      <c r="A21" t="s">
        <v>352</v>
      </c>
    </row>
    <row r="22" spans="1:1" x14ac:dyDescent="0.25">
      <c r="A22" t="s">
        <v>197</v>
      </c>
    </row>
    <row r="23" spans="1:1" x14ac:dyDescent="0.25">
      <c r="A23" t="s">
        <v>498</v>
      </c>
    </row>
    <row r="24" spans="1:1" x14ac:dyDescent="0.25">
      <c r="A24" t="s">
        <v>260</v>
      </c>
    </row>
    <row r="25" spans="1:1" x14ac:dyDescent="0.25">
      <c r="A25" t="s">
        <v>238</v>
      </c>
    </row>
    <row r="26" spans="1:1" x14ac:dyDescent="0.25">
      <c r="A26" t="s">
        <v>204</v>
      </c>
    </row>
    <row r="27" spans="1:1" x14ac:dyDescent="0.25">
      <c r="A27" t="s">
        <v>275</v>
      </c>
    </row>
    <row r="28" spans="1:1" x14ac:dyDescent="0.25">
      <c r="A28" t="s">
        <v>157</v>
      </c>
    </row>
    <row r="29" spans="1:1" x14ac:dyDescent="0.25">
      <c r="A29" t="s">
        <v>198</v>
      </c>
    </row>
    <row r="30" spans="1:1" x14ac:dyDescent="0.25">
      <c r="A30" t="s">
        <v>159</v>
      </c>
    </row>
    <row r="31" spans="1:1" x14ac:dyDescent="0.25">
      <c r="A31" t="s">
        <v>298</v>
      </c>
    </row>
    <row r="32" spans="1:1" x14ac:dyDescent="0.25">
      <c r="A32" t="s">
        <v>860</v>
      </c>
    </row>
    <row r="33" spans="1:1" x14ac:dyDescent="0.25">
      <c r="A33" t="s">
        <v>641</v>
      </c>
    </row>
    <row r="34" spans="1:1" x14ac:dyDescent="0.25">
      <c r="A34" t="s">
        <v>537</v>
      </c>
    </row>
    <row r="35" spans="1:1" x14ac:dyDescent="0.25">
      <c r="A35" t="s">
        <v>333</v>
      </c>
    </row>
    <row r="36" spans="1:1" x14ac:dyDescent="0.25">
      <c r="A36" t="s">
        <v>211</v>
      </c>
    </row>
    <row r="37" spans="1:1" x14ac:dyDescent="0.25">
      <c r="A37" t="s">
        <v>480</v>
      </c>
    </row>
    <row r="38" spans="1:1" x14ac:dyDescent="0.25">
      <c r="A38" t="s">
        <v>316</v>
      </c>
    </row>
    <row r="39" spans="1:1" x14ac:dyDescent="0.25">
      <c r="A39" t="s">
        <v>215</v>
      </c>
    </row>
    <row r="40" spans="1:1" x14ac:dyDescent="0.25">
      <c r="A40" t="s">
        <v>335</v>
      </c>
    </row>
    <row r="41" spans="1:1" x14ac:dyDescent="0.25">
      <c r="A41" t="s">
        <v>451</v>
      </c>
    </row>
    <row r="42" spans="1:1" x14ac:dyDescent="0.25">
      <c r="A42" t="s">
        <v>497</v>
      </c>
    </row>
    <row r="43" spans="1:1" x14ac:dyDescent="0.25">
      <c r="A43" t="s">
        <v>319</v>
      </c>
    </row>
    <row r="44" spans="1:1" x14ac:dyDescent="0.25">
      <c r="A44" t="s">
        <v>861</v>
      </c>
    </row>
    <row r="45" spans="1:1" x14ac:dyDescent="0.25">
      <c r="A45" t="s">
        <v>165</v>
      </c>
    </row>
    <row r="46" spans="1:1" x14ac:dyDescent="0.25">
      <c r="A46" t="s">
        <v>304</v>
      </c>
    </row>
    <row r="47" spans="1:1" x14ac:dyDescent="0.25">
      <c r="A47" t="s">
        <v>172</v>
      </c>
    </row>
    <row r="48" spans="1:1" x14ac:dyDescent="0.25">
      <c r="A48" t="s">
        <v>353</v>
      </c>
    </row>
    <row r="49" spans="1:1" x14ac:dyDescent="0.25">
      <c r="A49" t="s">
        <v>863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39"/>
  <sheetViews>
    <sheetView topLeftCell="A16" workbookViewId="0">
      <selection activeCell="B16" sqref="B16"/>
    </sheetView>
  </sheetViews>
  <sheetFormatPr defaultRowHeight="15" x14ac:dyDescent="0.25"/>
  <cols>
    <col min="1" max="1" width="26.140625" bestFit="1" customWidth="1"/>
    <col min="2" max="2" width="28.7109375" bestFit="1" customWidth="1"/>
  </cols>
  <sheetData>
    <row r="1" spans="1:2" x14ac:dyDescent="0.25">
      <c r="A1" t="s">
        <v>862</v>
      </c>
    </row>
    <row r="2" spans="1:2" x14ac:dyDescent="0.25">
      <c r="A2" t="s">
        <v>179</v>
      </c>
      <c r="B2" s="2"/>
    </row>
    <row r="3" spans="1:2" x14ac:dyDescent="0.25">
      <c r="A3" t="s">
        <v>577</v>
      </c>
    </row>
    <row r="4" spans="1:2" x14ac:dyDescent="0.25">
      <c r="A4" t="s">
        <v>216</v>
      </c>
    </row>
    <row r="5" spans="1:2" x14ac:dyDescent="0.25">
      <c r="A5" t="s">
        <v>243</v>
      </c>
    </row>
    <row r="6" spans="1:2" x14ac:dyDescent="0.25">
      <c r="A6" t="s">
        <v>287</v>
      </c>
    </row>
    <row r="7" spans="1:2" x14ac:dyDescent="0.25">
      <c r="A7" t="s">
        <v>233</v>
      </c>
    </row>
    <row r="8" spans="1:2" x14ac:dyDescent="0.25">
      <c r="A8" t="s">
        <v>263</v>
      </c>
    </row>
    <row r="9" spans="1:2" x14ac:dyDescent="0.25">
      <c r="A9" t="s">
        <v>202</v>
      </c>
    </row>
    <row r="10" spans="1:2" x14ac:dyDescent="0.25">
      <c r="A10" t="s">
        <v>488</v>
      </c>
    </row>
    <row r="11" spans="1:2" x14ac:dyDescent="0.25">
      <c r="A11" t="s">
        <v>538</v>
      </c>
    </row>
    <row r="12" spans="1:2" x14ac:dyDescent="0.25">
      <c r="A12" t="s">
        <v>274</v>
      </c>
    </row>
    <row r="13" spans="1:2" x14ac:dyDescent="0.25">
      <c r="A13" t="s">
        <v>495</v>
      </c>
    </row>
    <row r="14" spans="1:2" x14ac:dyDescent="0.25">
      <c r="A14" t="s">
        <v>196</v>
      </c>
    </row>
    <row r="15" spans="1:2" x14ac:dyDescent="0.25">
      <c r="A15" t="s">
        <v>302</v>
      </c>
    </row>
    <row r="16" spans="1:2" x14ac:dyDescent="0.25">
      <c r="A16" t="s">
        <v>253</v>
      </c>
    </row>
    <row r="17" spans="1:1" x14ac:dyDescent="0.25">
      <c r="A17" t="s">
        <v>354</v>
      </c>
    </row>
    <row r="18" spans="1:1" x14ac:dyDescent="0.25">
      <c r="A18" t="s">
        <v>608</v>
      </c>
    </row>
    <row r="19" spans="1:1" x14ac:dyDescent="0.25">
      <c r="A19" t="s">
        <v>258</v>
      </c>
    </row>
    <row r="20" spans="1:1" x14ac:dyDescent="0.25">
      <c r="A20" t="s">
        <v>616</v>
      </c>
    </row>
    <row r="21" spans="1:1" x14ac:dyDescent="0.25">
      <c r="A21" t="s">
        <v>327</v>
      </c>
    </row>
    <row r="22" spans="1:1" x14ac:dyDescent="0.25">
      <c r="A22" t="s">
        <v>536</v>
      </c>
    </row>
    <row r="23" spans="1:1" x14ac:dyDescent="0.25">
      <c r="A23" t="s">
        <v>156</v>
      </c>
    </row>
    <row r="24" spans="1:1" x14ac:dyDescent="0.25">
      <c r="A24" t="s">
        <v>568</v>
      </c>
    </row>
    <row r="25" spans="1:1" x14ac:dyDescent="0.25">
      <c r="A25" t="s">
        <v>458</v>
      </c>
    </row>
    <row r="26" spans="1:1" x14ac:dyDescent="0.25">
      <c r="A26" t="s">
        <v>622</v>
      </c>
    </row>
    <row r="27" spans="1:1" x14ac:dyDescent="0.25">
      <c r="A27" t="s">
        <v>242</v>
      </c>
    </row>
    <row r="28" spans="1:1" x14ac:dyDescent="0.25">
      <c r="A28" t="s">
        <v>252</v>
      </c>
    </row>
    <row r="29" spans="1:1" x14ac:dyDescent="0.25">
      <c r="A29" t="s">
        <v>215</v>
      </c>
    </row>
    <row r="30" spans="1:1" x14ac:dyDescent="0.25">
      <c r="A30" t="s">
        <v>429</v>
      </c>
    </row>
    <row r="31" spans="1:1" x14ac:dyDescent="0.25">
      <c r="A31" t="s">
        <v>178</v>
      </c>
    </row>
    <row r="32" spans="1:1" x14ac:dyDescent="0.25">
      <c r="A32" t="s">
        <v>313</v>
      </c>
    </row>
    <row r="33" spans="1:1" x14ac:dyDescent="0.25">
      <c r="A33" t="s">
        <v>552</v>
      </c>
    </row>
    <row r="34" spans="1:1" x14ac:dyDescent="0.25">
      <c r="A34" t="s">
        <v>403</v>
      </c>
    </row>
    <row r="35" spans="1:1" x14ac:dyDescent="0.25">
      <c r="A35" t="s">
        <v>460</v>
      </c>
    </row>
    <row r="36" spans="1:1" x14ac:dyDescent="0.25">
      <c r="A36" t="s">
        <v>165</v>
      </c>
    </row>
    <row r="37" spans="1:1" x14ac:dyDescent="0.25">
      <c r="A37" t="s">
        <v>304</v>
      </c>
    </row>
    <row r="38" spans="1:1" x14ac:dyDescent="0.25">
      <c r="A38" t="s">
        <v>172</v>
      </c>
    </row>
    <row r="39" spans="1:1" x14ac:dyDescent="0.25">
      <c r="A39" t="s">
        <v>177</v>
      </c>
    </row>
  </sheetData>
  <pageMargins left="0.7" right="0.7" top="0.75" bottom="0.75" header="0.3" footer="0.3"/>
  <pageSetup orientation="portrait" horizontalDpi="1200" verticalDpi="12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6"/>
  <sheetViews>
    <sheetView workbookViewId="0">
      <selection activeCell="E11" sqref="E11"/>
    </sheetView>
  </sheetViews>
  <sheetFormatPr defaultRowHeight="15" x14ac:dyDescent="0.25"/>
  <cols>
    <col min="1" max="1" width="21.42578125" bestFit="1" customWidth="1"/>
  </cols>
  <sheetData>
    <row r="1" spans="1:1" x14ac:dyDescent="0.25">
      <c r="A1" t="s">
        <v>862</v>
      </c>
    </row>
    <row r="2" spans="1:1" x14ac:dyDescent="0.25">
      <c r="A2" t="s">
        <v>154</v>
      </c>
    </row>
    <row r="3" spans="1:1" x14ac:dyDescent="0.25">
      <c r="A3" t="s">
        <v>193</v>
      </c>
    </row>
    <row r="4" spans="1:1" x14ac:dyDescent="0.25">
      <c r="A4" t="s">
        <v>251</v>
      </c>
    </row>
    <row r="5" spans="1:1" x14ac:dyDescent="0.25">
      <c r="A5" t="s">
        <v>273</v>
      </c>
    </row>
    <row r="6" spans="1:1" x14ac:dyDescent="0.25">
      <c r="A6" t="s">
        <v>330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EA4D4DEE558EE4592F25713A1B822BF" ma:contentTypeVersion="5" ma:contentTypeDescription="Create a new document." ma:contentTypeScope="" ma:versionID="528d74d37de48be591fbf6f12e609cfd">
  <xsd:schema xmlns:xsd="http://www.w3.org/2001/XMLSchema" xmlns:xs="http://www.w3.org/2001/XMLSchema" xmlns:p="http://schemas.microsoft.com/office/2006/metadata/properties" xmlns:ns2="ea8795af-fb8c-4727-948f-9039b666c33b" targetNamespace="http://schemas.microsoft.com/office/2006/metadata/properties" ma:root="true" ma:fieldsID="433805775c85307897879a6ed7b82865" ns2:_="">
    <xsd:import namespace="ea8795af-fb8c-4727-948f-9039b666c3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795af-fb8c-4727-948f-9039b666c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5F8936-6978-4410-A9B4-D9664AA83B2A}">
  <ds:schemaRefs>
    <ds:schemaRef ds:uri="http://schemas.microsoft.com/sharepoint/v3/contenttype/forms"/>
  </ds:schemaRefs>
</ds:datastoreItem>
</file>

<file path=customXml/itemProps2.xml><?xml version="1.0" encoding="utf-8"?>
<ds:datastoreItem xmlns:ds="http://schemas.openxmlformats.org/officeDocument/2006/customXml" ds:itemID="{DD898B2D-D25D-471E-97C2-A69E344A2F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8795af-fb8c-4727-948f-9039b666c3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E15B556-8ED7-4268-A13F-93119BBCF02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a8795af-fb8c-4727-948f-9039b666c33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AgeWise</vt:lpstr>
      <vt:lpstr>list_C_B_A</vt:lpstr>
      <vt:lpstr>CBA_Analysis_Major_Threats</vt:lpstr>
      <vt:lpstr>charts_CBA</vt:lpstr>
      <vt:lpstr>Sheet2</vt:lpstr>
      <vt:lpstr>Sheet1</vt:lpstr>
      <vt:lpstr>Study Area and FGD</vt:lpstr>
      <vt:lpstr>Threats_Analysis</vt:lpstr>
      <vt:lpstr>UniqueHazards_Names</vt:lpstr>
      <vt:lpstr>Sheet9</vt:lpstr>
      <vt:lpstr>PivotCategorizedThreatsAnalysis</vt:lpstr>
      <vt:lpstr>CategorizedThreatsAnalysis</vt:lpstr>
      <vt:lpstr>Threat_Category</vt:lpstr>
      <vt:lpstr>List_of_Area</vt:lpstr>
      <vt:lpstr>Consequences_Analysis_Threat1</vt:lpstr>
      <vt:lpstr>List of Consequences</vt:lpstr>
      <vt:lpstr>List_of_Threats</vt:lpstr>
      <vt:lpstr>List_of_FocusedGroups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2020-10-20T10:21:15Z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0x0101002EA4D4DEE558EE4592F25713A1B822BF</vt:lpwstr>
  </property>
</Properties>
</file>